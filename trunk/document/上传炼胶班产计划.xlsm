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90" yWindow="-375" windowWidth="12120" windowHeight="9120" tabRatio="650" activeTab="4"/>
  </bookViews>
  <sheets>
    <sheet name="Upload" sheetId="168" r:id="rId1"/>
    <sheet name="订单" sheetId="164" r:id="rId2"/>
    <sheet name="00" sheetId="165" r:id="rId3"/>
    <sheet name="01" sheetId="114" r:id="rId4"/>
    <sheet name="1" sheetId="148" r:id="rId5"/>
    <sheet name="2" sheetId="158" r:id="rId6"/>
    <sheet name="3" sheetId="159" r:id="rId7"/>
    <sheet name="4" sheetId="160" r:id="rId8"/>
    <sheet name="5" sheetId="161" r:id="rId9"/>
    <sheet name="6" sheetId="166" r:id="rId10"/>
    <sheet name="7" sheetId="167" r:id="rId11"/>
  </sheets>
  <externalReferences>
    <externalReference r:id="rId12"/>
  </externalReferences>
  <definedNames>
    <definedName name="_xlnm.Print_Area" localSheetId="4">'1'!#REF!</definedName>
    <definedName name="_xlnm.Print_Area" localSheetId="5">'2'!#REF!</definedName>
    <definedName name="_xlnm.Print_Area" localSheetId="6">'3'!#REF!</definedName>
    <definedName name="_xlnm.Print_Area" localSheetId="7">'4'!#REF!</definedName>
    <definedName name="_xlnm.Print_Area" localSheetId="8">'5'!#REF!</definedName>
    <definedName name="_xlnm.Print_Area" localSheetId="9">'6'!#REF!</definedName>
    <definedName name="_xlnm.Print_Area" localSheetId="10">'7'!#REF!</definedName>
  </definedNames>
  <calcPr calcId="124519"/>
  <customWorkbookViews>
    <customWorkbookView name="SONEY - 个人视面" guid="{44BB6280-D018-11D3-BD60-00A024D86E04}" mergeInterval="0" personalView="1" maximized="1" windowWidth="796" windowHeight="438" tabRatio="567" activeSheetId="25"/>
    <customWorkbookView name="Chenbo - 个人视面" guid="{03A97F06-E451-11D3-AD6B-0050BAB156BA}" mergeInterval="0" personalView="1" maximized="1" windowWidth="796" windowHeight="438" tabRatio="568" activeSheetId="21"/>
    <customWorkbookView name="一位心满意足的 Microsoft Office 用户 - 个人视面" guid="{A00A52E1-D018-11D3-AEF3-006097625C5C}" mergeInterval="0" personalView="1" maximized="1" windowWidth="796" windowHeight="438" tabRatio="568" activeSheetId="21"/>
  </customWorkbookViews>
</workbook>
</file>

<file path=xl/calcChain.xml><?xml version="1.0" encoding="utf-8"?>
<calcChain xmlns="http://schemas.openxmlformats.org/spreadsheetml/2006/main">
  <c r="V37" i="148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V9"/>
  <c r="V8"/>
  <c r="V7"/>
  <c r="V6"/>
  <c r="V5"/>
  <c r="V37" i="158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V9"/>
  <c r="V8"/>
  <c r="V7"/>
  <c r="V6"/>
  <c r="V5"/>
  <c r="V37" i="159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V9"/>
  <c r="V8"/>
  <c r="V7"/>
  <c r="V6"/>
  <c r="V5"/>
  <c r="V36" i="160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V9"/>
  <c r="V8"/>
  <c r="V7"/>
  <c r="V6"/>
  <c r="V5"/>
  <c r="V37" i="161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V9"/>
  <c r="V8"/>
  <c r="V7"/>
  <c r="V6"/>
  <c r="V5"/>
  <c r="V37" i="166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V9"/>
  <c r="V8"/>
  <c r="V7"/>
  <c r="V6"/>
  <c r="V5"/>
  <c r="V37" i="16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V9"/>
  <c r="V8"/>
  <c r="V7"/>
  <c r="V6"/>
  <c r="V5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37" i="166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37" i="161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37" i="160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37" i="159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37" i="158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37" i="148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J37" i="16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J37" i="166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J37" i="161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J37" i="160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J37" i="159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J37" i="148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J37" i="158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L37" i="16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7" i="166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7" i="161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7" i="160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7" i="159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7" i="158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7" i="148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Q6" i="167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5"/>
  <c r="Q5"/>
  <c r="Q6" i="16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5"/>
  <c r="Q5"/>
  <c r="Q6" i="161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5"/>
  <c r="Q5"/>
  <c r="Q6" i="160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5"/>
  <c r="Q5"/>
  <c r="Q6" i="158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5"/>
  <c r="Q5"/>
  <c r="Q6" i="148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5"/>
  <c r="Q5"/>
  <c r="R37" i="159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Q37"/>
  <c r="Q36"/>
  <c r="Q35"/>
  <c r="Q34"/>
  <c r="Q33"/>
  <c r="Q32"/>
  <c r="Q31"/>
  <c r="Q30"/>
  <c r="Q29"/>
  <c r="Q28"/>
  <c r="Q27"/>
  <c r="Q26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P37" i="16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P37" i="166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P37" i="161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P37" i="160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P37" i="159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P37" i="148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P37" i="158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H37"/>
  <c r="H23"/>
  <c r="H24"/>
  <c r="H25"/>
  <c r="H26"/>
  <c r="H27"/>
  <c r="H28"/>
  <c r="H29"/>
  <c r="H30"/>
  <c r="H31"/>
  <c r="H32"/>
  <c r="H33"/>
  <c r="H34"/>
  <c r="H35"/>
  <c r="H36"/>
  <c r="H6"/>
  <c r="H7"/>
  <c r="H8"/>
  <c r="H9"/>
  <c r="H10"/>
  <c r="H11"/>
  <c r="H12"/>
  <c r="H13"/>
  <c r="H14"/>
  <c r="H15"/>
  <c r="H16"/>
  <c r="H17"/>
  <c r="H18"/>
  <c r="H19"/>
  <c r="H20"/>
  <c r="H21"/>
  <c r="H22"/>
  <c r="H5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37" i="148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37" i="16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37" i="166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37" i="161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37" i="160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37" i="159"/>
  <c r="U36"/>
  <c r="U35"/>
  <c r="U34"/>
  <c r="U33"/>
  <c r="U32"/>
  <c r="U31"/>
  <c r="U30"/>
  <c r="U29"/>
  <c r="U28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27"/>
  <c r="P53" i="167" l="1"/>
  <c r="O53"/>
  <c r="N53"/>
  <c r="M53"/>
  <c r="K53" s="1"/>
  <c r="K52"/>
  <c r="K51"/>
  <c r="K50"/>
  <c r="O48"/>
  <c r="M48"/>
  <c r="K48"/>
  <c r="M47"/>
  <c r="M46"/>
  <c r="M45"/>
  <c r="X37"/>
  <c r="AC37"/>
  <c r="Y37"/>
  <c r="Z37"/>
  <c r="O37"/>
  <c r="G37"/>
  <c r="T37" s="1"/>
  <c r="S37"/>
  <c r="AA37" s="1"/>
  <c r="X36"/>
  <c r="AC36"/>
  <c r="Y36"/>
  <c r="Z36"/>
  <c r="O36"/>
  <c r="G36"/>
  <c r="T36" s="1"/>
  <c r="S36"/>
  <c r="AA36" s="1"/>
  <c r="X35"/>
  <c r="AC35"/>
  <c r="Y35"/>
  <c r="Z35"/>
  <c r="O35"/>
  <c r="G35"/>
  <c r="T35" s="1"/>
  <c r="S35"/>
  <c r="AA35" s="1"/>
  <c r="X34"/>
  <c r="AC34"/>
  <c r="Y34"/>
  <c r="Z34"/>
  <c r="O34"/>
  <c r="G34"/>
  <c r="T34" s="1"/>
  <c r="S34"/>
  <c r="AA34" s="1"/>
  <c r="X33"/>
  <c r="AC33"/>
  <c r="Y33"/>
  <c r="Z33"/>
  <c r="O33"/>
  <c r="G33"/>
  <c r="T33" s="1"/>
  <c r="S33"/>
  <c r="AA33" s="1"/>
  <c r="X32"/>
  <c r="AC32"/>
  <c r="Y32"/>
  <c r="Z32"/>
  <c r="O32"/>
  <c r="G32"/>
  <c r="T32" s="1"/>
  <c r="S32"/>
  <c r="AA32" s="1"/>
  <c r="X31"/>
  <c r="AC31"/>
  <c r="Y31"/>
  <c r="Z31"/>
  <c r="O31"/>
  <c r="G31"/>
  <c r="T31" s="1"/>
  <c r="S31"/>
  <c r="AA31" s="1"/>
  <c r="X30"/>
  <c r="AC30"/>
  <c r="Y30"/>
  <c r="Z30"/>
  <c r="O30"/>
  <c r="G30"/>
  <c r="T30" s="1"/>
  <c r="S30"/>
  <c r="AA30" s="1"/>
  <c r="X29"/>
  <c r="AC29"/>
  <c r="T29"/>
  <c r="Y29"/>
  <c r="Z29"/>
  <c r="O29"/>
  <c r="G29"/>
  <c r="S29"/>
  <c r="AA29" s="1"/>
  <c r="X28"/>
  <c r="AC28"/>
  <c r="T28"/>
  <c r="Y28"/>
  <c r="Z28"/>
  <c r="O28"/>
  <c r="G28"/>
  <c r="S28"/>
  <c r="AA28" s="1"/>
  <c r="X27"/>
  <c r="F47"/>
  <c r="T27"/>
  <c r="Y27"/>
  <c r="Z27"/>
  <c r="O27"/>
  <c r="G27"/>
  <c r="S27"/>
  <c r="AA27" s="1"/>
  <c r="X26"/>
  <c r="AC26"/>
  <c r="T26"/>
  <c r="Y26"/>
  <c r="Z26"/>
  <c r="O26"/>
  <c r="G26"/>
  <c r="S26"/>
  <c r="AA26" s="1"/>
  <c r="Y25"/>
  <c r="X25"/>
  <c r="AC25"/>
  <c r="T25"/>
  <c r="Z25"/>
  <c r="O25"/>
  <c r="G25"/>
  <c r="S25"/>
  <c r="AA25" s="1"/>
  <c r="X24"/>
  <c r="AC24"/>
  <c r="T24"/>
  <c r="Y24"/>
  <c r="Z24"/>
  <c r="O24"/>
  <c r="G24"/>
  <c r="S24"/>
  <c r="AA24" s="1"/>
  <c r="X23"/>
  <c r="AC23"/>
  <c r="T23"/>
  <c r="Y23"/>
  <c r="Z23"/>
  <c r="O23"/>
  <c r="G23"/>
  <c r="S23"/>
  <c r="AA23" s="1"/>
  <c r="X22"/>
  <c r="AC22"/>
  <c r="T22"/>
  <c r="Y22"/>
  <c r="Z22"/>
  <c r="O22"/>
  <c r="G22"/>
  <c r="S22"/>
  <c r="AA22" s="1"/>
  <c r="Y21"/>
  <c r="X21"/>
  <c r="AC21"/>
  <c r="T21"/>
  <c r="Z21"/>
  <c r="O21"/>
  <c r="G21"/>
  <c r="S21"/>
  <c r="AA21" s="1"/>
  <c r="X20"/>
  <c r="AC20"/>
  <c r="T20"/>
  <c r="Y20"/>
  <c r="Z20"/>
  <c r="O20"/>
  <c r="G20"/>
  <c r="S20"/>
  <c r="AA20" s="1"/>
  <c r="X19"/>
  <c r="AC19"/>
  <c r="T19"/>
  <c r="S19"/>
  <c r="Y19"/>
  <c r="Z19"/>
  <c r="O19"/>
  <c r="G19"/>
  <c r="Y18"/>
  <c r="X18"/>
  <c r="AC18"/>
  <c r="T18"/>
  <c r="Z18"/>
  <c r="O18"/>
  <c r="G18"/>
  <c r="S18"/>
  <c r="AA18" s="1"/>
  <c r="X17"/>
  <c r="AC17"/>
  <c r="C51" s="1"/>
  <c r="T17"/>
  <c r="Y17"/>
  <c r="Z17"/>
  <c r="O17"/>
  <c r="G17"/>
  <c r="S17"/>
  <c r="AA17" s="1"/>
  <c r="Y16"/>
  <c r="X16"/>
  <c r="T16"/>
  <c r="Z16"/>
  <c r="O16"/>
  <c r="G16"/>
  <c r="S16"/>
  <c r="AA16" s="1"/>
  <c r="X15"/>
  <c r="AC15" s="1"/>
  <c r="T15"/>
  <c r="Y15"/>
  <c r="Z15"/>
  <c r="O15"/>
  <c r="G15"/>
  <c r="S15"/>
  <c r="X14"/>
  <c r="AC14" s="1"/>
  <c r="T14"/>
  <c r="Y14"/>
  <c r="Z14"/>
  <c r="O14"/>
  <c r="G14"/>
  <c r="S14"/>
  <c r="Y13"/>
  <c r="X13"/>
  <c r="AC13" s="1"/>
  <c r="T13"/>
  <c r="Z13"/>
  <c r="O13"/>
  <c r="G13"/>
  <c r="S13"/>
  <c r="AA13" s="1"/>
  <c r="X12"/>
  <c r="AC12" s="1"/>
  <c r="T12"/>
  <c r="Y12"/>
  <c r="Z12"/>
  <c r="O12"/>
  <c r="G12"/>
  <c r="S12"/>
  <c r="AA12" s="1"/>
  <c r="X11"/>
  <c r="AC11" s="1"/>
  <c r="T11"/>
  <c r="Y11"/>
  <c r="Z11"/>
  <c r="O11"/>
  <c r="G11"/>
  <c r="S11"/>
  <c r="X10"/>
  <c r="AC10" s="1"/>
  <c r="T10"/>
  <c r="Y10"/>
  <c r="Z10"/>
  <c r="O10"/>
  <c r="G10"/>
  <c r="S10"/>
  <c r="X9"/>
  <c r="AC9" s="1"/>
  <c r="T9"/>
  <c r="Y9"/>
  <c r="Z9"/>
  <c r="O9"/>
  <c r="G9"/>
  <c r="S9"/>
  <c r="AA9" s="1"/>
  <c r="Y8"/>
  <c r="X8"/>
  <c r="AC8" s="1"/>
  <c r="T8"/>
  <c r="Z8"/>
  <c r="O8"/>
  <c r="G8"/>
  <c r="S8"/>
  <c r="AA8" s="1"/>
  <c r="X7"/>
  <c r="AC7" s="1"/>
  <c r="Y7"/>
  <c r="Z7"/>
  <c r="O7"/>
  <c r="G7"/>
  <c r="T7" s="1"/>
  <c r="S7"/>
  <c r="X6"/>
  <c r="AC6" s="1"/>
  <c r="C50" s="1"/>
  <c r="Y6"/>
  <c r="Z6"/>
  <c r="O6"/>
  <c r="G6"/>
  <c r="T6" s="1"/>
  <c r="S6"/>
  <c r="X5"/>
  <c r="Y5"/>
  <c r="O5"/>
  <c r="G5"/>
  <c r="S5"/>
  <c r="D3"/>
  <c r="I3" s="1"/>
  <c r="P53" i="166"/>
  <c r="O53"/>
  <c r="N53"/>
  <c r="M53"/>
  <c r="K53" s="1"/>
  <c r="K52"/>
  <c r="K51"/>
  <c r="K50"/>
  <c r="O48"/>
  <c r="M48"/>
  <c r="K48"/>
  <c r="M47"/>
  <c r="M46"/>
  <c r="M45"/>
  <c r="X37"/>
  <c r="AC37"/>
  <c r="Y37"/>
  <c r="Z37"/>
  <c r="O37"/>
  <c r="G37"/>
  <c r="T37" s="1"/>
  <c r="S37"/>
  <c r="AA37" s="1"/>
  <c r="X36"/>
  <c r="AC36"/>
  <c r="Y36"/>
  <c r="Z36"/>
  <c r="O36"/>
  <c r="G36"/>
  <c r="T36" s="1"/>
  <c r="S36"/>
  <c r="AA36" s="1"/>
  <c r="X35"/>
  <c r="AC35"/>
  <c r="Y35"/>
  <c r="Z35"/>
  <c r="O35"/>
  <c r="G35"/>
  <c r="T35" s="1"/>
  <c r="S35"/>
  <c r="AA35" s="1"/>
  <c r="X34"/>
  <c r="AC34"/>
  <c r="Y34"/>
  <c r="Z34"/>
  <c r="O34"/>
  <c r="G34"/>
  <c r="T34" s="1"/>
  <c r="S34"/>
  <c r="AA34" s="1"/>
  <c r="X33"/>
  <c r="AC33"/>
  <c r="Y33"/>
  <c r="Z33"/>
  <c r="O33"/>
  <c r="G33"/>
  <c r="T33" s="1"/>
  <c r="S33"/>
  <c r="AA33" s="1"/>
  <c r="X32"/>
  <c r="AC32"/>
  <c r="Y32"/>
  <c r="Z32"/>
  <c r="O32"/>
  <c r="G32"/>
  <c r="T32" s="1"/>
  <c r="S32"/>
  <c r="Y31"/>
  <c r="X31"/>
  <c r="AC31"/>
  <c r="T31"/>
  <c r="Z31"/>
  <c r="O31"/>
  <c r="G31"/>
  <c r="S31"/>
  <c r="AA31" s="1"/>
  <c r="X30"/>
  <c r="AC30"/>
  <c r="T30"/>
  <c r="Y30"/>
  <c r="Z30"/>
  <c r="O30"/>
  <c r="G30"/>
  <c r="S30"/>
  <c r="AA30" s="1"/>
  <c r="X29"/>
  <c r="AC29"/>
  <c r="T29"/>
  <c r="Y29"/>
  <c r="Z29"/>
  <c r="O29"/>
  <c r="G29"/>
  <c r="S29"/>
  <c r="AA29" s="1"/>
  <c r="Y28"/>
  <c r="X28"/>
  <c r="AC28"/>
  <c r="T28"/>
  <c r="Z28"/>
  <c r="O28"/>
  <c r="G28"/>
  <c r="S28"/>
  <c r="AA28" s="1"/>
  <c r="X27"/>
  <c r="T27"/>
  <c r="Y27"/>
  <c r="Z27"/>
  <c r="O27"/>
  <c r="G27"/>
  <c r="S27"/>
  <c r="AA27" s="1"/>
  <c r="Y26"/>
  <c r="X26"/>
  <c r="AC26" s="1"/>
  <c r="T26"/>
  <c r="Z26"/>
  <c r="O26"/>
  <c r="G26"/>
  <c r="S26"/>
  <c r="AA26" s="1"/>
  <c r="X25"/>
  <c r="AC25" s="1"/>
  <c r="T25"/>
  <c r="Y25"/>
  <c r="Z25"/>
  <c r="O25"/>
  <c r="G25"/>
  <c r="S25"/>
  <c r="X24"/>
  <c r="AC24" s="1"/>
  <c r="T24"/>
  <c r="Y24"/>
  <c r="Z24"/>
  <c r="O24"/>
  <c r="G24"/>
  <c r="S24"/>
  <c r="X23"/>
  <c r="AC23" s="1"/>
  <c r="T23"/>
  <c r="Y23"/>
  <c r="Z23"/>
  <c r="O23"/>
  <c r="G23"/>
  <c r="S23"/>
  <c r="AA23" s="1"/>
  <c r="Y22"/>
  <c r="X22"/>
  <c r="AC22" s="1"/>
  <c r="T22"/>
  <c r="Z22"/>
  <c r="O22"/>
  <c r="G22"/>
  <c r="S22"/>
  <c r="AA22" s="1"/>
  <c r="X21"/>
  <c r="AC21" s="1"/>
  <c r="T21"/>
  <c r="Y21"/>
  <c r="Z21"/>
  <c r="O21"/>
  <c r="G21"/>
  <c r="S21"/>
  <c r="X20"/>
  <c r="AC20" s="1"/>
  <c r="T20"/>
  <c r="Y20"/>
  <c r="Z20"/>
  <c r="O20"/>
  <c r="G20"/>
  <c r="S20"/>
  <c r="X19"/>
  <c r="AC19" s="1"/>
  <c r="T19"/>
  <c r="Y19"/>
  <c r="Z19"/>
  <c r="O19"/>
  <c r="G19"/>
  <c r="S19"/>
  <c r="AA19" s="1"/>
  <c r="Y18"/>
  <c r="X18"/>
  <c r="AC18" s="1"/>
  <c r="T18"/>
  <c r="Z18"/>
  <c r="O18"/>
  <c r="G18"/>
  <c r="S18"/>
  <c r="AA18" s="1"/>
  <c r="X17"/>
  <c r="AC17" s="1"/>
  <c r="C51" s="1"/>
  <c r="T17"/>
  <c r="S17"/>
  <c r="Y17"/>
  <c r="Z17"/>
  <c r="O17"/>
  <c r="G17"/>
  <c r="X16"/>
  <c r="Y16"/>
  <c r="Z16"/>
  <c r="O16"/>
  <c r="G16"/>
  <c r="T16" s="1"/>
  <c r="S16"/>
  <c r="AA16" s="1"/>
  <c r="X15"/>
  <c r="AC15" s="1"/>
  <c r="Y15"/>
  <c r="Z15"/>
  <c r="O15"/>
  <c r="G15"/>
  <c r="T15" s="1"/>
  <c r="S15"/>
  <c r="AA15" s="1"/>
  <c r="X14"/>
  <c r="AC14" s="1"/>
  <c r="Y14"/>
  <c r="Z14"/>
  <c r="O14"/>
  <c r="G14"/>
  <c r="T14" s="1"/>
  <c r="S14"/>
  <c r="X13"/>
  <c r="AC13" s="1"/>
  <c r="Y13"/>
  <c r="Z13"/>
  <c r="O13"/>
  <c r="G13"/>
  <c r="T13" s="1"/>
  <c r="S13"/>
  <c r="X12"/>
  <c r="AC12" s="1"/>
  <c r="Y12"/>
  <c r="Z12"/>
  <c r="O12"/>
  <c r="G12"/>
  <c r="T12" s="1"/>
  <c r="S12"/>
  <c r="AA12" s="1"/>
  <c r="X11"/>
  <c r="AC11" s="1"/>
  <c r="Y11"/>
  <c r="Z11"/>
  <c r="O11"/>
  <c r="G11"/>
  <c r="T11" s="1"/>
  <c r="S11"/>
  <c r="AA11" s="1"/>
  <c r="X10"/>
  <c r="AC10" s="1"/>
  <c r="Y10"/>
  <c r="Z10"/>
  <c r="O10"/>
  <c r="G10"/>
  <c r="T10" s="1"/>
  <c r="S10"/>
  <c r="X9"/>
  <c r="AC9" s="1"/>
  <c r="Y9"/>
  <c r="Z9"/>
  <c r="O9"/>
  <c r="G9"/>
  <c r="T9" s="1"/>
  <c r="S9"/>
  <c r="X8"/>
  <c r="AC8" s="1"/>
  <c r="Y8"/>
  <c r="Z8"/>
  <c r="O8"/>
  <c r="G8"/>
  <c r="T8" s="1"/>
  <c r="S8"/>
  <c r="AA8" s="1"/>
  <c r="X7"/>
  <c r="AC7" s="1"/>
  <c r="Y7"/>
  <c r="Z7"/>
  <c r="O7"/>
  <c r="G7"/>
  <c r="T7" s="1"/>
  <c r="S7"/>
  <c r="AA7" s="1"/>
  <c r="X6"/>
  <c r="AC6" s="1"/>
  <c r="Y6"/>
  <c r="Z6"/>
  <c r="O6"/>
  <c r="G6"/>
  <c r="T6" s="1"/>
  <c r="S6"/>
  <c r="X5"/>
  <c r="Y5"/>
  <c r="O5"/>
  <c r="G5"/>
  <c r="S5"/>
  <c r="D3"/>
  <c r="I3" s="1"/>
  <c r="P53" i="161"/>
  <c r="O53"/>
  <c r="N53"/>
  <c r="M53"/>
  <c r="K53" s="1"/>
  <c r="K52"/>
  <c r="K51"/>
  <c r="K50"/>
  <c r="O48"/>
  <c r="M48"/>
  <c r="K48"/>
  <c r="M47"/>
  <c r="M46"/>
  <c r="M45"/>
  <c r="X37"/>
  <c r="AC37"/>
  <c r="Y37"/>
  <c r="Z37"/>
  <c r="O37"/>
  <c r="G37"/>
  <c r="T37" s="1"/>
  <c r="S37"/>
  <c r="AA37" s="1"/>
  <c r="X36"/>
  <c r="AC36"/>
  <c r="Y36"/>
  <c r="Z36"/>
  <c r="O36"/>
  <c r="G36"/>
  <c r="T36" s="1"/>
  <c r="S36"/>
  <c r="AA36" s="1"/>
  <c r="X35"/>
  <c r="AC35"/>
  <c r="Y35"/>
  <c r="Z35"/>
  <c r="O35"/>
  <c r="G35"/>
  <c r="T35" s="1"/>
  <c r="S35"/>
  <c r="AA35" s="1"/>
  <c r="X34"/>
  <c r="AC34"/>
  <c r="T34"/>
  <c r="Y34"/>
  <c r="Z34"/>
  <c r="O34"/>
  <c r="S34"/>
  <c r="Y33"/>
  <c r="X33"/>
  <c r="AC33"/>
  <c r="T33"/>
  <c r="Z33"/>
  <c r="O33"/>
  <c r="S33"/>
  <c r="Y32"/>
  <c r="X32"/>
  <c r="AC32" s="1"/>
  <c r="T32"/>
  <c r="S32"/>
  <c r="Z32"/>
  <c r="O32"/>
  <c r="X31"/>
  <c r="AC31" s="1"/>
  <c r="T31"/>
  <c r="Y31"/>
  <c r="Z31"/>
  <c r="O31"/>
  <c r="S31"/>
  <c r="X30"/>
  <c r="AC30"/>
  <c r="T30"/>
  <c r="Y30"/>
  <c r="Z30"/>
  <c r="O30"/>
  <c r="S30"/>
  <c r="X29"/>
  <c r="AC29"/>
  <c r="T29"/>
  <c r="Y29"/>
  <c r="Z29"/>
  <c r="O29"/>
  <c r="S29"/>
  <c r="X28"/>
  <c r="AC28" s="1"/>
  <c r="T28"/>
  <c r="Y28"/>
  <c r="Z28"/>
  <c r="O28"/>
  <c r="S28"/>
  <c r="X27"/>
  <c r="T27"/>
  <c r="Y27"/>
  <c r="Z27"/>
  <c r="O27"/>
  <c r="S27"/>
  <c r="X26"/>
  <c r="AC26"/>
  <c r="T26"/>
  <c r="Y26"/>
  <c r="Z26"/>
  <c r="O26"/>
  <c r="S26"/>
  <c r="AA26" s="1"/>
  <c r="X25"/>
  <c r="AC25" s="1"/>
  <c r="T25"/>
  <c r="Y25"/>
  <c r="Z25"/>
  <c r="O25"/>
  <c r="S25"/>
  <c r="X24"/>
  <c r="AC24" s="1"/>
  <c r="T24"/>
  <c r="Y24"/>
  <c r="Z24"/>
  <c r="O24"/>
  <c r="S24"/>
  <c r="X23"/>
  <c r="AC23"/>
  <c r="T23"/>
  <c r="Y23"/>
  <c r="Z23"/>
  <c r="O23"/>
  <c r="S23"/>
  <c r="X22"/>
  <c r="AC22"/>
  <c r="T22"/>
  <c r="S22"/>
  <c r="Y22"/>
  <c r="Z22"/>
  <c r="O22"/>
  <c r="X21"/>
  <c r="AC21" s="1"/>
  <c r="T21"/>
  <c r="Y21"/>
  <c r="Z21"/>
  <c r="O21"/>
  <c r="S21"/>
  <c r="X20"/>
  <c r="AC20" s="1"/>
  <c r="T20"/>
  <c r="S20"/>
  <c r="Y20"/>
  <c r="Z20"/>
  <c r="O20"/>
  <c r="X19"/>
  <c r="AC19"/>
  <c r="T19"/>
  <c r="Y19"/>
  <c r="Z19"/>
  <c r="O19"/>
  <c r="S19"/>
  <c r="X18"/>
  <c r="AC18"/>
  <c r="T18"/>
  <c r="Y18"/>
  <c r="Z18"/>
  <c r="O18"/>
  <c r="S18"/>
  <c r="AA18" s="1"/>
  <c r="X17"/>
  <c r="AC17" s="1"/>
  <c r="T17"/>
  <c r="Y17"/>
  <c r="Z17"/>
  <c r="O17"/>
  <c r="S17"/>
  <c r="X16"/>
  <c r="T16"/>
  <c r="Y16"/>
  <c r="Z16"/>
  <c r="O16"/>
  <c r="S16"/>
  <c r="Y15"/>
  <c r="X15"/>
  <c r="AC15"/>
  <c r="T15"/>
  <c r="Z15"/>
  <c r="O15"/>
  <c r="S15"/>
  <c r="X14"/>
  <c r="AC14" s="1"/>
  <c r="T14"/>
  <c r="Y14"/>
  <c r="Z14"/>
  <c r="O14"/>
  <c r="S14"/>
  <c r="X13"/>
  <c r="AC13" s="1"/>
  <c r="T13"/>
  <c r="Y13"/>
  <c r="Z13"/>
  <c r="O13"/>
  <c r="S13"/>
  <c r="X12"/>
  <c r="AC12"/>
  <c r="T12"/>
  <c r="S12"/>
  <c r="Y12"/>
  <c r="Z12"/>
  <c r="O12"/>
  <c r="X11"/>
  <c r="AC11" s="1"/>
  <c r="T11"/>
  <c r="Y11"/>
  <c r="Z11"/>
  <c r="O11"/>
  <c r="S11"/>
  <c r="X10"/>
  <c r="AC10" s="1"/>
  <c r="T10"/>
  <c r="Y10"/>
  <c r="Z10"/>
  <c r="O10"/>
  <c r="S10"/>
  <c r="AA10" s="1"/>
  <c r="X9"/>
  <c r="AC9"/>
  <c r="T9"/>
  <c r="Y9"/>
  <c r="Z9"/>
  <c r="O9"/>
  <c r="S9"/>
  <c r="X8"/>
  <c r="AC8"/>
  <c r="T8"/>
  <c r="Y8"/>
  <c r="Z8"/>
  <c r="O8"/>
  <c r="S8"/>
  <c r="AA8" s="1"/>
  <c r="X7"/>
  <c r="AC7" s="1"/>
  <c r="T7"/>
  <c r="Y7"/>
  <c r="Z7"/>
  <c r="O7"/>
  <c r="S7"/>
  <c r="X6"/>
  <c r="AC6" s="1"/>
  <c r="T6"/>
  <c r="Y6"/>
  <c r="Z6"/>
  <c r="O6"/>
  <c r="S6"/>
  <c r="X5"/>
  <c r="T5"/>
  <c r="Y5"/>
  <c r="Z5"/>
  <c r="O5"/>
  <c r="S5"/>
  <c r="I3"/>
  <c r="D3"/>
  <c r="K3" s="1"/>
  <c r="P53" i="160"/>
  <c r="O53"/>
  <c r="N53"/>
  <c r="M53"/>
  <c r="K53" s="1"/>
  <c r="K52"/>
  <c r="K51"/>
  <c r="K50"/>
  <c r="O48"/>
  <c r="M48"/>
  <c r="K48"/>
  <c r="M47"/>
  <c r="M46"/>
  <c r="M45"/>
  <c r="X37"/>
  <c r="V37"/>
  <c r="AC37"/>
  <c r="Y37"/>
  <c r="Z37"/>
  <c r="O37"/>
  <c r="G37"/>
  <c r="T37" s="1"/>
  <c r="S37"/>
  <c r="AA37" s="1"/>
  <c r="X36"/>
  <c r="AC36"/>
  <c r="Y36"/>
  <c r="Z36"/>
  <c r="O36"/>
  <c r="G36"/>
  <c r="T36" s="1"/>
  <c r="S36"/>
  <c r="AA36" s="1"/>
  <c r="X35"/>
  <c r="AC35"/>
  <c r="Y35"/>
  <c r="Z35"/>
  <c r="O35"/>
  <c r="G35"/>
  <c r="T35" s="1"/>
  <c r="S35"/>
  <c r="AA35" s="1"/>
  <c r="X34"/>
  <c r="AC34"/>
  <c r="T34"/>
  <c r="Y34"/>
  <c r="Z34"/>
  <c r="O34"/>
  <c r="S34"/>
  <c r="X33"/>
  <c r="AC33"/>
  <c r="T33"/>
  <c r="Y33"/>
  <c r="Z33"/>
  <c r="O33"/>
  <c r="S33"/>
  <c r="Y32"/>
  <c r="X32"/>
  <c r="AC32" s="1"/>
  <c r="T32"/>
  <c r="S32"/>
  <c r="Z32"/>
  <c r="O32"/>
  <c r="X31"/>
  <c r="AC31" s="1"/>
  <c r="T31"/>
  <c r="Y31"/>
  <c r="Z31"/>
  <c r="O31"/>
  <c r="S31"/>
  <c r="X30"/>
  <c r="AC30"/>
  <c r="T30"/>
  <c r="Y30"/>
  <c r="Z30"/>
  <c r="O30"/>
  <c r="S30"/>
  <c r="AA30" s="1"/>
  <c r="X29"/>
  <c r="AC29"/>
  <c r="T29"/>
  <c r="Y29"/>
  <c r="Z29"/>
  <c r="O29"/>
  <c r="S29"/>
  <c r="X28"/>
  <c r="AC28" s="1"/>
  <c r="T28"/>
  <c r="Y28"/>
  <c r="Z28"/>
  <c r="O28"/>
  <c r="S28"/>
  <c r="X27"/>
  <c r="T27"/>
  <c r="Y27"/>
  <c r="Z27"/>
  <c r="O27"/>
  <c r="S27"/>
  <c r="X26"/>
  <c r="AC26"/>
  <c r="T26"/>
  <c r="Y26"/>
  <c r="Z26"/>
  <c r="O26"/>
  <c r="S26"/>
  <c r="X25"/>
  <c r="AC25" s="1"/>
  <c r="T25"/>
  <c r="Y25"/>
  <c r="Z25"/>
  <c r="O25"/>
  <c r="S25"/>
  <c r="X24"/>
  <c r="AC24" s="1"/>
  <c r="T24"/>
  <c r="S24"/>
  <c r="Y24"/>
  <c r="Z24"/>
  <c r="O24"/>
  <c r="X23"/>
  <c r="AC23"/>
  <c r="T23"/>
  <c r="Y23"/>
  <c r="Z23"/>
  <c r="O23"/>
  <c r="S23"/>
  <c r="X22"/>
  <c r="AC22"/>
  <c r="T22"/>
  <c r="Y22"/>
  <c r="Z22"/>
  <c r="O22"/>
  <c r="S22"/>
  <c r="X21"/>
  <c r="AC21" s="1"/>
  <c r="T21"/>
  <c r="Y21"/>
  <c r="Z21"/>
  <c r="O21"/>
  <c r="S21"/>
  <c r="X20"/>
  <c r="AC20" s="1"/>
  <c r="T20"/>
  <c r="Y20"/>
  <c r="Z20"/>
  <c r="O20"/>
  <c r="S20"/>
  <c r="X19"/>
  <c r="AC19"/>
  <c r="T19"/>
  <c r="S19"/>
  <c r="Y19"/>
  <c r="Z19"/>
  <c r="O19"/>
  <c r="X18"/>
  <c r="AC18"/>
  <c r="T18"/>
  <c r="Y18"/>
  <c r="Z18"/>
  <c r="O18"/>
  <c r="S18"/>
  <c r="Y17"/>
  <c r="X17"/>
  <c r="AC17" s="1"/>
  <c r="T17"/>
  <c r="S17"/>
  <c r="Z17"/>
  <c r="O17"/>
  <c r="X16"/>
  <c r="T16"/>
  <c r="Y16"/>
  <c r="Z16"/>
  <c r="O16"/>
  <c r="S16"/>
  <c r="X15"/>
  <c r="AC15"/>
  <c r="T15"/>
  <c r="S15"/>
  <c r="Y15"/>
  <c r="Z15"/>
  <c r="O15"/>
  <c r="X14"/>
  <c r="AC14" s="1"/>
  <c r="T14"/>
  <c r="Y14"/>
  <c r="Z14"/>
  <c r="O14"/>
  <c r="S14"/>
  <c r="X13"/>
  <c r="AC13" s="1"/>
  <c r="T13"/>
  <c r="Y13"/>
  <c r="Z13"/>
  <c r="O13"/>
  <c r="S13"/>
  <c r="X12"/>
  <c r="AC12"/>
  <c r="T12"/>
  <c r="Y12"/>
  <c r="Z12"/>
  <c r="O12"/>
  <c r="S12"/>
  <c r="X11"/>
  <c r="AC11"/>
  <c r="T11"/>
  <c r="S11"/>
  <c r="Y11"/>
  <c r="Z11"/>
  <c r="O11"/>
  <c r="X10"/>
  <c r="AC10" s="1"/>
  <c r="T10"/>
  <c r="S10"/>
  <c r="Y10"/>
  <c r="Z10"/>
  <c r="O10"/>
  <c r="X9"/>
  <c r="AC9"/>
  <c r="T9"/>
  <c r="Y9"/>
  <c r="Z9"/>
  <c r="O9"/>
  <c r="S9"/>
  <c r="X8"/>
  <c r="AC8"/>
  <c r="T8"/>
  <c r="Y8"/>
  <c r="O8"/>
  <c r="S8"/>
  <c r="X7"/>
  <c r="AC7" s="1"/>
  <c r="T7"/>
  <c r="Y7"/>
  <c r="Z7"/>
  <c r="O7"/>
  <c r="S7"/>
  <c r="X6"/>
  <c r="AC6" s="1"/>
  <c r="T6"/>
  <c r="Y6"/>
  <c r="Z6"/>
  <c r="O6"/>
  <c r="S6"/>
  <c r="X5"/>
  <c r="T5"/>
  <c r="Z5"/>
  <c r="O5"/>
  <c r="S5"/>
  <c r="I3"/>
  <c r="D3"/>
  <c r="K3" s="1"/>
  <c r="P53" i="159"/>
  <c r="O53"/>
  <c r="N53"/>
  <c r="M53"/>
  <c r="K53" s="1"/>
  <c r="K52"/>
  <c r="K51"/>
  <c r="K50"/>
  <c r="O48"/>
  <c r="M48"/>
  <c r="K48"/>
  <c r="M47"/>
  <c r="M46"/>
  <c r="M45"/>
  <c r="X37"/>
  <c r="AC37"/>
  <c r="T37"/>
  <c r="Y37"/>
  <c r="Z37"/>
  <c r="O37"/>
  <c r="G37"/>
  <c r="S37"/>
  <c r="AA37" s="1"/>
  <c r="X36"/>
  <c r="AC36"/>
  <c r="T36"/>
  <c r="S36"/>
  <c r="Y36"/>
  <c r="Z36"/>
  <c r="O36"/>
  <c r="G36"/>
  <c r="X35"/>
  <c r="AC35" s="1"/>
  <c r="T35"/>
  <c r="Y35"/>
  <c r="Z35"/>
  <c r="O35"/>
  <c r="G35"/>
  <c r="S35"/>
  <c r="X34"/>
  <c r="AC34" s="1"/>
  <c r="T34"/>
  <c r="Y34"/>
  <c r="Z34"/>
  <c r="O34"/>
  <c r="G34"/>
  <c r="S34"/>
  <c r="Y33"/>
  <c r="X33"/>
  <c r="AC33" s="1"/>
  <c r="T33"/>
  <c r="Z33"/>
  <c r="O33"/>
  <c r="G33"/>
  <c r="S33"/>
  <c r="AA33" s="1"/>
  <c r="X32"/>
  <c r="AC32" s="1"/>
  <c r="T32"/>
  <c r="Y32"/>
  <c r="Z32"/>
  <c r="O32"/>
  <c r="G32"/>
  <c r="S32"/>
  <c r="AA32" s="1"/>
  <c r="X31"/>
  <c r="AC31" s="1"/>
  <c r="T31"/>
  <c r="Y31"/>
  <c r="Z31"/>
  <c r="O31"/>
  <c r="G31"/>
  <c r="S31"/>
  <c r="X30"/>
  <c r="AC30" s="1"/>
  <c r="T30"/>
  <c r="Y30"/>
  <c r="Z30"/>
  <c r="O30"/>
  <c r="G30"/>
  <c r="S30"/>
  <c r="Y29"/>
  <c r="X29"/>
  <c r="AC29" s="1"/>
  <c r="T29"/>
  <c r="Z29"/>
  <c r="O29"/>
  <c r="G29"/>
  <c r="S29"/>
  <c r="AA29" s="1"/>
  <c r="X28"/>
  <c r="AC28" s="1"/>
  <c r="T28"/>
  <c r="Y28"/>
  <c r="Z28"/>
  <c r="O28"/>
  <c r="G28"/>
  <c r="S28"/>
  <c r="AA28" s="1"/>
  <c r="X27"/>
  <c r="Y27"/>
  <c r="Z27"/>
  <c r="O27"/>
  <c r="G27"/>
  <c r="T27" s="1"/>
  <c r="S27"/>
  <c r="AA27" s="1"/>
  <c r="X26"/>
  <c r="AC26" s="1"/>
  <c r="Y26"/>
  <c r="Z26"/>
  <c r="O26"/>
  <c r="G26"/>
  <c r="T26" s="1"/>
  <c r="S26"/>
  <c r="X25"/>
  <c r="AC25" s="1"/>
  <c r="Y25"/>
  <c r="Z25"/>
  <c r="O25"/>
  <c r="G25"/>
  <c r="T25" s="1"/>
  <c r="S25"/>
  <c r="X24"/>
  <c r="AC24" s="1"/>
  <c r="Y24"/>
  <c r="Z24"/>
  <c r="O24"/>
  <c r="G24"/>
  <c r="T24" s="1"/>
  <c r="S24"/>
  <c r="AA24" s="1"/>
  <c r="X23"/>
  <c r="AC23" s="1"/>
  <c r="Y23"/>
  <c r="Z23"/>
  <c r="O23"/>
  <c r="G23"/>
  <c r="T23" s="1"/>
  <c r="S23"/>
  <c r="AA23" s="1"/>
  <c r="X22"/>
  <c r="AC22" s="1"/>
  <c r="Y22"/>
  <c r="Z22"/>
  <c r="O22"/>
  <c r="G22"/>
  <c r="T22" s="1"/>
  <c r="S22"/>
  <c r="X21"/>
  <c r="AC21" s="1"/>
  <c r="Y21"/>
  <c r="Z21"/>
  <c r="O21"/>
  <c r="G21"/>
  <c r="T21" s="1"/>
  <c r="S21"/>
  <c r="X20"/>
  <c r="AC20" s="1"/>
  <c r="Y20"/>
  <c r="Z20"/>
  <c r="O20"/>
  <c r="G20"/>
  <c r="T20" s="1"/>
  <c r="S20"/>
  <c r="AA20" s="1"/>
  <c r="X19"/>
  <c r="AC19" s="1"/>
  <c r="Y19"/>
  <c r="Z19"/>
  <c r="O19"/>
  <c r="G19"/>
  <c r="T19" s="1"/>
  <c r="S19"/>
  <c r="X18"/>
  <c r="AC18" s="1"/>
  <c r="Y18"/>
  <c r="Z18"/>
  <c r="O18"/>
  <c r="G18"/>
  <c r="T18" s="1"/>
  <c r="S18"/>
  <c r="X17"/>
  <c r="AC17" s="1"/>
  <c r="Y17"/>
  <c r="Z17"/>
  <c r="O17"/>
  <c r="G17"/>
  <c r="T17" s="1"/>
  <c r="S17"/>
  <c r="X16"/>
  <c r="T16"/>
  <c r="Y16"/>
  <c r="Z16"/>
  <c r="O16"/>
  <c r="G16"/>
  <c r="S16"/>
  <c r="AA16" s="1"/>
  <c r="X15"/>
  <c r="AC15"/>
  <c r="T15"/>
  <c r="Y15"/>
  <c r="Z15"/>
  <c r="O15"/>
  <c r="G15"/>
  <c r="S15"/>
  <c r="AA15" s="1"/>
  <c r="X14"/>
  <c r="AC14"/>
  <c r="T14"/>
  <c r="Y14"/>
  <c r="Z14"/>
  <c r="O14"/>
  <c r="G14"/>
  <c r="S14"/>
  <c r="AA14" s="1"/>
  <c r="X13"/>
  <c r="AC13"/>
  <c r="T13"/>
  <c r="Y13"/>
  <c r="Z13"/>
  <c r="O13"/>
  <c r="G13"/>
  <c r="S13"/>
  <c r="AA13" s="1"/>
  <c r="X12"/>
  <c r="AC12"/>
  <c r="T12"/>
  <c r="Y12"/>
  <c r="Z12"/>
  <c r="O12"/>
  <c r="S12"/>
  <c r="X11"/>
  <c r="AC11"/>
  <c r="T11"/>
  <c r="Y11"/>
  <c r="Z11"/>
  <c r="O11"/>
  <c r="G11"/>
  <c r="S11"/>
  <c r="AA11" s="1"/>
  <c r="X10"/>
  <c r="AC10"/>
  <c r="T10"/>
  <c r="Y10"/>
  <c r="Z10"/>
  <c r="O10"/>
  <c r="G10"/>
  <c r="S10"/>
  <c r="AA10" s="1"/>
  <c r="X9"/>
  <c r="AC9"/>
  <c r="T9"/>
  <c r="Y9"/>
  <c r="Z9"/>
  <c r="O9"/>
  <c r="G9"/>
  <c r="S9"/>
  <c r="AA9" s="1"/>
  <c r="X8"/>
  <c r="AC8"/>
  <c r="T8"/>
  <c r="Y8"/>
  <c r="Z8"/>
  <c r="O8"/>
  <c r="G8"/>
  <c r="S8"/>
  <c r="AA8" s="1"/>
  <c r="X7"/>
  <c r="AC7"/>
  <c r="T7"/>
  <c r="Y7"/>
  <c r="Z7"/>
  <c r="O7"/>
  <c r="G7"/>
  <c r="S7"/>
  <c r="AA7" s="1"/>
  <c r="X6"/>
  <c r="AC6"/>
  <c r="Y6"/>
  <c r="O6"/>
  <c r="G6"/>
  <c r="T6" s="1"/>
  <c r="S6"/>
  <c r="X5"/>
  <c r="Z5"/>
  <c r="O5"/>
  <c r="G5"/>
  <c r="S5"/>
  <c r="AA5" s="1"/>
  <c r="D3"/>
  <c r="K3" s="1"/>
  <c r="P53" i="158"/>
  <c r="O53"/>
  <c r="N53"/>
  <c r="M53"/>
  <c r="K53" s="1"/>
  <c r="K52"/>
  <c r="K51"/>
  <c r="K50"/>
  <c r="O48"/>
  <c r="M48"/>
  <c r="K48"/>
  <c r="M47"/>
  <c r="M46"/>
  <c r="M45"/>
  <c r="Y37"/>
  <c r="X37"/>
  <c r="AC37"/>
  <c r="T37"/>
  <c r="Z37"/>
  <c r="O37"/>
  <c r="G37"/>
  <c r="S37"/>
  <c r="AA37" s="1"/>
  <c r="X36"/>
  <c r="AC36"/>
  <c r="T36"/>
  <c r="Y36"/>
  <c r="Z36"/>
  <c r="O36"/>
  <c r="G36"/>
  <c r="S36"/>
  <c r="AA36" s="1"/>
  <c r="X35"/>
  <c r="AC35"/>
  <c r="T35"/>
  <c r="Y35"/>
  <c r="Z35"/>
  <c r="O35"/>
  <c r="G35"/>
  <c r="S35"/>
  <c r="AA35" s="1"/>
  <c r="X34"/>
  <c r="AC34"/>
  <c r="T34"/>
  <c r="Y34"/>
  <c r="Z34"/>
  <c r="O34"/>
  <c r="G34"/>
  <c r="S34"/>
  <c r="AA34" s="1"/>
  <c r="Y33"/>
  <c r="X33"/>
  <c r="AC33"/>
  <c r="T33"/>
  <c r="Z33"/>
  <c r="O33"/>
  <c r="G33"/>
  <c r="S33"/>
  <c r="AA33" s="1"/>
  <c r="X32"/>
  <c r="AC32"/>
  <c r="T32"/>
  <c r="Y32"/>
  <c r="Z32"/>
  <c r="O32"/>
  <c r="G32"/>
  <c r="S32"/>
  <c r="AA32" s="1"/>
  <c r="X31"/>
  <c r="AC31"/>
  <c r="T31"/>
  <c r="Y31"/>
  <c r="Z31"/>
  <c r="O31"/>
  <c r="G31"/>
  <c r="S31"/>
  <c r="AA31" s="1"/>
  <c r="X30"/>
  <c r="AC30"/>
  <c r="T30"/>
  <c r="Y30"/>
  <c r="Z30"/>
  <c r="O30"/>
  <c r="G30"/>
  <c r="S30"/>
  <c r="AA30" s="1"/>
  <c r="Y29"/>
  <c r="X29"/>
  <c r="AC29"/>
  <c r="T29"/>
  <c r="Z29"/>
  <c r="O29"/>
  <c r="G29"/>
  <c r="S29"/>
  <c r="AA29" s="1"/>
  <c r="X28"/>
  <c r="AC28"/>
  <c r="T28"/>
  <c r="Y28"/>
  <c r="Z28"/>
  <c r="O28"/>
  <c r="G28"/>
  <c r="S28"/>
  <c r="AA28" s="1"/>
  <c r="X27"/>
  <c r="F47"/>
  <c r="T27"/>
  <c r="Y27"/>
  <c r="Z27"/>
  <c r="O27"/>
  <c r="G27"/>
  <c r="S27"/>
  <c r="AA27" s="1"/>
  <c r="X26"/>
  <c r="AC26" s="1"/>
  <c r="T26"/>
  <c r="Y26"/>
  <c r="Z26"/>
  <c r="O26"/>
  <c r="G26"/>
  <c r="S26"/>
  <c r="X25"/>
  <c r="AC25" s="1"/>
  <c r="T25"/>
  <c r="Y25"/>
  <c r="Z25"/>
  <c r="O25"/>
  <c r="G25"/>
  <c r="S25"/>
  <c r="X24"/>
  <c r="AC24" s="1"/>
  <c r="T24"/>
  <c r="Y24"/>
  <c r="Z24"/>
  <c r="O24"/>
  <c r="G24"/>
  <c r="S24"/>
  <c r="AA24" s="1"/>
  <c r="X23"/>
  <c r="AC23" s="1"/>
  <c r="T23"/>
  <c r="Y23"/>
  <c r="Z23"/>
  <c r="O23"/>
  <c r="G23"/>
  <c r="S23"/>
  <c r="X22"/>
  <c r="AC22" s="1"/>
  <c r="Y22"/>
  <c r="Z22"/>
  <c r="O22"/>
  <c r="G22"/>
  <c r="T22" s="1"/>
  <c r="S22"/>
  <c r="Y21"/>
  <c r="X21"/>
  <c r="AC21" s="1"/>
  <c r="Z21"/>
  <c r="O21"/>
  <c r="G21"/>
  <c r="T21" s="1"/>
  <c r="S21"/>
  <c r="X20"/>
  <c r="AC20" s="1"/>
  <c r="Y20"/>
  <c r="Z20"/>
  <c r="O20"/>
  <c r="G20"/>
  <c r="T20" s="1"/>
  <c r="S20"/>
  <c r="AA20" s="1"/>
  <c r="X19"/>
  <c r="AC19" s="1"/>
  <c r="Y19"/>
  <c r="Z19"/>
  <c r="O19"/>
  <c r="G19"/>
  <c r="T19" s="1"/>
  <c r="S19"/>
  <c r="AA19" s="1"/>
  <c r="X18"/>
  <c r="AC18" s="1"/>
  <c r="T18"/>
  <c r="S18"/>
  <c r="Y18"/>
  <c r="Z18"/>
  <c r="O18"/>
  <c r="G18"/>
  <c r="X17"/>
  <c r="AC17" s="1"/>
  <c r="Y17"/>
  <c r="Z17"/>
  <c r="O17"/>
  <c r="G17"/>
  <c r="T17" s="1"/>
  <c r="S17"/>
  <c r="X16"/>
  <c r="F46"/>
  <c r="Y16"/>
  <c r="Z16"/>
  <c r="O16"/>
  <c r="G16"/>
  <c r="T16" s="1"/>
  <c r="S16"/>
  <c r="X15"/>
  <c r="AC15" s="1"/>
  <c r="Y15"/>
  <c r="Z15"/>
  <c r="O15"/>
  <c r="G15"/>
  <c r="T15" s="1"/>
  <c r="S15"/>
  <c r="AA15" s="1"/>
  <c r="X14"/>
  <c r="AC14" s="1"/>
  <c r="Y14"/>
  <c r="Z14"/>
  <c r="O14"/>
  <c r="G14"/>
  <c r="T14" s="1"/>
  <c r="S14"/>
  <c r="AA14" s="1"/>
  <c r="X13"/>
  <c r="AC13" s="1"/>
  <c r="Y13"/>
  <c r="Z13"/>
  <c r="O13"/>
  <c r="G13"/>
  <c r="T13" s="1"/>
  <c r="S13"/>
  <c r="X12"/>
  <c r="AC12" s="1"/>
  <c r="T12"/>
  <c r="Y12"/>
  <c r="Z12"/>
  <c r="O12"/>
  <c r="S12"/>
  <c r="X11"/>
  <c r="AC11"/>
  <c r="Y11"/>
  <c r="Z11"/>
  <c r="O11"/>
  <c r="G11"/>
  <c r="T11" s="1"/>
  <c r="S11"/>
  <c r="AA11" s="1"/>
  <c r="X10"/>
  <c r="AC10"/>
  <c r="Y10"/>
  <c r="Z10"/>
  <c r="O10"/>
  <c r="G10"/>
  <c r="T10" s="1"/>
  <c r="S10"/>
  <c r="AA10" s="1"/>
  <c r="X9"/>
  <c r="AC9"/>
  <c r="Y9"/>
  <c r="Z9"/>
  <c r="O9"/>
  <c r="G9"/>
  <c r="T9" s="1"/>
  <c r="S9"/>
  <c r="AA9" s="1"/>
  <c r="X8"/>
  <c r="AC8"/>
  <c r="Y8"/>
  <c r="Z8"/>
  <c r="O8"/>
  <c r="G8"/>
  <c r="T8" s="1"/>
  <c r="S8"/>
  <c r="AA8" s="1"/>
  <c r="X7"/>
  <c r="AC7"/>
  <c r="Y7"/>
  <c r="Z7"/>
  <c r="O7"/>
  <c r="G7"/>
  <c r="T7" s="1"/>
  <c r="S7"/>
  <c r="AA7" s="1"/>
  <c r="X6"/>
  <c r="AC6"/>
  <c r="Y6"/>
  <c r="Z6"/>
  <c r="O6"/>
  <c r="G6"/>
  <c r="T6" s="1"/>
  <c r="S6"/>
  <c r="X5"/>
  <c r="T5"/>
  <c r="Y5"/>
  <c r="Z5"/>
  <c r="O5"/>
  <c r="G5"/>
  <c r="S5"/>
  <c r="I3"/>
  <c r="D3"/>
  <c r="K3" s="1"/>
  <c r="P53" i="148"/>
  <c r="N53"/>
  <c r="M53"/>
  <c r="K53" s="1"/>
  <c r="K52"/>
  <c r="K51"/>
  <c r="K50"/>
  <c r="O48"/>
  <c r="M48"/>
  <c r="K48"/>
  <c r="M47"/>
  <c r="M46"/>
  <c r="M45"/>
  <c r="X37"/>
  <c r="AC37"/>
  <c r="T37"/>
  <c r="Y37"/>
  <c r="Z37"/>
  <c r="O37"/>
  <c r="G37"/>
  <c r="S37"/>
  <c r="AA37" s="1"/>
  <c r="X36"/>
  <c r="AC36"/>
  <c r="T36"/>
  <c r="Y36"/>
  <c r="Z36"/>
  <c r="O36"/>
  <c r="G36"/>
  <c r="S36"/>
  <c r="AA36" s="1"/>
  <c r="Y35"/>
  <c r="X35"/>
  <c r="AC35"/>
  <c r="T35"/>
  <c r="Z35"/>
  <c r="O35"/>
  <c r="G35"/>
  <c r="S35"/>
  <c r="AA35" s="1"/>
  <c r="X34"/>
  <c r="AC34"/>
  <c r="T34"/>
  <c r="Y34"/>
  <c r="Z34"/>
  <c r="O34"/>
  <c r="G34"/>
  <c r="S34"/>
  <c r="AA34" s="1"/>
  <c r="X33"/>
  <c r="AC33"/>
  <c r="T33"/>
  <c r="Y33"/>
  <c r="Z33"/>
  <c r="O33"/>
  <c r="G33"/>
  <c r="S33"/>
  <c r="AA33" s="1"/>
  <c r="X32"/>
  <c r="AC32"/>
  <c r="T32"/>
  <c r="Y32"/>
  <c r="Z32"/>
  <c r="O32"/>
  <c r="G32"/>
  <c r="S32"/>
  <c r="AA32" s="1"/>
  <c r="Y31"/>
  <c r="X31"/>
  <c r="AC31"/>
  <c r="T31"/>
  <c r="Z31"/>
  <c r="O31"/>
  <c r="G31"/>
  <c r="S31"/>
  <c r="AA31" s="1"/>
  <c r="X30"/>
  <c r="AC30"/>
  <c r="Y30"/>
  <c r="Z30"/>
  <c r="O30"/>
  <c r="G30"/>
  <c r="T30" s="1"/>
  <c r="S30"/>
  <c r="X29"/>
  <c r="AC29" s="1"/>
  <c r="T29"/>
  <c r="Y29"/>
  <c r="Z29"/>
  <c r="O29"/>
  <c r="G29"/>
  <c r="S29"/>
  <c r="Y28"/>
  <c r="X28"/>
  <c r="AC28" s="1"/>
  <c r="T28"/>
  <c r="Z28"/>
  <c r="O28"/>
  <c r="G28"/>
  <c r="S28"/>
  <c r="X27"/>
  <c r="Y27"/>
  <c r="Z27"/>
  <c r="O27"/>
  <c r="G27"/>
  <c r="T27" s="1"/>
  <c r="S27"/>
  <c r="X26"/>
  <c r="AC26" s="1"/>
  <c r="Y26"/>
  <c r="Z26"/>
  <c r="O26"/>
  <c r="G26"/>
  <c r="T26" s="1"/>
  <c r="S26"/>
  <c r="AA26" s="1"/>
  <c r="X25"/>
  <c r="AC25" s="1"/>
  <c r="Y25"/>
  <c r="Z25"/>
  <c r="O25"/>
  <c r="G25"/>
  <c r="T25" s="1"/>
  <c r="S25"/>
  <c r="AA25" s="1"/>
  <c r="X24"/>
  <c r="AC24" s="1"/>
  <c r="Y24"/>
  <c r="Z24"/>
  <c r="O24"/>
  <c r="G24"/>
  <c r="T24" s="1"/>
  <c r="S24"/>
  <c r="X23"/>
  <c r="AC23" s="1"/>
  <c r="Y23"/>
  <c r="Z23"/>
  <c r="O23"/>
  <c r="G23"/>
  <c r="T23" s="1"/>
  <c r="S23"/>
  <c r="X22"/>
  <c r="AC22" s="1"/>
  <c r="Y22"/>
  <c r="Z22"/>
  <c r="O22"/>
  <c r="G22"/>
  <c r="T22" s="1"/>
  <c r="S22"/>
  <c r="AA22" s="1"/>
  <c r="X21"/>
  <c r="AC21" s="1"/>
  <c r="S21"/>
  <c r="Y21"/>
  <c r="Z21"/>
  <c r="O21"/>
  <c r="G21"/>
  <c r="T21" s="1"/>
  <c r="X20"/>
  <c r="AC20" s="1"/>
  <c r="Y20"/>
  <c r="Z20"/>
  <c r="O20"/>
  <c r="G20"/>
  <c r="T20" s="1"/>
  <c r="S20"/>
  <c r="X19"/>
  <c r="AC19" s="1"/>
  <c r="Y19"/>
  <c r="Z19"/>
  <c r="O19"/>
  <c r="G19"/>
  <c r="T19" s="1"/>
  <c r="S19"/>
  <c r="X18"/>
  <c r="AC18" s="1"/>
  <c r="Y18"/>
  <c r="Z18"/>
  <c r="O18"/>
  <c r="G18"/>
  <c r="T18" s="1"/>
  <c r="S18"/>
  <c r="AA18" s="1"/>
  <c r="X17"/>
  <c r="AC17" s="1"/>
  <c r="Y17"/>
  <c r="Z17"/>
  <c r="O17"/>
  <c r="G17"/>
  <c r="T17" s="1"/>
  <c r="S17"/>
  <c r="AA17" s="1"/>
  <c r="X16"/>
  <c r="T16"/>
  <c r="Y16"/>
  <c r="Z16"/>
  <c r="O16"/>
  <c r="G16"/>
  <c r="S16"/>
  <c r="X15"/>
  <c r="AC15"/>
  <c r="T15"/>
  <c r="S15"/>
  <c r="Y15"/>
  <c r="Z15"/>
  <c r="O15"/>
  <c r="G15"/>
  <c r="X14"/>
  <c r="AC14"/>
  <c r="T14"/>
  <c r="Y14"/>
  <c r="Z14"/>
  <c r="O14"/>
  <c r="G14"/>
  <c r="S14"/>
  <c r="AA14" s="1"/>
  <c r="X13"/>
  <c r="AC13"/>
  <c r="T13"/>
  <c r="Y13"/>
  <c r="Z13"/>
  <c r="O13"/>
  <c r="G13"/>
  <c r="S13"/>
  <c r="AA13" s="1"/>
  <c r="Y12"/>
  <c r="X12"/>
  <c r="AC12"/>
  <c r="T12"/>
  <c r="Z12"/>
  <c r="O12"/>
  <c r="G12"/>
  <c r="S12"/>
  <c r="AA12" s="1"/>
  <c r="X11"/>
  <c r="AC11"/>
  <c r="T11"/>
  <c r="Y11"/>
  <c r="Z11"/>
  <c r="O11"/>
  <c r="G11"/>
  <c r="S11"/>
  <c r="AA11" s="1"/>
  <c r="X10"/>
  <c r="AC10"/>
  <c r="T10"/>
  <c r="Y10"/>
  <c r="Z10"/>
  <c r="O10"/>
  <c r="G10"/>
  <c r="S10"/>
  <c r="AA10" s="1"/>
  <c r="X9"/>
  <c r="AC9"/>
  <c r="T9"/>
  <c r="Y9"/>
  <c r="Z9"/>
  <c r="O9"/>
  <c r="G9"/>
  <c r="S9"/>
  <c r="AA9" s="1"/>
  <c r="Y8"/>
  <c r="X8"/>
  <c r="AC8"/>
  <c r="T8"/>
  <c r="Z8"/>
  <c r="O8"/>
  <c r="G8"/>
  <c r="S8"/>
  <c r="AA8" s="1"/>
  <c r="X7"/>
  <c r="AC7"/>
  <c r="T7"/>
  <c r="Y7"/>
  <c r="Z7"/>
  <c r="O7"/>
  <c r="G7"/>
  <c r="S7"/>
  <c r="AA7" s="1"/>
  <c r="X6"/>
  <c r="AC6"/>
  <c r="T6"/>
  <c r="Y6"/>
  <c r="O6"/>
  <c r="G6"/>
  <c r="S6"/>
  <c r="X5"/>
  <c r="F45"/>
  <c r="T5"/>
  <c r="Y5"/>
  <c r="Z5"/>
  <c r="O5"/>
  <c r="G5"/>
  <c r="S5"/>
  <c r="K3"/>
  <c r="I3"/>
  <c r="D151" i="165"/>
  <c r="D150"/>
  <c r="H149"/>
  <c r="G149"/>
  <c r="F149"/>
  <c r="E149"/>
  <c r="D148"/>
  <c r="D146"/>
  <c r="D145"/>
  <c r="D143"/>
  <c r="D142"/>
  <c r="D141"/>
  <c r="D140"/>
  <c r="D139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144" s="1"/>
  <c r="D75"/>
  <c r="D74"/>
  <c r="D147" s="1"/>
  <c r="D73"/>
  <c r="D72"/>
  <c r="D71"/>
  <c r="D70"/>
  <c r="D69"/>
  <c r="D149" s="1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80" i="164"/>
  <c r="C80"/>
  <c r="D79"/>
  <c r="C79"/>
  <c r="D78"/>
  <c r="C78"/>
  <c r="D77"/>
  <c r="C77"/>
  <c r="D76"/>
  <c r="C76"/>
  <c r="D75"/>
  <c r="C75"/>
  <c r="D74"/>
  <c r="C74"/>
  <c r="D73"/>
  <c r="C73"/>
  <c r="D72"/>
  <c r="C72"/>
  <c r="D71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D57"/>
  <c r="C57"/>
  <c r="D56"/>
  <c r="C56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AA13" i="161" l="1"/>
  <c r="AA21"/>
  <c r="AA28"/>
  <c r="AA7" i="160"/>
  <c r="AB7" s="1"/>
  <c r="AA20"/>
  <c r="AA21"/>
  <c r="AA28"/>
  <c r="AA30" i="148"/>
  <c r="AB30" s="1"/>
  <c r="AA12" i="159"/>
  <c r="F46" i="148"/>
  <c r="AA21"/>
  <c r="R50" i="159"/>
  <c r="AA5" i="160"/>
  <c r="R52"/>
  <c r="AA14"/>
  <c r="F46"/>
  <c r="AA18"/>
  <c r="AB18" s="1"/>
  <c r="AA31"/>
  <c r="AB31" s="1"/>
  <c r="AA33"/>
  <c r="AB33" s="1"/>
  <c r="AA11" i="161"/>
  <c r="AB11" s="1"/>
  <c r="AA14"/>
  <c r="AA16"/>
  <c r="AB16" s="1"/>
  <c r="AA23"/>
  <c r="AA31"/>
  <c r="AB31" s="1"/>
  <c r="C50" i="166"/>
  <c r="AA32"/>
  <c r="AA19" i="159"/>
  <c r="AA36"/>
  <c r="F46" i="167"/>
  <c r="AA12" i="158"/>
  <c r="F45" i="160"/>
  <c r="Q53" i="148"/>
  <c r="F47"/>
  <c r="R52" i="159"/>
  <c r="R51" s="1"/>
  <c r="F46" i="161"/>
  <c r="Q53" i="166"/>
  <c r="Q53" i="167"/>
  <c r="R52" i="148"/>
  <c r="R52" i="158"/>
  <c r="AA23"/>
  <c r="C52"/>
  <c r="Q53" i="159"/>
  <c r="F46"/>
  <c r="Q52" i="160"/>
  <c r="AA6"/>
  <c r="Q53"/>
  <c r="AA10"/>
  <c r="AB10" s="1"/>
  <c r="AA12"/>
  <c r="AB12" s="1"/>
  <c r="C51"/>
  <c r="F47"/>
  <c r="AA29"/>
  <c r="AA34"/>
  <c r="F45" i="166"/>
  <c r="F45" i="167"/>
  <c r="F48" s="1"/>
  <c r="F45" i="158"/>
  <c r="F48" s="1"/>
  <c r="I3" i="159"/>
  <c r="F45"/>
  <c r="F47"/>
  <c r="Y5" i="160"/>
  <c r="AA9"/>
  <c r="AB9" s="1"/>
  <c r="AA16"/>
  <c r="AA23"/>
  <c r="AB23" s="1"/>
  <c r="AA26"/>
  <c r="R52" i="161"/>
  <c r="C50"/>
  <c r="F45"/>
  <c r="C51"/>
  <c r="AA19"/>
  <c r="F47"/>
  <c r="AA29"/>
  <c r="AB29" s="1"/>
  <c r="AA34"/>
  <c r="R52" i="166"/>
  <c r="F46"/>
  <c r="F47"/>
  <c r="R52" i="167"/>
  <c r="F48" i="148"/>
  <c r="AB23" i="167"/>
  <c r="AB27"/>
  <c r="AB31"/>
  <c r="AB35"/>
  <c r="AB20"/>
  <c r="AB24"/>
  <c r="AB30"/>
  <c r="AB34"/>
  <c r="AA6"/>
  <c r="AB6" s="1"/>
  <c r="AA7"/>
  <c r="AB7" s="1"/>
  <c r="AB8"/>
  <c r="AA10"/>
  <c r="AB10" s="1"/>
  <c r="AB12"/>
  <c r="AA14"/>
  <c r="AB16"/>
  <c r="AB21"/>
  <c r="AB25"/>
  <c r="C52"/>
  <c r="C53" s="1"/>
  <c r="AB33"/>
  <c r="AB37"/>
  <c r="AA19"/>
  <c r="AB19" s="1"/>
  <c r="E52"/>
  <c r="AB18"/>
  <c r="AB28"/>
  <c r="AB9"/>
  <c r="AA11"/>
  <c r="AB11" s="1"/>
  <c r="AB13"/>
  <c r="AA15"/>
  <c r="AB15" s="1"/>
  <c r="AB17"/>
  <c r="AB22"/>
  <c r="AB26"/>
  <c r="AB29"/>
  <c r="AB32"/>
  <c r="AB36"/>
  <c r="K3"/>
  <c r="T5"/>
  <c r="Q52" s="1"/>
  <c r="Z5"/>
  <c r="R50"/>
  <c r="R51" s="1"/>
  <c r="AB33" i="166"/>
  <c r="AB37"/>
  <c r="AB29"/>
  <c r="AB32"/>
  <c r="AB36"/>
  <c r="AB7"/>
  <c r="AA9"/>
  <c r="AB9" s="1"/>
  <c r="AB11"/>
  <c r="AA13"/>
  <c r="AB15"/>
  <c r="AA17"/>
  <c r="AB17" s="1"/>
  <c r="AB19"/>
  <c r="AA21"/>
  <c r="AB21" s="1"/>
  <c r="AB23"/>
  <c r="AA25"/>
  <c r="AB25" s="1"/>
  <c r="AB27"/>
  <c r="AB31"/>
  <c r="AB34"/>
  <c r="AB28"/>
  <c r="C52"/>
  <c r="C53" s="1"/>
  <c r="AA6"/>
  <c r="AB6" s="1"/>
  <c r="AB8"/>
  <c r="AA10"/>
  <c r="AB10" s="1"/>
  <c r="AB12"/>
  <c r="AA14"/>
  <c r="AB14" s="1"/>
  <c r="AB16"/>
  <c r="AB18"/>
  <c r="AA20"/>
  <c r="AB20" s="1"/>
  <c r="AB22"/>
  <c r="AA24"/>
  <c r="AB24" s="1"/>
  <c r="AB26"/>
  <c r="AB30"/>
  <c r="AB35"/>
  <c r="Z5"/>
  <c r="AA5" s="1"/>
  <c r="R50"/>
  <c r="R51" s="1"/>
  <c r="K3"/>
  <c r="T5"/>
  <c r="Q52" s="1"/>
  <c r="AA12" i="161"/>
  <c r="AB12" s="1"/>
  <c r="Q52"/>
  <c r="AA6"/>
  <c r="AB6" s="1"/>
  <c r="AA7"/>
  <c r="AB7" s="1"/>
  <c r="AB8"/>
  <c r="AB14"/>
  <c r="AA20"/>
  <c r="AB20" s="1"/>
  <c r="AB23"/>
  <c r="AA25"/>
  <c r="AB25" s="1"/>
  <c r="AB26"/>
  <c r="C52"/>
  <c r="C53" s="1"/>
  <c r="AA30"/>
  <c r="AB30" s="1"/>
  <c r="AA33"/>
  <c r="AB33" s="1"/>
  <c r="AB36"/>
  <c r="AB19"/>
  <c r="AB34"/>
  <c r="AB37"/>
  <c r="AA5"/>
  <c r="AA9"/>
  <c r="AB9" s="1"/>
  <c r="AB10"/>
  <c r="AB13"/>
  <c r="AA15"/>
  <c r="AB15" s="1"/>
  <c r="AA17"/>
  <c r="AB17" s="1"/>
  <c r="AB18"/>
  <c r="AB21"/>
  <c r="AA22"/>
  <c r="AB22" s="1"/>
  <c r="AA24"/>
  <c r="AB24" s="1"/>
  <c r="AA27"/>
  <c r="AB27" s="1"/>
  <c r="AB28"/>
  <c r="AA32"/>
  <c r="AB32" s="1"/>
  <c r="AB35"/>
  <c r="R50"/>
  <c r="R51" s="1"/>
  <c r="Q53"/>
  <c r="AA19" i="160"/>
  <c r="AB19" s="1"/>
  <c r="AB6"/>
  <c r="C50"/>
  <c r="F48"/>
  <c r="AA11"/>
  <c r="AB11" s="1"/>
  <c r="AA13"/>
  <c r="AB13" s="1"/>
  <c r="AB16"/>
  <c r="AB21"/>
  <c r="AA25"/>
  <c r="AB25" s="1"/>
  <c r="AB26"/>
  <c r="C52"/>
  <c r="AB36"/>
  <c r="AB29"/>
  <c r="AB34"/>
  <c r="AB37"/>
  <c r="AB5"/>
  <c r="AB14"/>
  <c r="AA15"/>
  <c r="AA17"/>
  <c r="AB17" s="1"/>
  <c r="AB20"/>
  <c r="AA22"/>
  <c r="AB22" s="1"/>
  <c r="AA24"/>
  <c r="AB24" s="1"/>
  <c r="AA27"/>
  <c r="AB27" s="1"/>
  <c r="AB28"/>
  <c r="AB30"/>
  <c r="AA32"/>
  <c r="AB32" s="1"/>
  <c r="AB35"/>
  <c r="Z8"/>
  <c r="R50"/>
  <c r="AB10" i="159"/>
  <c r="C51"/>
  <c r="AB8"/>
  <c r="AA18"/>
  <c r="AB18" s="1"/>
  <c r="AB20"/>
  <c r="AA22"/>
  <c r="AB22" s="1"/>
  <c r="AB24"/>
  <c r="AA26"/>
  <c r="AB26" s="1"/>
  <c r="AB28"/>
  <c r="AA30"/>
  <c r="AB30" s="1"/>
  <c r="AB32"/>
  <c r="AA34"/>
  <c r="AB34" s="1"/>
  <c r="C50"/>
  <c r="AB7"/>
  <c r="AB11"/>
  <c r="AB13"/>
  <c r="AB15"/>
  <c r="C52"/>
  <c r="AB5"/>
  <c r="AB9"/>
  <c r="AB12"/>
  <c r="AB14"/>
  <c r="AB16"/>
  <c r="AA17"/>
  <c r="E51" s="1"/>
  <c r="AB19"/>
  <c r="AA21"/>
  <c r="AB23"/>
  <c r="AA25"/>
  <c r="AB25" s="1"/>
  <c r="AB27"/>
  <c r="AB29"/>
  <c r="AA31"/>
  <c r="AB31" s="1"/>
  <c r="AB33"/>
  <c r="AA35"/>
  <c r="AB35" s="1"/>
  <c r="AB36"/>
  <c r="AB37"/>
  <c r="Z6"/>
  <c r="T5"/>
  <c r="Q52" s="1"/>
  <c r="Y5"/>
  <c r="AB29" i="158"/>
  <c r="C50"/>
  <c r="AB8"/>
  <c r="AB30"/>
  <c r="AB34"/>
  <c r="AA5"/>
  <c r="AB5" s="1"/>
  <c r="AB10"/>
  <c r="AB14"/>
  <c r="AA16"/>
  <c r="AB16" s="1"/>
  <c r="C51"/>
  <c r="AA18"/>
  <c r="AB18" s="1"/>
  <c r="AB20"/>
  <c r="AA22"/>
  <c r="AB22" s="1"/>
  <c r="AB24"/>
  <c r="AA26"/>
  <c r="AB26" s="1"/>
  <c r="AB28"/>
  <c r="AB32"/>
  <c r="AB36"/>
  <c r="AB9"/>
  <c r="AB33"/>
  <c r="AB37"/>
  <c r="Q52"/>
  <c r="AA6"/>
  <c r="AB6" s="1"/>
  <c r="AB7"/>
  <c r="AB11"/>
  <c r="AB12"/>
  <c r="AA13"/>
  <c r="AB13" s="1"/>
  <c r="AB15"/>
  <c r="AA17"/>
  <c r="AB17" s="1"/>
  <c r="AB19"/>
  <c r="AA21"/>
  <c r="AB21" s="1"/>
  <c r="AB23"/>
  <c r="AA25"/>
  <c r="AB25" s="1"/>
  <c r="AB27"/>
  <c r="AB31"/>
  <c r="AB35"/>
  <c r="R50"/>
  <c r="Q53"/>
  <c r="AA15" i="148"/>
  <c r="AB15" s="1"/>
  <c r="AB8"/>
  <c r="AB12"/>
  <c r="AB31"/>
  <c r="AB35"/>
  <c r="AB9"/>
  <c r="AB13"/>
  <c r="AA16"/>
  <c r="AB16" s="1"/>
  <c r="AB32"/>
  <c r="AB36"/>
  <c r="Q52"/>
  <c r="AB10"/>
  <c r="AB14"/>
  <c r="AB18"/>
  <c r="AA20"/>
  <c r="AB20" s="1"/>
  <c r="AB22"/>
  <c r="AA24"/>
  <c r="AB24" s="1"/>
  <c r="AB26"/>
  <c r="AA28"/>
  <c r="AB28" s="1"/>
  <c r="AB33"/>
  <c r="AB37"/>
  <c r="AA5"/>
  <c r="AB5" s="1"/>
  <c r="C50"/>
  <c r="AB7"/>
  <c r="AB11"/>
  <c r="AB17"/>
  <c r="C51"/>
  <c r="AA19"/>
  <c r="AB19" s="1"/>
  <c r="AB21"/>
  <c r="AA23"/>
  <c r="AB23" s="1"/>
  <c r="AB25"/>
  <c r="AA27"/>
  <c r="AB27" s="1"/>
  <c r="C52"/>
  <c r="AA29"/>
  <c r="AB29" s="1"/>
  <c r="AB34"/>
  <c r="Z6"/>
  <c r="AA6" s="1"/>
  <c r="R50"/>
  <c r="F48" i="161" l="1"/>
  <c r="E50"/>
  <c r="F48" i="159"/>
  <c r="R53"/>
  <c r="E52"/>
  <c r="E51" i="167"/>
  <c r="F48" i="166"/>
  <c r="C53" i="158"/>
  <c r="E52"/>
  <c r="AB21" i="159"/>
  <c r="E51" i="160"/>
  <c r="C53"/>
  <c r="E51" i="166"/>
  <c r="E51" i="148"/>
  <c r="AB14" i="167"/>
  <c r="F51" s="1"/>
  <c r="F52"/>
  <c r="H52" s="1"/>
  <c r="R53"/>
  <c r="AA5"/>
  <c r="E50" s="1"/>
  <c r="E52" i="166"/>
  <c r="E50"/>
  <c r="AB5"/>
  <c r="F50" s="1"/>
  <c r="F52"/>
  <c r="AB13"/>
  <c r="F51" s="1"/>
  <c r="H51" s="1"/>
  <c r="R53"/>
  <c r="F52" i="161"/>
  <c r="E51"/>
  <c r="E52"/>
  <c r="AB5"/>
  <c r="F50" s="1"/>
  <c r="H50" s="1"/>
  <c r="F51"/>
  <c r="R53"/>
  <c r="E52" i="160"/>
  <c r="R51"/>
  <c r="R53" s="1"/>
  <c r="F52"/>
  <c r="AA8"/>
  <c r="E50" s="1"/>
  <c r="AB15"/>
  <c r="F51" s="1"/>
  <c r="H51" s="1"/>
  <c r="AB17" i="159"/>
  <c r="F51" s="1"/>
  <c r="H51" s="1"/>
  <c r="AA6"/>
  <c r="E50" s="1"/>
  <c r="F52"/>
  <c r="C53"/>
  <c r="R51" i="158"/>
  <c r="R53" s="1"/>
  <c r="F50"/>
  <c r="F52"/>
  <c r="E51"/>
  <c r="E50"/>
  <c r="F51"/>
  <c r="R51" i="148"/>
  <c r="R53" s="1"/>
  <c r="F52"/>
  <c r="E52"/>
  <c r="F51"/>
  <c r="E50"/>
  <c r="AB6"/>
  <c r="F50" s="1"/>
  <c r="C53"/>
  <c r="H51" i="167" l="1"/>
  <c r="H52" i="161"/>
  <c r="H51" i="148"/>
  <c r="H52" i="159"/>
  <c r="H52" i="158"/>
  <c r="H51" i="161"/>
  <c r="H53" s="1"/>
  <c r="Q51" s="1"/>
  <c r="Q50" s="1"/>
  <c r="H52" i="148"/>
  <c r="H52" i="160"/>
  <c r="AB5" i="167"/>
  <c r="F50" s="1"/>
  <c r="E53"/>
  <c r="E53" i="166"/>
  <c r="H50"/>
  <c r="H52"/>
  <c r="F53"/>
  <c r="C45" s="1"/>
  <c r="E53" i="161"/>
  <c r="F53"/>
  <c r="C46" s="1"/>
  <c r="C45"/>
  <c r="C47"/>
  <c r="AB8" i="160"/>
  <c r="F50" s="1"/>
  <c r="E53"/>
  <c r="AB6" i="159"/>
  <c r="F50" s="1"/>
  <c r="E53"/>
  <c r="F53" i="158"/>
  <c r="C45" s="1"/>
  <c r="C46"/>
  <c r="H51"/>
  <c r="E53"/>
  <c r="H50"/>
  <c r="F53" i="148"/>
  <c r="C47" s="1"/>
  <c r="H50"/>
  <c r="H53" s="1"/>
  <c r="Q51" s="1"/>
  <c r="Q50" s="1"/>
  <c r="E53"/>
  <c r="C46" l="1"/>
  <c r="C46" i="166"/>
  <c r="C45" i="148"/>
  <c r="C47" i="158"/>
  <c r="C48" s="1"/>
  <c r="C47" i="166"/>
  <c r="H53"/>
  <c r="Q51" s="1"/>
  <c r="Q50" s="1"/>
  <c r="H53" i="158"/>
  <c r="Q51" s="1"/>
  <c r="Q50" s="1"/>
  <c r="F53" i="167"/>
  <c r="C46" s="1"/>
  <c r="H50"/>
  <c r="H53" s="1"/>
  <c r="Q51" s="1"/>
  <c r="Q50" s="1"/>
  <c r="C48" i="161"/>
  <c r="F53" i="160"/>
  <c r="C45" s="1"/>
  <c r="H50"/>
  <c r="H53" s="1"/>
  <c r="Q51" s="1"/>
  <c r="Q50" s="1"/>
  <c r="F53" i="159"/>
  <c r="C45" s="1"/>
  <c r="H50"/>
  <c r="H53" s="1"/>
  <c r="Q51" s="1"/>
  <c r="Q50" s="1"/>
  <c r="C48" i="166" l="1"/>
  <c r="C48" i="148"/>
  <c r="C47" i="159"/>
  <c r="C46"/>
  <c r="C47" i="167"/>
  <c r="C45"/>
  <c r="C47" i="160"/>
  <c r="C46"/>
  <c r="C48" l="1"/>
  <c r="C48" i="167"/>
  <c r="C48" i="159"/>
</calcChain>
</file>

<file path=xl/sharedStrings.xml><?xml version="1.0" encoding="utf-8"?>
<sst xmlns="http://schemas.openxmlformats.org/spreadsheetml/2006/main" count="1363" uniqueCount="360">
  <si>
    <t>中</t>
  </si>
  <si>
    <t>夜</t>
  </si>
  <si>
    <t>单重</t>
    <phoneticPr fontId="2" type="noConversion"/>
  </si>
  <si>
    <t>CES002(1)</t>
  </si>
  <si>
    <t>CES004(1)</t>
  </si>
  <si>
    <t>CES005(1)</t>
  </si>
  <si>
    <t>CES008(1)</t>
  </si>
  <si>
    <t>CES009(1)</t>
  </si>
  <si>
    <t>DEC601(1)</t>
  </si>
  <si>
    <t>DEC701(1)</t>
  </si>
  <si>
    <t>DEC702(1)</t>
  </si>
  <si>
    <t>DEC801(1)</t>
  </si>
  <si>
    <t>DEC802(1)</t>
  </si>
  <si>
    <t>DEC851(1)</t>
  </si>
  <si>
    <t>DEC951(1)</t>
  </si>
  <si>
    <t>DEM701(1)</t>
  </si>
  <si>
    <t>DES602(1)</t>
  </si>
  <si>
    <t>DES603(1)</t>
  </si>
  <si>
    <t>DES701(1)</t>
  </si>
  <si>
    <t>DES801(1)</t>
  </si>
  <si>
    <t>DES851(1)</t>
  </si>
  <si>
    <t>DES951(1)</t>
  </si>
  <si>
    <t>DES952(1)</t>
  </si>
  <si>
    <t>SES303(1)</t>
  </si>
  <si>
    <t>SES322(1)</t>
  </si>
  <si>
    <t>SES341(1)</t>
  </si>
  <si>
    <t>SES381(1)</t>
  </si>
  <si>
    <t>SES471(1)</t>
  </si>
  <si>
    <t>DJS401(1)</t>
  </si>
  <si>
    <t>DJS501(1)</t>
  </si>
  <si>
    <t>DJS601(1)</t>
  </si>
  <si>
    <t>DJS701(1)</t>
  </si>
  <si>
    <t>DJS751(1)</t>
  </si>
  <si>
    <t>DJS801(1)</t>
  </si>
  <si>
    <t>DJS802(1)</t>
  </si>
  <si>
    <t>DJS803(1)</t>
  </si>
  <si>
    <t>SJS191(1)</t>
  </si>
  <si>
    <t>CES001(1)</t>
  </si>
  <si>
    <t>DJS603(1)</t>
  </si>
  <si>
    <t>SES322(0)</t>
  </si>
  <si>
    <t>备注3:</t>
  </si>
  <si>
    <t>备注4:</t>
  </si>
  <si>
    <t>备注5:</t>
  </si>
  <si>
    <t>备注6:</t>
  </si>
  <si>
    <t>SES402(0)</t>
  </si>
  <si>
    <t>SES371(0)</t>
  </si>
  <si>
    <t>SES372(0)</t>
  </si>
  <si>
    <t>SES311(0)</t>
  </si>
  <si>
    <t>SES471(0)</t>
  </si>
  <si>
    <t>SES381(0)</t>
  </si>
  <si>
    <t>SES402(T1)</t>
  </si>
  <si>
    <t>SES371(T1)</t>
  </si>
  <si>
    <t>SES372(T1)</t>
  </si>
  <si>
    <t>SES322(T1)</t>
  </si>
  <si>
    <t>SES311(T1)</t>
  </si>
  <si>
    <t>SES471(T1)</t>
  </si>
  <si>
    <t>SES381(T1)</t>
  </si>
  <si>
    <t>早</t>
  </si>
  <si>
    <t>早</t>
    <phoneticPr fontId="2" type="noConversion"/>
  </si>
  <si>
    <t>RIGHT</t>
    <phoneticPr fontId="2" type="noConversion"/>
  </si>
  <si>
    <t>产量</t>
    <phoneticPr fontId="2" type="noConversion"/>
  </si>
  <si>
    <t>订单</t>
    <phoneticPr fontId="2" type="noConversion"/>
  </si>
  <si>
    <t>炼胶胶料名称2</t>
    <phoneticPr fontId="2" type="noConversion"/>
  </si>
  <si>
    <t>LEFT</t>
    <phoneticPr fontId="2" type="noConversion"/>
  </si>
  <si>
    <t>编码</t>
    <phoneticPr fontId="2" type="noConversion"/>
  </si>
  <si>
    <t>定额</t>
    <phoneticPr fontId="2" type="noConversion"/>
  </si>
  <si>
    <t>/</t>
  </si>
  <si>
    <t>班次</t>
  </si>
  <si>
    <t>辅生产线</t>
  </si>
  <si>
    <t>DEC802(0)</t>
  </si>
  <si>
    <t>CES023(1)</t>
  </si>
  <si>
    <t>DEC651(1)</t>
  </si>
  <si>
    <t>CES003(1)</t>
  </si>
  <si>
    <t>CES006(1)</t>
  </si>
  <si>
    <t>CES010(1)</t>
  </si>
  <si>
    <t>CES011(1)</t>
  </si>
  <si>
    <t>CES012(1)</t>
  </si>
  <si>
    <t>CES013(1)</t>
  </si>
  <si>
    <t>CES015(1)</t>
  </si>
  <si>
    <t>CES016(1)</t>
  </si>
  <si>
    <t>CES017(1)</t>
  </si>
  <si>
    <t>CES018(1)</t>
  </si>
  <si>
    <t>CES019(1)</t>
  </si>
  <si>
    <t>CES020(1)</t>
  </si>
  <si>
    <t>CES021(1)</t>
  </si>
  <si>
    <t>CES022(1)</t>
  </si>
  <si>
    <t>CES024(1)</t>
  </si>
  <si>
    <t>CES300(0)</t>
  </si>
  <si>
    <t>CES600(0)</t>
  </si>
  <si>
    <t>CES601(0)</t>
  </si>
  <si>
    <t>DEC601(0)</t>
  </si>
  <si>
    <t>DEC701(0)</t>
  </si>
  <si>
    <t>DEC704(1)</t>
  </si>
  <si>
    <t>DEC705(1)</t>
  </si>
  <si>
    <t>DEC751(0)</t>
  </si>
  <si>
    <t>DEC801(0)</t>
  </si>
  <si>
    <t>DEC951(0)</t>
  </si>
  <si>
    <t>DEM601(1)</t>
  </si>
  <si>
    <t>DEM701(0)</t>
  </si>
  <si>
    <t>DES401(0)</t>
  </si>
  <si>
    <t>DES401(1)</t>
  </si>
  <si>
    <t>DES501(0)</t>
  </si>
  <si>
    <t>DES501(1)</t>
  </si>
  <si>
    <t>DES601(1)</t>
  </si>
  <si>
    <t>DES602(0)</t>
  </si>
  <si>
    <t>DES603(0)</t>
  </si>
  <si>
    <t>DES604(1)</t>
  </si>
  <si>
    <t>DES701(0)</t>
  </si>
  <si>
    <t>DES801(0)</t>
  </si>
  <si>
    <t>DES851(0)</t>
  </si>
  <si>
    <t>DES851(T1)</t>
  </si>
  <si>
    <t>DES854(1)</t>
  </si>
  <si>
    <t>DES951(0)</t>
  </si>
  <si>
    <t>DES952(0)</t>
  </si>
  <si>
    <t>DJM601(0)</t>
  </si>
  <si>
    <t>DJS401(0)</t>
  </si>
  <si>
    <t>DJS501(0)</t>
  </si>
  <si>
    <t>DJS502(1)</t>
  </si>
  <si>
    <t>DJS601(0)</t>
  </si>
  <si>
    <t>DJS604(1)</t>
  </si>
  <si>
    <t>DJS702(0)</t>
  </si>
  <si>
    <t>DJS702(1)</t>
  </si>
  <si>
    <t>DJS704(1)</t>
  </si>
  <si>
    <t>DJS751(0)</t>
  </si>
  <si>
    <t>DJS801(0)</t>
  </si>
  <si>
    <t>DJS802(0)</t>
  </si>
  <si>
    <t>DJS851(0)</t>
  </si>
  <si>
    <t>EMT 65(0)</t>
  </si>
  <si>
    <t>EMT 65(1)</t>
  </si>
  <si>
    <t>SEC291(0)</t>
  </si>
  <si>
    <t>SEC291(1)</t>
  </si>
  <si>
    <t>SES303(0)</t>
  </si>
  <si>
    <t>SES311(1)</t>
  </si>
  <si>
    <t>SES341(0)</t>
  </si>
  <si>
    <t>SES371(1)</t>
  </si>
  <si>
    <t>SES372(1)</t>
  </si>
  <si>
    <t>SES373(1)</t>
  </si>
  <si>
    <t>SES402(1)</t>
  </si>
  <si>
    <t>SES403(1)</t>
  </si>
  <si>
    <t>SES404(0)</t>
  </si>
  <si>
    <t>SES404(1)</t>
  </si>
  <si>
    <t>SES431(0)</t>
  </si>
  <si>
    <t>SES472(0)</t>
  </si>
  <si>
    <t>SES472(1)</t>
  </si>
  <si>
    <t>SJS191(0)</t>
  </si>
  <si>
    <t>WIN60薄片</t>
  </si>
  <si>
    <t>CLEAN</t>
  </si>
  <si>
    <t>SCM70(1)出条</t>
  </si>
  <si>
    <t>WIN60(1)</t>
  </si>
  <si>
    <t>设备保养</t>
  </si>
  <si>
    <t>SUK85(1)出条</t>
  </si>
  <si>
    <t>SP.KY-55(1)</t>
  </si>
  <si>
    <t>WSL70/HA(0)</t>
  </si>
  <si>
    <t>COS80/HA(0)</t>
  </si>
  <si>
    <t>DJM604(1)</t>
  </si>
  <si>
    <t>0+0</t>
    <phoneticPr fontId="2" type="noConversion"/>
  </si>
  <si>
    <t>炼胶生产任务单</t>
    <phoneticPr fontId="2" type="noConversion"/>
  </si>
  <si>
    <t>生产日期：</t>
    <phoneticPr fontId="2" type="noConversion"/>
  </si>
  <si>
    <t>炼胶胶料名称1</t>
    <phoneticPr fontId="2" type="noConversion"/>
  </si>
  <si>
    <t>方向</t>
    <phoneticPr fontId="2" type="noConversion"/>
  </si>
  <si>
    <t>(0)</t>
    <phoneticPr fontId="2" type="noConversion"/>
  </si>
  <si>
    <t>备注2:</t>
  </si>
  <si>
    <t>旧描述</t>
  </si>
  <si>
    <t>SCM60PY(0)</t>
  </si>
  <si>
    <t>SCM60(1)</t>
  </si>
  <si>
    <t>SCM70(1)</t>
  </si>
  <si>
    <t>MKT70B(1)</t>
  </si>
  <si>
    <t>SCM80(1)</t>
  </si>
  <si>
    <t>MKT80(1)</t>
  </si>
  <si>
    <t>MF85(1)</t>
  </si>
  <si>
    <t>UVH95(0)</t>
  </si>
  <si>
    <t>UVH95(1)</t>
  </si>
  <si>
    <t>BKI70(1)</t>
  </si>
  <si>
    <t>BKI70(0)</t>
  </si>
  <si>
    <t>PROF60(1)</t>
  </si>
  <si>
    <t>CIS60(0)</t>
  </si>
  <si>
    <t>CIS60(1)</t>
  </si>
  <si>
    <t>ROM60(0)</t>
  </si>
  <si>
    <t>ROM60(1)</t>
  </si>
  <si>
    <t>WSL70(1)</t>
  </si>
  <si>
    <t>COS80(1)</t>
  </si>
  <si>
    <t>SUK85(1)</t>
  </si>
  <si>
    <t>BF95(0)</t>
  </si>
  <si>
    <t>BF95(1)</t>
  </si>
  <si>
    <t>LCS95(0)</t>
  </si>
  <si>
    <t>LCS95(1)</t>
  </si>
  <si>
    <t>PKX6000(0)</t>
  </si>
  <si>
    <t>PKX6000(1)</t>
  </si>
  <si>
    <t>TOGO40(1)</t>
  </si>
  <si>
    <t>TOGO50(0)</t>
  </si>
  <si>
    <t>TOGO50(1)</t>
  </si>
  <si>
    <t>DJS502(1)出片</t>
  </si>
  <si>
    <t>WIN60(0)</t>
  </si>
  <si>
    <t>WIN60(1)出片</t>
  </si>
  <si>
    <t>DJS603(1)出片</t>
  </si>
  <si>
    <t>WIN70（1）</t>
  </si>
  <si>
    <t>WIN75(0)</t>
  </si>
  <si>
    <t>WIN75(1)</t>
  </si>
  <si>
    <t>RCS80(0)</t>
  </si>
  <si>
    <t>RCS80(1)</t>
  </si>
  <si>
    <t>WIN80(0)</t>
  </si>
  <si>
    <t>WIN80(1)</t>
  </si>
  <si>
    <t>WIN80A(1)</t>
  </si>
  <si>
    <t>WIN85(0)</t>
  </si>
  <si>
    <t>SP.HOOD(1)</t>
  </si>
  <si>
    <t>SP.CAMO(0)</t>
  </si>
  <si>
    <t>SP.CAMO/ZR(1)</t>
  </si>
  <si>
    <t>SP.OPEN(1)</t>
  </si>
  <si>
    <t>SP.ALFA(1)</t>
  </si>
  <si>
    <t>SP.SCM(0)</t>
  </si>
  <si>
    <t>SP.SCM/DO（1）</t>
  </si>
  <si>
    <t>SP.SCM/TS（1）</t>
  </si>
  <si>
    <t>SP.CHP(1)</t>
  </si>
  <si>
    <t>SES401(0)二段</t>
  </si>
  <si>
    <t>SES401外发(0)</t>
  </si>
  <si>
    <t>SES401(1)二段</t>
  </si>
  <si>
    <t>SPT/03PY(0)</t>
  </si>
  <si>
    <t>SPT03(1)</t>
  </si>
  <si>
    <t>SP.KY-55(0)</t>
  </si>
  <si>
    <t>DEC705(0)</t>
  </si>
  <si>
    <t>DEM651(1)</t>
  </si>
  <si>
    <t>DES702(1)</t>
  </si>
  <si>
    <t>新描述</t>
  </si>
  <si>
    <t>物料</t>
    <phoneticPr fontId="2" type="noConversion"/>
  </si>
  <si>
    <t>订单号</t>
    <phoneticPr fontId="2" type="noConversion"/>
  </si>
  <si>
    <t>旧物料描述</t>
    <phoneticPr fontId="2" type="noConversion"/>
  </si>
  <si>
    <t>新物料描述</t>
    <phoneticPr fontId="2" type="noConversion"/>
  </si>
  <si>
    <t>物料编码</t>
    <phoneticPr fontId="2" type="noConversion"/>
  </si>
  <si>
    <t>生产订单</t>
    <phoneticPr fontId="2" type="noConversion"/>
  </si>
  <si>
    <t>单车重量</t>
    <phoneticPr fontId="2" type="noConversion"/>
  </si>
  <si>
    <t>单车工时</t>
    <phoneticPr fontId="2" type="noConversion"/>
  </si>
  <si>
    <t>DJM601(1)</t>
    <phoneticPr fontId="2" type="noConversion"/>
  </si>
  <si>
    <t>DJS502(1)出片</t>
    <phoneticPr fontId="2" type="noConversion"/>
  </si>
  <si>
    <t>DJS601(1)出片</t>
    <phoneticPr fontId="2" type="noConversion"/>
  </si>
  <si>
    <t>SES401外发(0)</t>
    <phoneticPr fontId="2" type="noConversion"/>
  </si>
  <si>
    <t>SES401(1)二段</t>
    <phoneticPr fontId="2" type="noConversion"/>
  </si>
  <si>
    <t>DJS601薄片</t>
    <phoneticPr fontId="2" type="noConversion"/>
  </si>
  <si>
    <t>DEC705(0)</t>
    <phoneticPr fontId="2" type="noConversion"/>
  </si>
  <si>
    <t>&amp;</t>
    <phoneticPr fontId="2" type="noConversion"/>
  </si>
  <si>
    <t>+</t>
    <phoneticPr fontId="2" type="noConversion"/>
  </si>
  <si>
    <t>DEC852(0)</t>
    <phoneticPr fontId="2" type="noConversion"/>
  </si>
  <si>
    <t>DEC852(1)</t>
    <phoneticPr fontId="2" type="noConversion"/>
  </si>
  <si>
    <t>DEC852(1)一段</t>
    <phoneticPr fontId="2" type="noConversion"/>
  </si>
  <si>
    <t>SEC292(0)</t>
    <phoneticPr fontId="2" type="noConversion"/>
  </si>
  <si>
    <t>SEC292(1)</t>
    <phoneticPr fontId="2" type="noConversion"/>
  </si>
  <si>
    <t>-</t>
    <phoneticPr fontId="2" type="noConversion"/>
  </si>
  <si>
    <t>270043-</t>
    <phoneticPr fontId="2" type="noConversion"/>
  </si>
  <si>
    <t>DJS805(1)</t>
    <phoneticPr fontId="2" type="noConversion"/>
  </si>
  <si>
    <t>DJS805(0)</t>
    <phoneticPr fontId="2" type="noConversion"/>
  </si>
  <si>
    <t>270148-</t>
    <phoneticPr fontId="2" type="noConversion"/>
  </si>
  <si>
    <r>
      <t>S</t>
    </r>
    <r>
      <rPr>
        <sz val="10"/>
        <rFont val="宋体"/>
        <family val="3"/>
        <charset val="134"/>
      </rPr>
      <t>JS193(0)</t>
    </r>
    <phoneticPr fontId="2" type="noConversion"/>
  </si>
  <si>
    <t>270044-</t>
    <phoneticPr fontId="2" type="noConversion"/>
  </si>
  <si>
    <t>SJS192(0)</t>
    <phoneticPr fontId="2" type="noConversion"/>
  </si>
  <si>
    <t>SJS192(1)</t>
    <phoneticPr fontId="2" type="noConversion"/>
  </si>
  <si>
    <t>方向代码</t>
    <phoneticPr fontId="2" type="noConversion"/>
  </si>
  <si>
    <t>方向</t>
    <phoneticPr fontId="2" type="noConversion"/>
  </si>
  <si>
    <t>炼胶</t>
    <phoneticPr fontId="2" type="noConversion"/>
  </si>
  <si>
    <t>挤出</t>
    <phoneticPr fontId="2" type="noConversion"/>
  </si>
  <si>
    <t>后加工</t>
    <phoneticPr fontId="2" type="noConversion"/>
  </si>
  <si>
    <t>后宽</t>
    <phoneticPr fontId="2" type="noConversion"/>
  </si>
  <si>
    <t>后窄</t>
    <phoneticPr fontId="2" type="noConversion"/>
  </si>
  <si>
    <t>工</t>
    <phoneticPr fontId="2" type="noConversion"/>
  </si>
  <si>
    <t>申翔</t>
    <phoneticPr fontId="2" type="noConversion"/>
  </si>
  <si>
    <t>申翔3</t>
    <phoneticPr fontId="2" type="noConversion"/>
  </si>
  <si>
    <t>申翔宽</t>
    <phoneticPr fontId="2" type="noConversion"/>
  </si>
  <si>
    <t>申舒</t>
    <phoneticPr fontId="2" type="noConversion"/>
  </si>
  <si>
    <t>申舒宽</t>
    <phoneticPr fontId="2" type="noConversion"/>
  </si>
  <si>
    <t>申舒窄</t>
    <phoneticPr fontId="2" type="noConversion"/>
  </si>
  <si>
    <t>橡研所</t>
    <phoneticPr fontId="2" type="noConversion"/>
  </si>
  <si>
    <t>无锡</t>
    <phoneticPr fontId="2" type="noConversion"/>
  </si>
  <si>
    <t>金豹</t>
    <phoneticPr fontId="2" type="noConversion"/>
  </si>
  <si>
    <t>广州</t>
    <phoneticPr fontId="2" type="noConversion"/>
  </si>
  <si>
    <t>淮安</t>
    <phoneticPr fontId="2" type="noConversion"/>
  </si>
  <si>
    <t>三产</t>
    <phoneticPr fontId="2" type="noConversion"/>
  </si>
  <si>
    <t>申翔窄</t>
    <phoneticPr fontId="2" type="noConversion"/>
  </si>
  <si>
    <t>约定</t>
    <phoneticPr fontId="2" type="noConversion"/>
  </si>
  <si>
    <t>重庆</t>
    <phoneticPr fontId="2" type="noConversion"/>
  </si>
  <si>
    <t>秦皇岛</t>
    <phoneticPr fontId="2" type="noConversion"/>
  </si>
  <si>
    <t>三区</t>
    <phoneticPr fontId="2" type="noConversion"/>
  </si>
  <si>
    <t>宁波</t>
    <phoneticPr fontId="2" type="noConversion"/>
  </si>
  <si>
    <t>三区宽</t>
    <phoneticPr fontId="2" type="noConversion"/>
  </si>
  <si>
    <t>三区窄</t>
    <phoneticPr fontId="2" type="noConversion"/>
  </si>
  <si>
    <t>炼胶生产任务单</t>
    <phoneticPr fontId="2" type="noConversion"/>
  </si>
  <si>
    <t>生产日期：</t>
    <phoneticPr fontId="2" type="noConversion"/>
  </si>
  <si>
    <t>LEFT</t>
    <phoneticPr fontId="2" type="noConversion"/>
  </si>
  <si>
    <t>RIGHT</t>
    <phoneticPr fontId="2" type="noConversion"/>
  </si>
  <si>
    <t>编码</t>
    <phoneticPr fontId="2" type="noConversion"/>
  </si>
  <si>
    <t>炼胶胶料名称1</t>
    <phoneticPr fontId="2" type="noConversion"/>
  </si>
  <si>
    <t>方向</t>
    <phoneticPr fontId="2" type="noConversion"/>
  </si>
  <si>
    <t>产量</t>
    <phoneticPr fontId="2" type="noConversion"/>
  </si>
  <si>
    <t>班次</t>
    <phoneticPr fontId="2" type="noConversion"/>
  </si>
  <si>
    <t>班次</t>
    <phoneticPr fontId="2" type="noConversion"/>
  </si>
  <si>
    <t>订单</t>
    <phoneticPr fontId="2" type="noConversion"/>
  </si>
  <si>
    <t>炼胶胶料名称2</t>
    <phoneticPr fontId="2" type="noConversion"/>
  </si>
  <si>
    <t>单重</t>
    <phoneticPr fontId="2" type="noConversion"/>
  </si>
  <si>
    <t>定额</t>
    <phoneticPr fontId="2" type="noConversion"/>
  </si>
  <si>
    <t>(0)</t>
    <phoneticPr fontId="2" type="noConversion"/>
  </si>
  <si>
    <t>超</t>
    <phoneticPr fontId="2" type="noConversion"/>
  </si>
  <si>
    <t>超</t>
    <phoneticPr fontId="2" type="noConversion"/>
  </si>
  <si>
    <t>早</t>
    <phoneticPr fontId="2" type="noConversion"/>
  </si>
  <si>
    <t>0+0</t>
    <phoneticPr fontId="2" type="noConversion"/>
  </si>
  <si>
    <t>中</t>
    <phoneticPr fontId="2" type="noConversion"/>
  </si>
  <si>
    <t>夜</t>
    <phoneticPr fontId="2" type="noConversion"/>
  </si>
  <si>
    <t>备注1:</t>
    <phoneticPr fontId="2" type="noConversion"/>
  </si>
  <si>
    <t>SES401(1)4车粘度&gt;32,过滤出条</t>
    <phoneticPr fontId="2" type="noConversion"/>
  </si>
  <si>
    <t>异常情况记录</t>
    <phoneticPr fontId="2" type="noConversion"/>
  </si>
  <si>
    <t>备注2:</t>
    <phoneticPr fontId="2" type="noConversion"/>
  </si>
  <si>
    <t>SES401(1)后12车配料时多加100克N1000SW发泡剂,5#线MODEL H行李箱专用</t>
    <phoneticPr fontId="2" type="noConversion"/>
  </si>
  <si>
    <t>备注3:</t>
    <phoneticPr fontId="2" type="noConversion"/>
  </si>
  <si>
    <t>SES471(1)3车粘度&gt;46,4#线SGM60上部条A专用</t>
    <phoneticPr fontId="2" type="noConversion"/>
  </si>
  <si>
    <t>DES701/1(1)为增加装胶容量配方，试黑</t>
    <phoneticPr fontId="2" type="noConversion"/>
  </si>
  <si>
    <t>备注5:</t>
    <phoneticPr fontId="2" type="noConversion"/>
  </si>
  <si>
    <t>DEC852(1)配料时用D5等量替代FS-12,用国产氧化锌等量替代含山氧化锌,其它不变</t>
    <phoneticPr fontId="2" type="noConversion"/>
  </si>
  <si>
    <t>计    划    工    时    (分)</t>
    <phoneticPr fontId="2" type="noConversion"/>
  </si>
  <si>
    <t>主生产线</t>
    <phoneticPr fontId="2" type="noConversion"/>
  </si>
  <si>
    <t>实    际    工    时    (分)</t>
    <phoneticPr fontId="2" type="noConversion"/>
  </si>
  <si>
    <t>早/乙</t>
    <phoneticPr fontId="2" type="noConversion"/>
  </si>
  <si>
    <t>中/丙</t>
    <phoneticPr fontId="2" type="noConversion"/>
  </si>
  <si>
    <t>夜/丁</t>
    <phoneticPr fontId="2" type="noConversion"/>
  </si>
  <si>
    <t>合计</t>
    <phoneticPr fontId="2" type="noConversion"/>
  </si>
  <si>
    <t>计       划       产       量      (吨)</t>
    <phoneticPr fontId="2" type="noConversion"/>
  </si>
  <si>
    <t>接角料</t>
    <phoneticPr fontId="2" type="noConversion"/>
  </si>
  <si>
    <t>母炼胶</t>
    <phoneticPr fontId="2" type="noConversion"/>
  </si>
  <si>
    <t>终炼胶</t>
    <phoneticPr fontId="2" type="noConversion"/>
  </si>
  <si>
    <t xml:space="preserve">实       际         产       量     (吨) </t>
    <phoneticPr fontId="2" type="noConversion"/>
  </si>
  <si>
    <t>工时记号</t>
    <phoneticPr fontId="2" type="noConversion"/>
  </si>
  <si>
    <t>审核：钟治、董辉</t>
    <phoneticPr fontId="2" type="noConversion"/>
  </si>
  <si>
    <t>编制：李辉</t>
    <phoneticPr fontId="2" type="noConversion"/>
  </si>
  <si>
    <t>SES401(1)8车粘度&lt;31,3#线SGM201门窗专用</t>
    <phoneticPr fontId="2" type="noConversion"/>
  </si>
  <si>
    <t>16寸DJS702/S(1)小料变化，其它不变，试黑</t>
    <phoneticPr fontId="2" type="noConversion"/>
  </si>
  <si>
    <t>备注6:</t>
    <phoneticPr fontId="2" type="noConversion"/>
  </si>
  <si>
    <t>早/甲</t>
    <phoneticPr fontId="2" type="noConversion"/>
  </si>
  <si>
    <t>中/乙</t>
    <phoneticPr fontId="2" type="noConversion"/>
  </si>
  <si>
    <t>夜/丙</t>
    <phoneticPr fontId="2" type="noConversion"/>
  </si>
  <si>
    <t>53+70</t>
    <phoneticPr fontId="2" type="noConversion"/>
  </si>
  <si>
    <t>SES322(1)半车过滤出条</t>
    <phoneticPr fontId="2" type="noConversion"/>
  </si>
  <si>
    <t>DEC701(1)中班前12车用进口氧化钙替代CaO85,其他不变，1#线C346非光亮外侧条专用</t>
    <phoneticPr fontId="2" type="noConversion"/>
  </si>
  <si>
    <t>DEC701(1)24车过滤出条</t>
    <phoneticPr fontId="2" type="noConversion"/>
  </si>
  <si>
    <t>DES851(1)12车需过滤</t>
    <phoneticPr fontId="2" type="noConversion"/>
  </si>
  <si>
    <t>早/丁</t>
    <phoneticPr fontId="2" type="noConversion"/>
  </si>
  <si>
    <t>中/甲</t>
    <phoneticPr fontId="2" type="noConversion"/>
  </si>
  <si>
    <t>夜/乙</t>
    <phoneticPr fontId="2" type="noConversion"/>
  </si>
  <si>
    <r>
      <t>0</t>
    </r>
    <r>
      <rPr>
        <sz val="10"/>
        <rFont val="宋体"/>
        <family val="3"/>
        <charset val="134"/>
      </rPr>
      <t>+0</t>
    </r>
    <phoneticPr fontId="2" type="noConversion"/>
  </si>
  <si>
    <r>
      <t>2</t>
    </r>
    <r>
      <rPr>
        <sz val="10"/>
        <rFont val="宋体"/>
        <family val="3"/>
        <charset val="134"/>
      </rPr>
      <t>70044-</t>
    </r>
    <phoneticPr fontId="2" type="noConversion"/>
  </si>
  <si>
    <r>
      <t>5</t>
    </r>
    <r>
      <rPr>
        <sz val="10"/>
        <rFont val="宋体"/>
        <family val="3"/>
        <charset val="134"/>
      </rPr>
      <t>3+65</t>
    </r>
    <phoneticPr fontId="2" type="noConversion"/>
  </si>
  <si>
    <t>异常情况记录</t>
  </si>
  <si>
    <r>
      <t>D</t>
    </r>
    <r>
      <rPr>
        <b/>
        <sz val="10"/>
        <color indexed="12"/>
        <rFont val="宋体"/>
        <family val="3"/>
        <charset val="134"/>
      </rPr>
      <t>ES851(1)18车需过滤</t>
    </r>
    <phoneticPr fontId="2" type="noConversion"/>
  </si>
  <si>
    <r>
      <t>2</t>
    </r>
    <r>
      <rPr>
        <sz val="10"/>
        <rFont val="宋体"/>
        <family val="3"/>
        <charset val="134"/>
      </rPr>
      <t>70043-</t>
    </r>
    <phoneticPr fontId="2" type="noConversion"/>
  </si>
  <si>
    <r>
      <t>E</t>
    </r>
    <r>
      <rPr>
        <b/>
        <sz val="10"/>
        <color indexed="12"/>
        <rFont val="宋体"/>
        <family val="3"/>
        <charset val="134"/>
      </rPr>
      <t>MT65/2(1)为试验配方，试黑</t>
    </r>
    <phoneticPr fontId="2" type="noConversion"/>
  </si>
  <si>
    <t>日班16寸称CES300(0)塑料粒子20包</t>
    <phoneticPr fontId="2" type="noConversion"/>
  </si>
  <si>
    <t>早/丙</t>
    <phoneticPr fontId="2" type="noConversion"/>
  </si>
  <si>
    <t>中/丁</t>
    <phoneticPr fontId="2" type="noConversion"/>
  </si>
  <si>
    <t>夜/甲</t>
    <phoneticPr fontId="2" type="noConversion"/>
  </si>
  <si>
    <t>15+50</t>
    <phoneticPr fontId="2" type="noConversion"/>
  </si>
  <si>
    <t>DEC701(1)30车用进口氧化钙替代CaO85,其他不变，1#线C346非光亮外侧条专用</t>
    <phoneticPr fontId="2" type="noConversion"/>
  </si>
  <si>
    <t>DES851(1)18车需过滤</t>
    <phoneticPr fontId="2" type="noConversion"/>
  </si>
  <si>
    <t>53+35</t>
    <phoneticPr fontId="2" type="noConversion"/>
  </si>
  <si>
    <r>
      <t>SES</t>
    </r>
    <r>
      <rPr>
        <b/>
        <sz val="10"/>
        <color indexed="12"/>
        <rFont val="宋体"/>
        <family val="3"/>
        <charset val="134"/>
      </rPr>
      <t>471</t>
    </r>
    <r>
      <rPr>
        <b/>
        <sz val="10"/>
        <color indexed="12"/>
        <rFont val="宋体"/>
        <family val="3"/>
        <charset val="134"/>
      </rPr>
      <t>(1)半车过滤出条</t>
    </r>
    <phoneticPr fontId="2" type="noConversion"/>
  </si>
  <si>
    <t>270044-</t>
  </si>
  <si>
    <t>270043-</t>
  </si>
</sst>
</file>

<file path=xl/styles.xml><?xml version="1.0" encoding="utf-8"?>
<styleSheet xmlns="http://schemas.openxmlformats.org/spreadsheetml/2006/main">
  <numFmts count="10">
    <numFmt numFmtId="176" formatCode="_-* #,##0.00_-;\-* #,##0.00_-;_-* &quot;-&quot;??_-;_-@_-"/>
    <numFmt numFmtId="177" formatCode="0.0"/>
    <numFmt numFmtId="178" formatCode="0.000"/>
    <numFmt numFmtId="179" formatCode="0.0_);[Red]\(0.0\)"/>
    <numFmt numFmtId="180" formatCode="0.0_ "/>
    <numFmt numFmtId="181" formatCode="0.0000"/>
    <numFmt numFmtId="182" formatCode="0.000_);[Red]\(0.000\)"/>
    <numFmt numFmtId="183" formatCode="#,##0.00_ "/>
    <numFmt numFmtId="184" formatCode="&quot;4S/G.SZ.01.17A.&quot;00&quot;-2008&quot;"/>
    <numFmt numFmtId="185" formatCode="&quot;4S/G.SG.SC1887.&quot;000&quot;-2013&quot;"/>
  </numFmts>
  <fonts count="35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b/>
      <sz val="24"/>
      <name val="隶书"/>
      <family val="3"/>
      <charset val="134"/>
    </font>
    <font>
      <sz val="10"/>
      <name val="隶书"/>
      <family val="3"/>
      <charset val="134"/>
    </font>
    <font>
      <sz val="8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隶书"/>
      <family val="3"/>
      <charset val="134"/>
    </font>
    <font>
      <sz val="16"/>
      <name val="隶书"/>
      <family val="3"/>
      <charset val="134"/>
    </font>
    <font>
      <sz val="16"/>
      <name val="宋体"/>
      <family val="3"/>
      <charset val="134"/>
    </font>
    <font>
      <sz val="20"/>
      <name val="隶书"/>
      <family val="3"/>
      <charset val="134"/>
    </font>
    <font>
      <sz val="11"/>
      <name val="宋体"/>
      <family val="3"/>
      <charset val="134"/>
    </font>
    <font>
      <b/>
      <sz val="10"/>
      <color indexed="12"/>
      <name val="宋体"/>
      <family val="3"/>
      <charset val="134"/>
    </font>
    <font>
      <sz val="10"/>
      <color indexed="8"/>
      <name val="宋体"/>
      <family val="3"/>
      <charset val="134"/>
    </font>
    <font>
      <b/>
      <sz val="10"/>
      <color indexed="12"/>
      <name val="隶书"/>
      <family val="3"/>
      <charset val="134"/>
    </font>
    <font>
      <b/>
      <sz val="10"/>
      <color indexed="10"/>
      <name val="宋体"/>
      <family val="3"/>
      <charset val="134"/>
    </font>
    <font>
      <b/>
      <sz val="12"/>
      <name val="宋体"/>
      <family val="3"/>
      <charset val="134"/>
    </font>
    <font>
      <b/>
      <sz val="12"/>
      <name val="楷体_GB2312"/>
      <family val="3"/>
      <charset val="134"/>
    </font>
    <font>
      <b/>
      <sz val="26"/>
      <name val="隶书"/>
      <family val="3"/>
      <charset val="134"/>
    </font>
    <font>
      <b/>
      <sz val="15"/>
      <name val="楷体_GB2312"/>
      <family val="3"/>
      <charset val="134"/>
    </font>
    <font>
      <b/>
      <sz val="18"/>
      <name val="隶书"/>
      <family val="3"/>
      <charset val="134"/>
    </font>
    <font>
      <b/>
      <sz val="18"/>
      <color indexed="8"/>
      <name val="隶书"/>
      <family val="3"/>
      <charset val="134"/>
    </font>
    <font>
      <b/>
      <sz val="15"/>
      <name val="隶书"/>
      <family val="3"/>
      <charset val="134"/>
    </font>
    <font>
      <sz val="10"/>
      <color indexed="12"/>
      <name val="宋体"/>
      <family val="3"/>
      <charset val="134"/>
    </font>
    <font>
      <sz val="10"/>
      <color indexed="14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8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name val="宋体"/>
      <family val="3"/>
      <charset val="134"/>
    </font>
    <font>
      <sz val="10"/>
      <color indexed="42"/>
      <name val="宋体"/>
      <family val="3"/>
      <charset val="134"/>
    </font>
    <font>
      <b/>
      <sz val="10"/>
      <color indexed="12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47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1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1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medium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1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1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1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1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10"/>
      </bottom>
      <diagonal/>
    </border>
    <border>
      <left/>
      <right style="medium">
        <color indexed="64"/>
      </right>
      <top style="thin">
        <color indexed="64"/>
      </top>
      <bottom style="medium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10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10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1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/>
      <top style="medium">
        <color indexed="10"/>
      </top>
      <bottom style="thin">
        <color indexed="64"/>
      </bottom>
      <diagonal/>
    </border>
    <border>
      <left/>
      <right style="medium">
        <color indexed="64"/>
      </right>
      <top style="medium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10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10"/>
      </top>
      <bottom style="thin">
        <color indexed="64"/>
      </bottom>
      <diagonal/>
    </border>
    <border>
      <left style="thin">
        <color indexed="64"/>
      </left>
      <right/>
      <top style="medium">
        <color indexed="10"/>
      </top>
      <bottom style="thin">
        <color indexed="64"/>
      </bottom>
      <diagonal/>
    </border>
    <border>
      <left/>
      <right style="thin">
        <color indexed="64"/>
      </right>
      <top style="medium">
        <color indexed="1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10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1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10"/>
      </bottom>
      <diagonal/>
    </border>
    <border>
      <left/>
      <right style="thin">
        <color indexed="64"/>
      </right>
      <top style="thin">
        <color indexed="64"/>
      </top>
      <bottom style="medium">
        <color indexed="1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10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10"/>
      </bottom>
      <diagonal/>
    </border>
    <border>
      <left/>
      <right style="double">
        <color indexed="64"/>
      </right>
      <top style="double">
        <color indexed="64"/>
      </top>
      <bottom style="medium">
        <color indexed="10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FF0000"/>
      </bottom>
      <diagonal/>
    </border>
    <border>
      <left/>
      <right/>
      <top style="medium">
        <color indexed="10"/>
      </top>
      <bottom style="thin">
        <color indexed="8"/>
      </bottom>
      <diagonal/>
    </border>
    <border>
      <left/>
      <right style="medium">
        <color indexed="64"/>
      </right>
      <top style="medium">
        <color indexed="10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6" fillId="0" borderId="0"/>
    <xf numFmtId="176" fontId="1" fillId="0" borderId="0" applyFont="0" applyFill="0" applyBorder="0" applyAlignment="0" applyProtection="0"/>
  </cellStyleXfs>
  <cellXfs count="346">
    <xf numFmtId="0" fontId="0" fillId="0" borderId="0" xfId="0"/>
    <xf numFmtId="0" fontId="7" fillId="0" borderId="1" xfId="0" applyNumberFormat="1" applyFont="1" applyBorder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14" fillId="0" borderId="2" xfId="1" applyFont="1" applyBorder="1" applyAlignment="1" applyProtection="1">
      <alignment horizontal="center" vertical="center"/>
      <protection hidden="1"/>
    </xf>
    <xf numFmtId="0" fontId="7" fillId="0" borderId="0" xfId="0" applyNumberFormat="1" applyFont="1" applyAlignment="1">
      <alignment vertical="center"/>
    </xf>
    <xf numFmtId="0" fontId="14" fillId="0" borderId="3" xfId="1" applyFont="1" applyBorder="1" applyAlignment="1" applyProtection="1">
      <alignment horizontal="center" vertical="center"/>
      <protection hidden="1"/>
    </xf>
    <xf numFmtId="0" fontId="7" fillId="0" borderId="1" xfId="5" applyNumberFormat="1" applyFont="1" applyBorder="1" applyAlignment="1" applyProtection="1">
      <alignment horizontal="center" vertical="center"/>
      <protection locked="0" hidden="1"/>
    </xf>
    <xf numFmtId="0" fontId="14" fillId="0" borderId="1" xfId="1" applyFont="1" applyBorder="1" applyAlignment="1" applyProtection="1">
      <alignment horizontal="center" vertical="center"/>
      <protection hidden="1"/>
    </xf>
    <xf numFmtId="0" fontId="14" fillId="0" borderId="4" xfId="1" applyFont="1" applyBorder="1" applyAlignment="1" applyProtection="1">
      <alignment horizontal="center" vertical="center"/>
      <protection hidden="1"/>
    </xf>
    <xf numFmtId="0" fontId="7" fillId="0" borderId="5" xfId="2" applyNumberFormat="1" applyFont="1" applyFill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14" fillId="0" borderId="6" xfId="1" applyFont="1" applyBorder="1" applyAlignment="1" applyProtection="1">
      <alignment horizontal="center" vertical="center"/>
      <protection hidden="1"/>
    </xf>
    <xf numFmtId="0" fontId="14" fillId="0" borderId="3" xfId="1" applyFont="1" applyBorder="1" applyAlignment="1">
      <alignment horizontal="left" vertical="center"/>
    </xf>
    <xf numFmtId="0" fontId="7" fillId="0" borderId="1" xfId="2" applyNumberFormat="1" applyFont="1" applyFill="1" applyBorder="1" applyAlignment="1">
      <alignment horizontal="center" vertical="center"/>
    </xf>
    <xf numFmtId="0" fontId="4" fillId="0" borderId="0" xfId="3" applyNumberFormat="1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8" fillId="0" borderId="0" xfId="3" applyFont="1" applyAlignment="1">
      <alignment vertical="center"/>
    </xf>
    <xf numFmtId="0" fontId="8" fillId="0" borderId="0" xfId="3" applyNumberFormat="1" applyFont="1" applyAlignment="1">
      <alignment horizontal="center" vertical="center"/>
    </xf>
    <xf numFmtId="0" fontId="13" fillId="0" borderId="7" xfId="3" applyFont="1" applyBorder="1" applyAlignment="1">
      <alignment horizontal="center" vertical="center"/>
    </xf>
    <xf numFmtId="0" fontId="13" fillId="0" borderId="8" xfId="3" applyFont="1" applyBorder="1" applyAlignment="1">
      <alignment horizontal="center" vertical="center"/>
    </xf>
    <xf numFmtId="0" fontId="13" fillId="0" borderId="8" xfId="3" quotePrefix="1" applyFont="1" applyBorder="1" applyAlignment="1">
      <alignment horizontal="center" vertical="center"/>
    </xf>
    <xf numFmtId="0" fontId="13" fillId="0" borderId="10" xfId="3" applyFont="1" applyBorder="1" applyAlignment="1">
      <alignment horizontal="center" vertical="center"/>
    </xf>
    <xf numFmtId="0" fontId="13" fillId="0" borderId="11" xfId="3" applyFont="1" applyBorder="1" applyAlignment="1">
      <alignment horizontal="center" vertical="center"/>
    </xf>
    <xf numFmtId="0" fontId="13" fillId="0" borderId="11" xfId="3" applyNumberFormat="1" applyFont="1" applyBorder="1" applyAlignment="1">
      <alignment horizontal="center" vertical="center"/>
    </xf>
    <xf numFmtId="0" fontId="13" fillId="0" borderId="11" xfId="3" applyFont="1" applyBorder="1" applyAlignment="1">
      <alignment vertical="center"/>
    </xf>
    <xf numFmtId="0" fontId="13" fillId="0" borderId="12" xfId="3" applyFont="1" applyBorder="1" applyAlignment="1">
      <alignment horizontal="center" vertical="center"/>
    </xf>
    <xf numFmtId="0" fontId="13" fillId="0" borderId="13" xfId="3" applyNumberFormat="1" applyFont="1" applyBorder="1" applyAlignment="1">
      <alignment horizontal="center" vertical="center"/>
    </xf>
    <xf numFmtId="0" fontId="13" fillId="0" borderId="13" xfId="3" applyFont="1" applyBorder="1" applyAlignment="1">
      <alignment horizontal="center" vertical="center"/>
    </xf>
    <xf numFmtId="0" fontId="13" fillId="0" borderId="14" xfId="3" quotePrefix="1" applyFont="1" applyBorder="1" applyAlignment="1">
      <alignment horizontal="center" vertical="center"/>
    </xf>
    <xf numFmtId="0" fontId="7" fillId="0" borderId="0" xfId="3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7" fillId="0" borderId="5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left" vertical="center"/>
    </xf>
    <xf numFmtId="0" fontId="7" fillId="0" borderId="1" xfId="3" applyFont="1" applyBorder="1" applyAlignment="1">
      <alignment horizontal="center" vertical="center"/>
    </xf>
    <xf numFmtId="0" fontId="7" fillId="0" borderId="1" xfId="3" applyFont="1" applyBorder="1" applyAlignment="1">
      <alignment vertical="center"/>
    </xf>
    <xf numFmtId="0" fontId="7" fillId="0" borderId="16" xfId="3" applyFont="1" applyBorder="1" applyAlignment="1">
      <alignment horizontal="center" vertical="center"/>
    </xf>
    <xf numFmtId="0" fontId="4" fillId="0" borderId="13" xfId="3" applyNumberFormat="1" applyFont="1" applyBorder="1" applyAlignment="1">
      <alignment horizontal="center" vertical="center"/>
    </xf>
    <xf numFmtId="0" fontId="4" fillId="0" borderId="14" xfId="3" applyFont="1" applyBorder="1" applyAlignment="1">
      <alignment horizontal="center" vertical="center"/>
    </xf>
    <xf numFmtId="0" fontId="7" fillId="0" borderId="1" xfId="3" applyNumberFormat="1" applyFont="1" applyFill="1" applyBorder="1" applyAlignment="1">
      <alignment horizontal="left" vertical="center"/>
    </xf>
    <xf numFmtId="0" fontId="7" fillId="0" borderId="6" xfId="3" applyFont="1" applyBorder="1" applyAlignment="1">
      <alignment horizontal="left" vertical="center"/>
    </xf>
    <xf numFmtId="0" fontId="7" fillId="0" borderId="6" xfId="3" applyFont="1" applyBorder="1" applyAlignment="1">
      <alignment vertical="center"/>
    </xf>
    <xf numFmtId="0" fontId="7" fillId="0" borderId="17" xfId="3" applyNumberFormat="1" applyFont="1" applyBorder="1" applyAlignment="1">
      <alignment horizontal="center" vertical="center"/>
    </xf>
    <xf numFmtId="0" fontId="7" fillId="0" borderId="16" xfId="3" applyNumberFormat="1" applyFont="1" applyBorder="1" applyAlignment="1">
      <alignment horizontal="center" vertical="center"/>
    </xf>
    <xf numFmtId="0" fontId="7" fillId="0" borderId="18" xfId="3" applyFont="1" applyBorder="1" applyAlignment="1">
      <alignment horizontal="left" vertical="center"/>
    </xf>
    <xf numFmtId="0" fontId="7" fillId="0" borderId="19" xfId="3" applyNumberFormat="1" applyFont="1" applyBorder="1" applyAlignment="1">
      <alignment horizontal="center" vertical="center"/>
    </xf>
    <xf numFmtId="181" fontId="14" fillId="0" borderId="4" xfId="3" applyNumberFormat="1" applyFont="1" applyBorder="1" applyAlignment="1">
      <alignment horizontal="left" vertical="center"/>
    </xf>
    <xf numFmtId="0" fontId="7" fillId="0" borderId="4" xfId="3" applyFont="1" applyBorder="1" applyAlignment="1">
      <alignment vertical="center"/>
    </xf>
    <xf numFmtId="0" fontId="14" fillId="0" borderId="20" xfId="3" applyNumberFormat="1" applyFont="1" applyBorder="1" applyAlignment="1">
      <alignment horizontal="center" vertical="center"/>
    </xf>
    <xf numFmtId="0" fontId="7" fillId="0" borderId="21" xfId="3" applyFont="1" applyBorder="1" applyAlignment="1">
      <alignment horizontal="left" vertical="center"/>
    </xf>
    <xf numFmtId="0" fontId="7" fillId="0" borderId="21" xfId="3" applyFont="1" applyBorder="1" applyAlignment="1">
      <alignment vertical="center"/>
    </xf>
    <xf numFmtId="0" fontId="7" fillId="0" borderId="22" xfId="3" applyNumberFormat="1" applyFont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13" fillId="0" borderId="23" xfId="3" applyFont="1" applyBorder="1" applyAlignment="1">
      <alignment horizontal="center" vertical="center"/>
    </xf>
    <xf numFmtId="0" fontId="4" fillId="0" borderId="0" xfId="3" applyFont="1" applyAlignment="1">
      <alignment vertical="center"/>
    </xf>
    <xf numFmtId="0" fontId="7" fillId="0" borderId="24" xfId="3" applyNumberFormat="1" applyFont="1" applyFill="1" applyBorder="1" applyAlignment="1">
      <alignment horizontal="center" vertical="center"/>
    </xf>
    <xf numFmtId="0" fontId="7" fillId="0" borderId="4" xfId="3" applyFont="1" applyBorder="1" applyAlignment="1">
      <alignment horizontal="center" vertical="center"/>
    </xf>
    <xf numFmtId="181" fontId="13" fillId="0" borderId="25" xfId="3" applyNumberFormat="1" applyFont="1" applyBorder="1" applyAlignment="1">
      <alignment vertical="center"/>
    </xf>
    <xf numFmtId="181" fontId="13" fillId="0" borderId="26" xfId="3" applyNumberFormat="1" applyFont="1" applyBorder="1" applyAlignment="1">
      <alignment vertical="center"/>
    </xf>
    <xf numFmtId="1" fontId="13" fillId="0" borderId="27" xfId="3" applyNumberFormat="1" applyFont="1" applyBorder="1" applyAlignment="1">
      <alignment vertical="center"/>
    </xf>
    <xf numFmtId="0" fontId="7" fillId="0" borderId="28" xfId="3" applyFont="1" applyBorder="1" applyAlignment="1">
      <alignment horizontal="center" vertical="center"/>
    </xf>
    <xf numFmtId="1" fontId="13" fillId="0" borderId="29" xfId="3" applyNumberFormat="1" applyFont="1" applyBorder="1" applyAlignment="1">
      <alignment vertical="center"/>
    </xf>
    <xf numFmtId="0" fontId="13" fillId="0" borderId="30" xfId="3" applyFont="1" applyBorder="1" applyAlignment="1">
      <alignment horizontal="center" vertical="center"/>
    </xf>
    <xf numFmtId="0" fontId="7" fillId="0" borderId="30" xfId="3" applyFont="1" applyBorder="1" applyAlignment="1">
      <alignment horizontal="center" vertical="center"/>
    </xf>
    <xf numFmtId="1" fontId="7" fillId="0" borderId="31" xfId="3" applyNumberFormat="1" applyFont="1" applyBorder="1" applyAlignment="1">
      <alignment vertical="center"/>
    </xf>
    <xf numFmtId="0" fontId="6" fillId="0" borderId="0" xfId="3" applyNumberFormat="1" applyFont="1" applyAlignment="1">
      <alignment horizontal="center" vertical="center"/>
    </xf>
    <xf numFmtId="0" fontId="6" fillId="0" borderId="0" xfId="3" applyFont="1" applyAlignment="1">
      <alignment vertical="center"/>
    </xf>
    <xf numFmtId="0" fontId="10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10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181" fontId="6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center" vertical="center"/>
    </xf>
    <xf numFmtId="0" fontId="9" fillId="0" borderId="0" xfId="3" applyFont="1" applyAlignment="1">
      <alignment vertical="center"/>
    </xf>
    <xf numFmtId="0" fontId="7" fillId="0" borderId="4" xfId="3" applyNumberFormat="1" applyFont="1" applyFill="1" applyBorder="1" applyAlignment="1">
      <alignment horizontal="left" vertical="center"/>
    </xf>
    <xf numFmtId="177" fontId="5" fillId="0" borderId="0" xfId="3" applyNumberFormat="1" applyFont="1" applyAlignment="1">
      <alignment horizontal="center" vertical="center"/>
    </xf>
    <xf numFmtId="0" fontId="7" fillId="0" borderId="4" xfId="3" applyFont="1" applyBorder="1" applyAlignment="1">
      <alignment horizontal="left" vertical="center"/>
    </xf>
    <xf numFmtId="0" fontId="7" fillId="0" borderId="20" xfId="3" applyNumberFormat="1" applyFont="1" applyBorder="1" applyAlignment="1">
      <alignment horizontal="center" vertical="center"/>
    </xf>
    <xf numFmtId="0" fontId="7" fillId="0" borderId="32" xfId="3" applyNumberFormat="1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0" fontId="14" fillId="0" borderId="33" xfId="1" applyFont="1" applyBorder="1" applyAlignment="1" applyProtection="1">
      <alignment horizontal="center" vertical="center"/>
      <protection hidden="1"/>
    </xf>
    <xf numFmtId="0" fontId="7" fillId="0" borderId="33" xfId="3" applyNumberFormat="1" applyFont="1" applyFill="1" applyBorder="1" applyAlignment="1">
      <alignment horizontal="left" vertical="center"/>
    </xf>
    <xf numFmtId="0" fontId="7" fillId="0" borderId="34" xfId="3" applyFont="1" applyBorder="1" applyAlignment="1">
      <alignment horizontal="left" vertical="center"/>
    </xf>
    <xf numFmtId="0" fontId="7" fillId="0" borderId="34" xfId="3" applyFont="1" applyBorder="1" applyAlignment="1">
      <alignment vertical="center"/>
    </xf>
    <xf numFmtId="0" fontId="7" fillId="0" borderId="35" xfId="3" applyNumberFormat="1" applyFont="1" applyBorder="1" applyAlignment="1">
      <alignment horizontal="center" vertical="center"/>
    </xf>
    <xf numFmtId="0" fontId="7" fillId="0" borderId="36" xfId="3" applyFont="1" applyBorder="1" applyAlignment="1">
      <alignment horizontal="center" vertical="center"/>
    </xf>
    <xf numFmtId="0" fontId="14" fillId="0" borderId="36" xfId="1" applyFont="1" applyBorder="1" applyAlignment="1" applyProtection="1">
      <alignment horizontal="center" vertical="center"/>
      <protection hidden="1"/>
    </xf>
    <xf numFmtId="0" fontId="7" fillId="0" borderId="36" xfId="3" applyFont="1" applyBorder="1" applyAlignment="1">
      <alignment horizontal="left" vertical="center"/>
    </xf>
    <xf numFmtId="0" fontId="7" fillId="0" borderId="36" xfId="3" applyFont="1" applyBorder="1" applyAlignment="1">
      <alignment vertical="center"/>
    </xf>
    <xf numFmtId="0" fontId="7" fillId="0" borderId="37" xfId="3" applyNumberFormat="1" applyFont="1" applyBorder="1" applyAlignment="1">
      <alignment horizontal="center" vertical="center"/>
    </xf>
    <xf numFmtId="0" fontId="7" fillId="0" borderId="38" xfId="3" applyNumberFormat="1" applyFont="1" applyFill="1" applyBorder="1" applyAlignment="1">
      <alignment horizontal="center" vertical="center"/>
    </xf>
    <xf numFmtId="0" fontId="7" fillId="0" borderId="36" xfId="3" applyNumberFormat="1" applyFont="1" applyFill="1" applyBorder="1" applyAlignment="1">
      <alignment horizontal="left" vertical="center"/>
    </xf>
    <xf numFmtId="0" fontId="17" fillId="0" borderId="14" xfId="0" applyNumberFormat="1" applyFont="1" applyFill="1" applyBorder="1" applyAlignment="1">
      <alignment horizontal="center"/>
    </xf>
    <xf numFmtId="0" fontId="6" fillId="0" borderId="14" xfId="0" applyNumberFormat="1" applyFont="1" applyFill="1" applyBorder="1" applyAlignment="1">
      <alignment horizontal="center"/>
    </xf>
    <xf numFmtId="0" fontId="6" fillId="0" borderId="14" xfId="0" applyNumberFormat="1" applyFont="1" applyFill="1" applyBorder="1" applyAlignment="1">
      <alignment horizontal="center" vertical="center"/>
    </xf>
    <xf numFmtId="0" fontId="7" fillId="0" borderId="1" xfId="2" applyNumberFormat="1" applyFont="1" applyFill="1" applyBorder="1" applyAlignment="1">
      <alignment horizontal="left" vertical="center"/>
    </xf>
    <xf numFmtId="181" fontId="13" fillId="0" borderId="39" xfId="3" applyNumberFormat="1" applyFont="1" applyBorder="1" applyAlignment="1">
      <alignment vertical="center"/>
    </xf>
    <xf numFmtId="0" fontId="13" fillId="0" borderId="6" xfId="3" applyFont="1" applyBorder="1" applyAlignment="1">
      <alignment horizontal="center" vertical="center"/>
    </xf>
    <xf numFmtId="0" fontId="13" fillId="0" borderId="40" xfId="3" applyNumberFormat="1" applyFont="1" applyBorder="1" applyAlignment="1">
      <alignment horizontal="center" vertical="center"/>
    </xf>
    <xf numFmtId="0" fontId="13" fillId="0" borderId="6" xfId="3" applyNumberFormat="1" applyFont="1" applyBorder="1" applyAlignment="1">
      <alignment horizontal="center" vertical="center"/>
    </xf>
    <xf numFmtId="0" fontId="13" fillId="0" borderId="41" xfId="3" applyNumberFormat="1" applyFont="1" applyBorder="1" applyAlignment="1">
      <alignment horizontal="center" vertical="center"/>
    </xf>
    <xf numFmtId="0" fontId="13" fillId="0" borderId="18" xfId="3" applyFont="1" applyBorder="1" applyAlignment="1">
      <alignment horizontal="center" vertical="center"/>
    </xf>
    <xf numFmtId="0" fontId="13" fillId="0" borderId="42" xfId="3" applyFont="1" applyBorder="1" applyAlignment="1">
      <alignment horizontal="center" vertical="center"/>
    </xf>
    <xf numFmtId="0" fontId="13" fillId="0" borderId="40" xfId="3" applyFont="1" applyBorder="1" applyAlignment="1">
      <alignment vertical="center"/>
    </xf>
    <xf numFmtId="0" fontId="13" fillId="0" borderId="17" xfId="3" applyFont="1" applyBorder="1" applyAlignment="1">
      <alignment horizontal="center" vertical="center"/>
    </xf>
    <xf numFmtId="0" fontId="13" fillId="0" borderId="34" xfId="3" applyFont="1" applyBorder="1" applyAlignment="1">
      <alignment horizontal="center" vertical="center"/>
    </xf>
    <xf numFmtId="0" fontId="14" fillId="0" borderId="21" xfId="1" applyFont="1" applyBorder="1" applyAlignment="1" applyProtection="1">
      <alignment horizontal="center" vertical="center"/>
      <protection hidden="1"/>
    </xf>
    <xf numFmtId="0" fontId="14" fillId="0" borderId="18" xfId="1" applyFont="1" applyBorder="1" applyAlignment="1" applyProtection="1">
      <alignment horizontal="center" vertical="center"/>
      <protection hidden="1"/>
    </xf>
    <xf numFmtId="0" fontId="14" fillId="0" borderId="18" xfId="1" applyFont="1" applyBorder="1" applyAlignment="1">
      <alignment horizontal="left" vertical="center"/>
    </xf>
    <xf numFmtId="2" fontId="13" fillId="0" borderId="1" xfId="3" applyNumberFormat="1" applyFont="1" applyBorder="1" applyAlignment="1">
      <alignment horizontal="center" vertical="center"/>
    </xf>
    <xf numFmtId="2" fontId="13" fillId="0" borderId="43" xfId="3" applyNumberFormat="1" applyFont="1" applyBorder="1" applyAlignment="1">
      <alignment horizontal="center" vertical="center"/>
    </xf>
    <xf numFmtId="2" fontId="13" fillId="0" borderId="44" xfId="3" applyNumberFormat="1" applyFont="1" applyBorder="1" applyAlignment="1">
      <alignment horizontal="center" vertical="center"/>
    </xf>
    <xf numFmtId="2" fontId="13" fillId="0" borderId="45" xfId="3" applyNumberFormat="1" applyFont="1" applyBorder="1" applyAlignment="1">
      <alignment horizontal="center" vertical="center"/>
    </xf>
    <xf numFmtId="2" fontId="13" fillId="0" borderId="46" xfId="3" applyNumberFormat="1" applyFont="1" applyBorder="1" applyAlignment="1">
      <alignment horizontal="center" vertical="center"/>
    </xf>
    <xf numFmtId="178" fontId="13" fillId="0" borderId="16" xfId="3" applyNumberFormat="1" applyFont="1" applyBorder="1" applyAlignment="1">
      <alignment horizontal="center" vertical="center"/>
    </xf>
    <xf numFmtId="178" fontId="13" fillId="0" borderId="47" xfId="3" applyNumberFormat="1" applyFont="1" applyBorder="1" applyAlignment="1">
      <alignment horizontal="center" vertical="center"/>
    </xf>
    <xf numFmtId="0" fontId="3" fillId="0" borderId="0" xfId="3" applyFont="1" applyAlignment="1">
      <alignment vertical="center"/>
    </xf>
    <xf numFmtId="184" fontId="20" fillId="0" borderId="0" xfId="0" applyNumberFormat="1" applyFont="1" applyBorder="1" applyAlignment="1">
      <alignment horizontal="center" vertical="center"/>
    </xf>
    <xf numFmtId="0" fontId="13" fillId="0" borderId="34" xfId="3" applyNumberFormat="1" applyFont="1" applyBorder="1" applyAlignment="1">
      <alignment horizontal="center" vertical="center"/>
    </xf>
    <xf numFmtId="58" fontId="13" fillId="0" borderId="34" xfId="3" applyNumberFormat="1" applyFont="1" applyBorder="1" applyAlignment="1">
      <alignment horizontal="center" vertical="center"/>
    </xf>
    <xf numFmtId="58" fontId="13" fillId="0" borderId="48" xfId="3" applyNumberFormat="1" applyFont="1" applyBorder="1" applyAlignment="1">
      <alignment horizontal="center" vertical="center"/>
    </xf>
    <xf numFmtId="58" fontId="13" fillId="0" borderId="49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0" fontId="7" fillId="0" borderId="5" xfId="0" applyNumberFormat="1" applyFont="1" applyFill="1" applyBorder="1" applyAlignment="1">
      <alignment horizontal="center" vertical="center"/>
    </xf>
    <xf numFmtId="0" fontId="7" fillId="0" borderId="52" xfId="2" applyNumberFormat="1" applyFont="1" applyFill="1" applyBorder="1" applyAlignment="1">
      <alignment horizontal="center" vertical="center"/>
    </xf>
    <xf numFmtId="0" fontId="7" fillId="0" borderId="53" xfId="3" applyFont="1" applyBorder="1" applyAlignment="1">
      <alignment horizontal="center" vertical="center"/>
    </xf>
    <xf numFmtId="0" fontId="7" fillId="0" borderId="53" xfId="2" applyFont="1" applyBorder="1" applyAlignment="1">
      <alignment horizontal="center" vertical="center"/>
    </xf>
    <xf numFmtId="0" fontId="14" fillId="0" borderId="53" xfId="1" applyFont="1" applyBorder="1" applyAlignment="1" applyProtection="1">
      <alignment horizontal="center" vertical="center"/>
      <protection hidden="1"/>
    </xf>
    <xf numFmtId="0" fontId="7" fillId="0" borderId="53" xfId="2" applyNumberFormat="1" applyFont="1" applyFill="1" applyBorder="1" applyAlignment="1">
      <alignment horizontal="center" vertical="center"/>
    </xf>
    <xf numFmtId="0" fontId="7" fillId="0" borderId="53" xfId="3" applyFont="1" applyBorder="1" applyAlignment="1">
      <alignment horizontal="left" vertical="center"/>
    </xf>
    <xf numFmtId="0" fontId="7" fillId="0" borderId="53" xfId="3" applyFont="1" applyBorder="1" applyAlignment="1">
      <alignment vertical="center"/>
    </xf>
    <xf numFmtId="0" fontId="7" fillId="0" borderId="54" xfId="3" applyNumberFormat="1" applyFont="1" applyBorder="1" applyAlignment="1">
      <alignment horizontal="center" vertical="center"/>
    </xf>
    <xf numFmtId="0" fontId="6" fillId="0" borderId="0" xfId="0" applyNumberFormat="1" applyFont="1" applyFill="1" applyAlignment="1">
      <alignment horizontal="center"/>
    </xf>
    <xf numFmtId="0" fontId="6" fillId="0" borderId="14" xfId="0" applyNumberFormat="1" applyFont="1" applyBorder="1" applyAlignment="1">
      <alignment horizontal="center" vertical="center"/>
    </xf>
    <xf numFmtId="181" fontId="13" fillId="0" borderId="55" xfId="3" applyNumberFormat="1" applyFont="1" applyBorder="1" applyAlignment="1">
      <alignment vertical="center"/>
    </xf>
    <xf numFmtId="0" fontId="7" fillId="0" borderId="56" xfId="3" applyNumberFormat="1" applyFont="1" applyFill="1" applyBorder="1" applyAlignment="1">
      <alignment horizontal="center" vertical="center"/>
    </xf>
    <xf numFmtId="0" fontId="14" fillId="0" borderId="34" xfId="1" applyFont="1" applyBorder="1" applyAlignment="1" applyProtection="1">
      <alignment horizontal="center" vertical="center"/>
      <protection hidden="1"/>
    </xf>
    <xf numFmtId="0" fontId="14" fillId="0" borderId="34" xfId="1" applyFont="1" applyBorder="1" applyAlignment="1">
      <alignment horizontal="left" vertical="center"/>
    </xf>
    <xf numFmtId="0" fontId="7" fillId="0" borderId="34" xfId="3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184" fontId="23" fillId="0" borderId="0" xfId="0" applyNumberFormat="1" applyFont="1" applyBorder="1" applyAlignment="1">
      <alignment horizontal="center" vertical="center"/>
    </xf>
    <xf numFmtId="0" fontId="7" fillId="0" borderId="57" xfId="3" applyNumberFormat="1" applyFont="1" applyFill="1" applyBorder="1" applyAlignment="1">
      <alignment horizontal="center" vertical="center"/>
    </xf>
    <xf numFmtId="177" fontId="15" fillId="0" borderId="14" xfId="3" applyNumberFormat="1" applyFont="1" applyBorder="1" applyAlignment="1">
      <alignment horizontal="center" vertical="center"/>
    </xf>
    <xf numFmtId="178" fontId="15" fillId="0" borderId="13" xfId="3" applyNumberFormat="1" applyFont="1" applyBorder="1" applyAlignment="1">
      <alignment horizontal="center" vertical="center"/>
    </xf>
    <xf numFmtId="178" fontId="13" fillId="0" borderId="58" xfId="3" applyNumberFormat="1" applyFont="1" applyBorder="1" applyAlignment="1">
      <alignment horizontal="right" vertical="center"/>
    </xf>
    <xf numFmtId="178" fontId="13" fillId="0" borderId="30" xfId="3" applyNumberFormat="1" applyFont="1" applyBorder="1" applyAlignment="1">
      <alignment horizontal="right" vertical="center"/>
    </xf>
    <xf numFmtId="178" fontId="13" fillId="0" borderId="59" xfId="3" applyNumberFormat="1" applyFont="1" applyBorder="1" applyAlignment="1">
      <alignment horizontal="right" vertical="center"/>
    </xf>
    <xf numFmtId="178" fontId="13" fillId="0" borderId="31" xfId="3" applyNumberFormat="1" applyFont="1" applyBorder="1" applyAlignment="1">
      <alignment horizontal="right" vertical="center"/>
    </xf>
    <xf numFmtId="0" fontId="24" fillId="0" borderId="5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4" fillId="2" borderId="5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24" fillId="0" borderId="57" xfId="0" applyFont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7" fillId="0" borderId="5" xfId="4" applyNumberFormat="1" applyFont="1" applyFill="1" applyBorder="1" applyAlignment="1">
      <alignment horizontal="center" vertical="center"/>
    </xf>
    <xf numFmtId="0" fontId="7" fillId="0" borderId="1" xfId="4" applyNumberFormat="1" applyFont="1" applyFill="1" applyBorder="1" applyAlignment="1">
      <alignment horizontal="center" vertical="center"/>
    </xf>
    <xf numFmtId="0" fontId="7" fillId="0" borderId="5" xfId="4" quotePrefix="1" applyNumberFormat="1" applyFont="1" applyFill="1" applyBorder="1" applyAlignment="1">
      <alignment horizontal="center" vertical="center"/>
    </xf>
    <xf numFmtId="0" fontId="7" fillId="0" borderId="60" xfId="4" applyNumberFormat="1" applyFont="1" applyFill="1" applyBorder="1" applyAlignment="1">
      <alignment horizontal="center" vertical="center"/>
    </xf>
    <xf numFmtId="0" fontId="7" fillId="0" borderId="30" xfId="4" applyNumberFormat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6" fillId="0" borderId="8" xfId="0" applyFont="1" applyBorder="1" applyAlignment="1">
      <alignment horizontal="center"/>
    </xf>
    <xf numFmtId="177" fontId="13" fillId="0" borderId="1" xfId="6" applyNumberFormat="1" applyFont="1" applyBorder="1" applyAlignment="1">
      <alignment horizontal="center"/>
    </xf>
    <xf numFmtId="180" fontId="13" fillId="0" borderId="1" xfId="0" applyNumberFormat="1" applyFont="1" applyBorder="1" applyAlignment="1">
      <alignment horizontal="center"/>
    </xf>
    <xf numFmtId="2" fontId="26" fillId="0" borderId="1" xfId="0" applyNumberFormat="1" applyFont="1" applyBorder="1" applyAlignment="1">
      <alignment horizontal="center"/>
    </xf>
    <xf numFmtId="179" fontId="26" fillId="0" borderId="1" xfId="0" applyNumberFormat="1" applyFont="1" applyBorder="1" applyAlignment="1">
      <alignment horizontal="center"/>
    </xf>
    <xf numFmtId="2" fontId="26" fillId="2" borderId="1" xfId="0" applyNumberFormat="1" applyFont="1" applyFill="1" applyBorder="1" applyAlignment="1">
      <alignment horizontal="center"/>
    </xf>
    <xf numFmtId="179" fontId="26" fillId="2" borderId="1" xfId="0" applyNumberFormat="1" applyFont="1" applyFill="1" applyBorder="1" applyAlignment="1">
      <alignment horizontal="center"/>
    </xf>
    <xf numFmtId="177" fontId="13" fillId="2" borderId="1" xfId="6" applyNumberFormat="1" applyFont="1" applyFill="1" applyBorder="1" applyAlignment="1">
      <alignment horizontal="center"/>
    </xf>
    <xf numFmtId="177" fontId="13" fillId="2" borderId="1" xfId="0" applyNumberFormat="1" applyFont="1" applyFill="1" applyBorder="1" applyAlignment="1">
      <alignment horizontal="center"/>
    </xf>
    <xf numFmtId="180" fontId="13" fillId="2" borderId="1" xfId="0" applyNumberFormat="1" applyFont="1" applyFill="1" applyBorder="1" applyAlignment="1">
      <alignment horizontal="center"/>
    </xf>
    <xf numFmtId="177" fontId="13" fillId="0" borderId="1" xfId="0" applyNumberFormat="1" applyFont="1" applyBorder="1" applyAlignment="1">
      <alignment horizontal="center"/>
    </xf>
    <xf numFmtId="180" fontId="13" fillId="0" borderId="4" xfId="0" applyNumberFormat="1" applyFont="1" applyBorder="1" applyAlignment="1">
      <alignment horizontal="center"/>
    </xf>
    <xf numFmtId="2" fontId="26" fillId="2" borderId="4" xfId="0" applyNumberFormat="1" applyFont="1" applyFill="1" applyBorder="1" applyAlignment="1">
      <alignment horizontal="center"/>
    </xf>
    <xf numFmtId="179" fontId="26" fillId="2" borderId="4" xfId="0" applyNumberFormat="1" applyFont="1" applyFill="1" applyBorder="1" applyAlignment="1">
      <alignment horizontal="center"/>
    </xf>
    <xf numFmtId="177" fontId="13" fillId="0" borderId="6" xfId="0" applyNumberFormat="1" applyFont="1" applyBorder="1" applyAlignment="1">
      <alignment horizontal="center"/>
    </xf>
    <xf numFmtId="180" fontId="13" fillId="0" borderId="6" xfId="0" applyNumberFormat="1" applyFont="1" applyBorder="1" applyAlignment="1">
      <alignment horizontal="center"/>
    </xf>
    <xf numFmtId="2" fontId="26" fillId="0" borderId="6" xfId="0" applyNumberFormat="1" applyFont="1" applyBorder="1" applyAlignment="1">
      <alignment horizontal="center"/>
    </xf>
    <xf numFmtId="179" fontId="26" fillId="0" borderId="6" xfId="0" applyNumberFormat="1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180" fontId="13" fillId="0" borderId="30" xfId="0" applyNumberFormat="1" applyFont="1" applyBorder="1" applyAlignment="1">
      <alignment horizontal="center"/>
    </xf>
    <xf numFmtId="2" fontId="26" fillId="0" borderId="30" xfId="0" applyNumberFormat="1" applyFont="1" applyBorder="1" applyAlignment="1">
      <alignment horizontal="center"/>
    </xf>
    <xf numFmtId="179" fontId="26" fillId="0" borderId="30" xfId="0" applyNumberFormat="1" applyFont="1" applyBorder="1" applyAlignment="1">
      <alignment horizontal="center"/>
    </xf>
    <xf numFmtId="182" fontId="7" fillId="0" borderId="61" xfId="3" applyNumberFormat="1" applyFont="1" applyBorder="1" applyAlignment="1">
      <alignment horizontal="right" vertical="center"/>
    </xf>
    <xf numFmtId="182" fontId="7" fillId="0" borderId="1" xfId="3" applyNumberFormat="1" applyFont="1" applyBorder="1" applyAlignment="1">
      <alignment horizontal="right" vertical="center"/>
    </xf>
    <xf numFmtId="0" fontId="14" fillId="0" borderId="62" xfId="1" applyFont="1" applyBorder="1" applyAlignment="1" applyProtection="1">
      <alignment horizontal="center" vertical="center"/>
      <protection hidden="1"/>
    </xf>
    <xf numFmtId="0" fontId="14" fillId="0" borderId="62" xfId="1" applyFont="1" applyBorder="1" applyAlignment="1">
      <alignment horizontal="left" vertical="center"/>
    </xf>
    <xf numFmtId="0" fontId="7" fillId="0" borderId="65" xfId="3" applyFont="1" applyBorder="1" applyAlignment="1">
      <alignment horizontal="center" vertical="center"/>
    </xf>
    <xf numFmtId="0" fontId="7" fillId="0" borderId="65" xfId="3" applyNumberFormat="1" applyFont="1" applyFill="1" applyBorder="1" applyAlignment="1">
      <alignment horizontal="left" vertical="center"/>
    </xf>
    <xf numFmtId="181" fontId="13" fillId="0" borderId="68" xfId="3" applyNumberFormat="1" applyFont="1" applyBorder="1" applyAlignment="1">
      <alignment vertical="center"/>
    </xf>
    <xf numFmtId="181" fontId="14" fillId="0" borderId="36" xfId="3" applyNumberFormat="1" applyFont="1" applyBorder="1" applyAlignment="1">
      <alignment horizontal="left" vertical="center"/>
    </xf>
    <xf numFmtId="0" fontId="14" fillId="0" borderId="2" xfId="1" applyFont="1" applyFill="1" applyBorder="1" applyAlignment="1" applyProtection="1">
      <alignment horizontal="center" vertical="center"/>
      <protection hidden="1"/>
    </xf>
    <xf numFmtId="0" fontId="7" fillId="0" borderId="55" xfId="3" applyFont="1" applyBorder="1" applyAlignment="1">
      <alignment vertical="center"/>
    </xf>
    <xf numFmtId="0" fontId="7" fillId="0" borderId="0" xfId="3" applyFont="1" applyBorder="1" applyAlignment="1">
      <alignment vertical="center"/>
    </xf>
    <xf numFmtId="0" fontId="7" fillId="0" borderId="70" xfId="3" applyFont="1" applyBorder="1" applyAlignment="1">
      <alignment vertical="center"/>
    </xf>
    <xf numFmtId="0" fontId="7" fillId="0" borderId="27" xfId="0" applyNumberFormat="1" applyFont="1" applyBorder="1" applyAlignment="1">
      <alignment horizontal="center" vertical="center"/>
    </xf>
    <xf numFmtId="0" fontId="14" fillId="0" borderId="3" xfId="1" applyFont="1" applyFill="1" applyBorder="1" applyAlignment="1" applyProtection="1">
      <alignment horizontal="center" vertical="center"/>
      <protection hidden="1"/>
    </xf>
    <xf numFmtId="0" fontId="14" fillId="0" borderId="3" xfId="1" applyFont="1" applyFill="1" applyBorder="1" applyAlignment="1">
      <alignment horizontal="left" vertical="center"/>
    </xf>
    <xf numFmtId="0" fontId="7" fillId="0" borderId="15" xfId="3" applyFont="1" applyBorder="1" applyAlignment="1">
      <alignment horizontal="center" vertical="center"/>
    </xf>
    <xf numFmtId="182" fontId="7" fillId="0" borderId="15" xfId="3" applyNumberFormat="1" applyFont="1" applyBorder="1" applyAlignment="1">
      <alignment horizontal="right" vertical="center"/>
    </xf>
    <xf numFmtId="0" fontId="21" fillId="0" borderId="0" xfId="3" applyFont="1" applyAlignment="1">
      <alignment vertical="center"/>
    </xf>
    <xf numFmtId="181" fontId="13" fillId="0" borderId="63" xfId="3" applyNumberFormat="1" applyFont="1" applyBorder="1" applyAlignment="1">
      <alignment horizontal="center" vertical="center"/>
    </xf>
    <xf numFmtId="0" fontId="13" fillId="0" borderId="48" xfId="3" applyNumberFormat="1" applyFont="1" applyBorder="1" applyAlignment="1">
      <alignment horizontal="center" vertical="center"/>
    </xf>
    <xf numFmtId="0" fontId="13" fillId="0" borderId="49" xfId="3" applyNumberFormat="1" applyFont="1" applyBorder="1" applyAlignment="1">
      <alignment horizontal="center" vertical="center"/>
    </xf>
    <xf numFmtId="181" fontId="13" fillId="0" borderId="50" xfId="3" applyNumberFormat="1" applyFont="1" applyBorder="1" applyAlignment="1">
      <alignment vertical="center"/>
    </xf>
    <xf numFmtId="181" fontId="13" fillId="0" borderId="51" xfId="3" applyNumberFormat="1" applyFont="1" applyBorder="1" applyAlignment="1">
      <alignment vertical="center"/>
    </xf>
    <xf numFmtId="0" fontId="13" fillId="0" borderId="9" xfId="3" applyFont="1" applyBorder="1" applyAlignment="1">
      <alignment horizontal="center" vertical="center"/>
    </xf>
    <xf numFmtId="177" fontId="7" fillId="0" borderId="50" xfId="3" applyNumberFormat="1" applyFont="1" applyBorder="1" applyAlignment="1">
      <alignment horizontal="center" vertical="center"/>
    </xf>
    <xf numFmtId="177" fontId="7" fillId="0" borderId="51" xfId="3" applyNumberFormat="1" applyFont="1" applyBorder="1" applyAlignment="1">
      <alignment horizontal="center" vertical="center"/>
    </xf>
    <xf numFmtId="181" fontId="13" fillId="0" borderId="66" xfId="3" applyNumberFormat="1" applyFont="1" applyBorder="1" applyAlignment="1">
      <alignment horizontal="left" vertical="center"/>
    </xf>
    <xf numFmtId="181" fontId="13" fillId="0" borderId="67" xfId="3" applyNumberFormat="1" applyFont="1" applyBorder="1" applyAlignment="1">
      <alignment horizontal="left" vertical="center"/>
    </xf>
    <xf numFmtId="181" fontId="13" fillId="0" borderId="50" xfId="3" applyNumberFormat="1" applyFont="1" applyBorder="1" applyAlignment="1">
      <alignment horizontal="left" vertical="center"/>
    </xf>
    <xf numFmtId="181" fontId="27" fillId="0" borderId="50" xfId="3" applyNumberFormat="1" applyFont="1" applyBorder="1" applyAlignment="1">
      <alignment horizontal="left" vertical="center"/>
    </xf>
    <xf numFmtId="181" fontId="27" fillId="0" borderId="51" xfId="3" applyNumberFormat="1" applyFont="1" applyBorder="1" applyAlignment="1">
      <alignment horizontal="left" vertical="center"/>
    </xf>
    <xf numFmtId="181" fontId="13" fillId="0" borderId="51" xfId="3" applyNumberFormat="1" applyFont="1" applyBorder="1" applyAlignment="1">
      <alignment horizontal="left" vertical="center"/>
    </xf>
    <xf numFmtId="181" fontId="13" fillId="0" borderId="63" xfId="3" applyNumberFormat="1" applyFont="1" applyBorder="1" applyAlignment="1">
      <alignment horizontal="left" vertical="center"/>
    </xf>
    <xf numFmtId="181" fontId="13" fillId="0" borderId="64" xfId="3" applyNumberFormat="1" applyFont="1" applyBorder="1" applyAlignment="1">
      <alignment horizontal="left" vertical="center"/>
    </xf>
    <xf numFmtId="181" fontId="28" fillId="0" borderId="50" xfId="3" applyNumberFormat="1" applyFont="1" applyBorder="1" applyAlignment="1">
      <alignment horizontal="left" vertical="center"/>
    </xf>
    <xf numFmtId="181" fontId="28" fillId="0" borderId="50" xfId="3" applyNumberFormat="1" applyFont="1" applyBorder="1" applyAlignment="1">
      <alignment vertical="center"/>
    </xf>
    <xf numFmtId="181" fontId="28" fillId="0" borderId="51" xfId="3" applyNumberFormat="1" applyFont="1" applyBorder="1" applyAlignment="1">
      <alignment vertical="center"/>
    </xf>
    <xf numFmtId="0" fontId="2" fillId="0" borderId="1" xfId="0" applyNumberFormat="1" applyFont="1" applyBorder="1" applyAlignment="1">
      <alignment horizontal="center" vertical="center"/>
    </xf>
    <xf numFmtId="0" fontId="7" fillId="0" borderId="96" xfId="0" applyNumberFormat="1" applyFont="1" applyBorder="1" applyAlignment="1">
      <alignment horizontal="center" vertical="center"/>
    </xf>
    <xf numFmtId="0" fontId="7" fillId="0" borderId="14" xfId="0" applyNumberFormat="1" applyFont="1" applyBorder="1" applyAlignment="1">
      <alignment horizontal="center" vertical="center"/>
    </xf>
    <xf numFmtId="0" fontId="24" fillId="0" borderId="5" xfId="0" applyFont="1" applyFill="1" applyBorder="1" applyAlignment="1">
      <alignment horizontal="center"/>
    </xf>
    <xf numFmtId="0" fontId="7" fillId="0" borderId="50" xfId="0" applyNumberFormat="1" applyFont="1" applyBorder="1" applyAlignment="1">
      <alignment horizontal="center" vertical="center"/>
    </xf>
    <xf numFmtId="0" fontId="14" fillId="3" borderId="2" xfId="1" applyFont="1" applyFill="1" applyBorder="1" applyAlignment="1" applyProtection="1">
      <alignment horizontal="center" vertical="center"/>
      <protection hidden="1"/>
    </xf>
    <xf numFmtId="0" fontId="7" fillId="0" borderId="97" xfId="3" applyFont="1" applyBorder="1" applyAlignment="1">
      <alignment horizontal="center" vertical="center"/>
    </xf>
    <xf numFmtId="0" fontId="30" fillId="0" borderId="3" xfId="1" applyFont="1" applyBorder="1" applyAlignment="1">
      <alignment horizontal="left" vertical="center"/>
    </xf>
    <xf numFmtId="181" fontId="13" fillId="0" borderId="63" xfId="3" applyNumberFormat="1" applyFont="1" applyBorder="1" applyAlignment="1">
      <alignment vertical="center"/>
    </xf>
    <xf numFmtId="181" fontId="13" fillId="0" borderId="64" xfId="3" applyNumberFormat="1" applyFont="1" applyBorder="1" applyAlignment="1">
      <alignment vertical="center"/>
    </xf>
    <xf numFmtId="181" fontId="13" fillId="0" borderId="77" xfId="3" applyNumberFormat="1" applyFont="1" applyBorder="1" applyAlignment="1">
      <alignment vertical="center"/>
    </xf>
    <xf numFmtId="0" fontId="0" fillId="0" borderId="63" xfId="0" applyBorder="1" applyAlignment="1"/>
    <xf numFmtId="0" fontId="13" fillId="0" borderId="26" xfId="3" applyNumberFormat="1" applyFont="1" applyBorder="1" applyAlignment="1">
      <alignment vertical="center"/>
    </xf>
    <xf numFmtId="0" fontId="13" fillId="0" borderId="50" xfId="3" applyNumberFormat="1" applyFont="1" applyBorder="1" applyAlignment="1">
      <alignment vertical="center"/>
    </xf>
    <xf numFmtId="0" fontId="13" fillId="0" borderId="51" xfId="3" applyNumberFormat="1" applyFont="1" applyBorder="1" applyAlignment="1">
      <alignment vertical="center"/>
    </xf>
    <xf numFmtId="181" fontId="27" fillId="0" borderId="63" xfId="3" applyNumberFormat="1" applyFont="1" applyBorder="1" applyAlignment="1">
      <alignment vertical="center"/>
    </xf>
    <xf numFmtId="181" fontId="27" fillId="0" borderId="64" xfId="3" applyNumberFormat="1" applyFont="1" applyBorder="1" applyAlignment="1">
      <alignment vertical="center"/>
    </xf>
    <xf numFmtId="0" fontId="14" fillId="0" borderId="1" xfId="1" applyFont="1" applyFill="1" applyBorder="1" applyAlignment="1" applyProtection="1">
      <alignment horizontal="center" vertical="center"/>
      <protection hidden="1"/>
    </xf>
    <xf numFmtId="0" fontId="14" fillId="0" borderId="36" xfId="1" applyFont="1" applyFill="1" applyBorder="1" applyAlignment="1" applyProtection="1">
      <alignment horizontal="center" vertical="center"/>
      <protection hidden="1"/>
    </xf>
    <xf numFmtId="0" fontId="14" fillId="0" borderId="6" xfId="1" applyFont="1" applyFill="1" applyBorder="1" applyAlignment="1" applyProtection="1">
      <alignment horizontal="center" vertical="center"/>
      <protection hidden="1"/>
    </xf>
    <xf numFmtId="0" fontId="14" fillId="0" borderId="53" xfId="1" applyFont="1" applyFill="1" applyBorder="1" applyAlignment="1" applyProtection="1">
      <alignment horizontal="center" vertical="center"/>
      <protection hidden="1"/>
    </xf>
    <xf numFmtId="0" fontId="32" fillId="0" borderId="63" xfId="0" applyFont="1" applyBorder="1" applyAlignment="1"/>
    <xf numFmtId="0" fontId="32" fillId="0" borderId="64" xfId="0" applyFont="1" applyBorder="1" applyAlignment="1"/>
    <xf numFmtId="0" fontId="13" fillId="0" borderId="80" xfId="3" applyNumberFormat="1" applyFont="1" applyBorder="1" applyAlignment="1">
      <alignment vertical="center"/>
    </xf>
    <xf numFmtId="0" fontId="13" fillId="0" borderId="48" xfId="3" applyNumberFormat="1" applyFont="1" applyBorder="1" applyAlignment="1">
      <alignment vertical="center"/>
    </xf>
    <xf numFmtId="0" fontId="13" fillId="0" borderId="49" xfId="3" applyNumberFormat="1" applyFont="1" applyBorder="1" applyAlignment="1">
      <alignment vertical="center"/>
    </xf>
    <xf numFmtId="0" fontId="14" fillId="4" borderId="2" xfId="1" applyFont="1" applyFill="1" applyBorder="1" applyAlignment="1" applyProtection="1">
      <alignment horizontal="center" vertical="center"/>
      <protection hidden="1"/>
    </xf>
    <xf numFmtId="181" fontId="28" fillId="0" borderId="63" xfId="3" applyNumberFormat="1" applyFont="1" applyBorder="1" applyAlignment="1">
      <alignment vertical="center"/>
    </xf>
    <xf numFmtId="181" fontId="13" fillId="0" borderId="0" xfId="3" applyNumberFormat="1" applyFont="1" applyBorder="1" applyAlignment="1">
      <alignment vertical="center"/>
    </xf>
    <xf numFmtId="181" fontId="13" fillId="0" borderId="13" xfId="3" applyNumberFormat="1" applyFont="1" applyBorder="1" applyAlignment="1">
      <alignment vertical="center"/>
    </xf>
    <xf numFmtId="0" fontId="4" fillId="0" borderId="96" xfId="3" applyNumberFormat="1" applyFont="1" applyBorder="1" applyAlignment="1">
      <alignment horizontal="center" vertical="center"/>
    </xf>
    <xf numFmtId="0" fontId="7" fillId="0" borderId="26" xfId="3" applyFont="1" applyBorder="1" applyAlignment="1">
      <alignment vertical="center"/>
    </xf>
    <xf numFmtId="0" fontId="7" fillId="0" borderId="50" xfId="3" applyFont="1" applyBorder="1" applyAlignment="1">
      <alignment vertical="center"/>
    </xf>
    <xf numFmtId="0" fontId="7" fillId="0" borderId="51" xfId="3" applyFont="1" applyBorder="1" applyAlignment="1">
      <alignment vertical="center"/>
    </xf>
    <xf numFmtId="0" fontId="33" fillId="0" borderId="98" xfId="0" applyFont="1" applyBorder="1" applyAlignment="1"/>
    <xf numFmtId="0" fontId="33" fillId="0" borderId="99" xfId="0" applyFont="1" applyBorder="1" applyAlignment="1"/>
    <xf numFmtId="0" fontId="13" fillId="0" borderId="63" xfId="0" applyFont="1" applyBorder="1" applyAlignment="1"/>
    <xf numFmtId="0" fontId="34" fillId="0" borderId="63" xfId="0" applyFont="1" applyBorder="1" applyAlignment="1"/>
    <xf numFmtId="0" fontId="0" fillId="0" borderId="64" xfId="0" applyBorder="1" applyAlignment="1"/>
    <xf numFmtId="0" fontId="28" fillId="0" borderId="100" xfId="3" applyNumberFormat="1" applyFont="1" applyBorder="1" applyAlignment="1">
      <alignment vertical="center"/>
    </xf>
    <xf numFmtId="0" fontId="13" fillId="0" borderId="100" xfId="3" applyNumberFormat="1" applyFont="1" applyBorder="1" applyAlignment="1">
      <alignment vertical="center"/>
    </xf>
    <xf numFmtId="0" fontId="13" fillId="0" borderId="101" xfId="3" applyNumberFormat="1" applyFont="1" applyBorder="1" applyAlignment="1">
      <alignment vertical="center"/>
    </xf>
    <xf numFmtId="0" fontId="7" fillId="0" borderId="15" xfId="3" applyFont="1" applyBorder="1" applyAlignment="1">
      <alignment horizontal="center" vertical="center"/>
    </xf>
    <xf numFmtId="0" fontId="7" fillId="0" borderId="53" xfId="2" applyNumberFormat="1" applyFont="1" applyFill="1" applyBorder="1" applyAlignment="1">
      <alignment horizontal="left" vertical="center"/>
    </xf>
    <xf numFmtId="0" fontId="4" fillId="0" borderId="88" xfId="3" applyFont="1" applyBorder="1" applyAlignment="1">
      <alignment horizontal="center" vertical="center"/>
    </xf>
    <xf numFmtId="0" fontId="4" fillId="0" borderId="88" xfId="3" applyNumberFormat="1" applyFont="1" applyBorder="1" applyAlignment="1">
      <alignment horizontal="center" vertical="center"/>
    </xf>
    <xf numFmtId="0" fontId="13" fillId="0" borderId="78" xfId="3" applyNumberFormat="1" applyFont="1" applyBorder="1" applyAlignment="1">
      <alignment horizontal="center" vertical="center"/>
    </xf>
    <xf numFmtId="0" fontId="13" fillId="0" borderId="63" xfId="3" applyNumberFormat="1" applyFont="1" applyBorder="1" applyAlignment="1">
      <alignment horizontal="center" vertical="center"/>
    </xf>
    <xf numFmtId="0" fontId="13" fillId="0" borderId="64" xfId="3" applyNumberFormat="1" applyFont="1" applyBorder="1" applyAlignment="1">
      <alignment horizontal="center" vertical="center"/>
    </xf>
    <xf numFmtId="0" fontId="13" fillId="0" borderId="9" xfId="3" applyFont="1" applyBorder="1" applyAlignment="1">
      <alignment horizontal="center" vertical="center"/>
    </xf>
    <xf numFmtId="0" fontId="13" fillId="0" borderId="89" xfId="3" applyFont="1" applyBorder="1" applyAlignment="1">
      <alignment horizontal="center" vertical="center"/>
    </xf>
    <xf numFmtId="31" fontId="21" fillId="0" borderId="90" xfId="3" applyNumberFormat="1" applyFont="1" applyBorder="1" applyAlignment="1">
      <alignment horizontal="center" vertical="center"/>
    </xf>
    <xf numFmtId="0" fontId="22" fillId="0" borderId="90" xfId="3" applyFont="1" applyBorder="1" applyAlignment="1">
      <alignment horizontal="center" vertical="center"/>
    </xf>
    <xf numFmtId="185" fontId="18" fillId="0" borderId="90" xfId="0" applyNumberFormat="1" applyFont="1" applyBorder="1" applyAlignment="1">
      <alignment horizontal="center" vertical="center"/>
    </xf>
    <xf numFmtId="0" fontId="13" fillId="0" borderId="85" xfId="3" applyFont="1" applyBorder="1" applyAlignment="1">
      <alignment horizontal="center" vertical="center" wrapText="1"/>
    </xf>
    <xf numFmtId="0" fontId="13" fillId="0" borderId="5" xfId="3" applyFont="1" applyBorder="1" applyAlignment="1">
      <alignment horizontal="center" vertical="center" wrapText="1"/>
    </xf>
    <xf numFmtId="0" fontId="13" fillId="0" borderId="56" xfId="3" applyFont="1" applyBorder="1" applyAlignment="1">
      <alignment horizontal="center" vertical="center" wrapText="1"/>
    </xf>
    <xf numFmtId="177" fontId="7" fillId="0" borderId="15" xfId="3" applyNumberFormat="1" applyFont="1" applyBorder="1" applyAlignment="1">
      <alignment horizontal="center" vertical="center"/>
    </xf>
    <xf numFmtId="177" fontId="7" fillId="0" borderId="50" xfId="3" applyNumberFormat="1" applyFont="1" applyBorder="1" applyAlignment="1">
      <alignment horizontal="center" vertical="center"/>
    </xf>
    <xf numFmtId="177" fontId="7" fillId="0" borderId="51" xfId="3" applyNumberFormat="1" applyFont="1" applyBorder="1" applyAlignment="1">
      <alignment horizontal="center" vertical="center"/>
    </xf>
    <xf numFmtId="177" fontId="7" fillId="0" borderId="27" xfId="3" applyNumberFormat="1" applyFont="1" applyBorder="1" applyAlignment="1">
      <alignment horizontal="center" vertical="center"/>
    </xf>
    <xf numFmtId="177" fontId="7" fillId="0" borderId="86" xfId="3" applyNumberFormat="1" applyFont="1" applyBorder="1" applyAlignment="1">
      <alignment horizontal="center" vertical="center"/>
    </xf>
    <xf numFmtId="177" fontId="7" fillId="0" borderId="48" xfId="3" applyNumberFormat="1" applyFont="1" applyBorder="1" applyAlignment="1">
      <alignment horizontal="center" vertical="center"/>
    </xf>
    <xf numFmtId="177" fontId="7" fillId="0" borderId="87" xfId="3" applyNumberFormat="1" applyFont="1" applyBorder="1" applyAlignment="1">
      <alignment horizontal="center" vertical="center"/>
    </xf>
    <xf numFmtId="0" fontId="16" fillId="0" borderId="81" xfId="3" applyNumberFormat="1" applyFont="1" applyBorder="1" applyAlignment="1">
      <alignment horizontal="center" vertical="center"/>
    </xf>
    <xf numFmtId="0" fontId="16" fillId="0" borderId="82" xfId="3" applyNumberFormat="1" applyFont="1" applyBorder="1" applyAlignment="1">
      <alignment horizontal="center" vertical="center"/>
    </xf>
    <xf numFmtId="0" fontId="16" fillId="0" borderId="83" xfId="3" applyNumberFormat="1" applyFont="1" applyBorder="1" applyAlignment="1">
      <alignment horizontal="center" vertical="center"/>
    </xf>
    <xf numFmtId="0" fontId="16" fillId="0" borderId="84" xfId="3" applyNumberFormat="1" applyFont="1" applyBorder="1" applyAlignment="1">
      <alignment horizontal="center" vertical="center"/>
    </xf>
    <xf numFmtId="0" fontId="13" fillId="0" borderId="41" xfId="3" applyFont="1" applyBorder="1" applyAlignment="1">
      <alignment horizontal="center" vertical="center"/>
    </xf>
    <xf numFmtId="0" fontId="13" fillId="0" borderId="40" xfId="3" applyFont="1" applyBorder="1" applyAlignment="1">
      <alignment horizontal="center" vertical="center"/>
    </xf>
    <xf numFmtId="2" fontId="7" fillId="0" borderId="15" xfId="3" applyNumberFormat="1" applyFont="1" applyBorder="1" applyAlignment="1">
      <alignment horizontal="center" vertical="center"/>
    </xf>
    <xf numFmtId="2" fontId="7" fillId="0" borderId="27" xfId="3" applyNumberFormat="1" applyFont="1" applyBorder="1" applyAlignment="1">
      <alignment horizontal="center" vertical="center"/>
    </xf>
    <xf numFmtId="177" fontId="7" fillId="0" borderId="49" xfId="3" applyNumberFormat="1" applyFont="1" applyBorder="1" applyAlignment="1">
      <alignment horizontal="center" vertical="center"/>
    </xf>
    <xf numFmtId="0" fontId="13" fillId="0" borderId="86" xfId="3" applyFont="1" applyBorder="1" applyAlignment="1">
      <alignment horizontal="center" vertical="center"/>
    </xf>
    <xf numFmtId="0" fontId="13" fillId="0" borderId="87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21" fillId="0" borderId="0" xfId="3" applyFont="1" applyAlignment="1">
      <alignment vertical="center"/>
    </xf>
    <xf numFmtId="0" fontId="13" fillId="0" borderId="78" xfId="3" applyFont="1" applyBorder="1" applyAlignment="1">
      <alignment horizontal="center" vertical="center"/>
    </xf>
    <xf numFmtId="0" fontId="13" fillId="0" borderId="63" xfId="3" applyFont="1" applyBorder="1" applyAlignment="1">
      <alignment horizontal="center" vertical="center"/>
    </xf>
    <xf numFmtId="0" fontId="13" fillId="0" borderId="79" xfId="3" applyFont="1" applyBorder="1" applyAlignment="1">
      <alignment horizontal="center" vertical="center"/>
    </xf>
    <xf numFmtId="0" fontId="13" fillId="0" borderId="80" xfId="3" applyNumberFormat="1" applyFont="1" applyBorder="1" applyAlignment="1">
      <alignment horizontal="center" vertical="center"/>
    </xf>
    <xf numFmtId="0" fontId="13" fillId="0" borderId="48" xfId="3" applyNumberFormat="1" applyFont="1" applyBorder="1" applyAlignment="1">
      <alignment horizontal="center" vertical="center"/>
    </xf>
    <xf numFmtId="0" fontId="13" fillId="0" borderId="49" xfId="3" applyNumberFormat="1" applyFont="1" applyBorder="1" applyAlignment="1">
      <alignment horizontal="center" vertical="center"/>
    </xf>
    <xf numFmtId="0" fontId="13" fillId="0" borderId="63" xfId="0" applyFont="1" applyBorder="1" applyAlignment="1">
      <alignment horizontal="left"/>
    </xf>
    <xf numFmtId="0" fontId="31" fillId="0" borderId="63" xfId="0" applyFont="1" applyBorder="1" applyAlignment="1">
      <alignment horizontal="left"/>
    </xf>
    <xf numFmtId="0" fontId="31" fillId="0" borderId="64" xfId="0" applyFont="1" applyBorder="1" applyAlignment="1">
      <alignment horizontal="left"/>
    </xf>
    <xf numFmtId="0" fontId="13" fillId="0" borderId="91" xfId="3" applyFont="1" applyBorder="1" applyAlignment="1">
      <alignment horizontal="center" vertical="center" wrapText="1"/>
    </xf>
    <xf numFmtId="0" fontId="13" fillId="0" borderId="72" xfId="3" applyFont="1" applyBorder="1" applyAlignment="1">
      <alignment horizontal="center" vertical="center" wrapText="1"/>
    </xf>
    <xf numFmtId="0" fontId="13" fillId="0" borderId="32" xfId="3" applyFont="1" applyBorder="1" applyAlignment="1">
      <alignment horizontal="center" vertical="center" wrapText="1"/>
    </xf>
    <xf numFmtId="0" fontId="7" fillId="0" borderId="15" xfId="3" applyFont="1" applyBorder="1" applyAlignment="1">
      <alignment horizontal="center" vertical="center"/>
    </xf>
    <xf numFmtId="0" fontId="7" fillId="0" borderId="27" xfId="3" applyFont="1" applyBorder="1" applyAlignment="1">
      <alignment horizontal="center" vertical="center"/>
    </xf>
    <xf numFmtId="0" fontId="11" fillId="0" borderId="71" xfId="3" applyFont="1" applyBorder="1" applyAlignment="1">
      <alignment horizontal="center" vertical="center"/>
    </xf>
    <xf numFmtId="0" fontId="13" fillId="0" borderId="73" xfId="3" applyFont="1" applyBorder="1" applyAlignment="1">
      <alignment horizontal="center" vertical="center" wrapText="1"/>
    </xf>
    <xf numFmtId="182" fontId="7" fillId="0" borderId="15" xfId="3" applyNumberFormat="1" applyFont="1" applyBorder="1" applyAlignment="1">
      <alignment horizontal="right" vertical="center"/>
    </xf>
    <xf numFmtId="182" fontId="7" fillId="0" borderId="74" xfId="3" applyNumberFormat="1" applyFont="1" applyBorder="1" applyAlignment="1">
      <alignment horizontal="right" vertical="center"/>
    </xf>
    <xf numFmtId="0" fontId="13" fillId="0" borderId="59" xfId="3" applyFont="1" applyBorder="1" applyAlignment="1">
      <alignment horizontal="right" vertical="center"/>
    </xf>
    <xf numFmtId="0" fontId="13" fillId="0" borderId="75" xfId="3" applyFont="1" applyBorder="1" applyAlignment="1">
      <alignment horizontal="right" vertical="center"/>
    </xf>
    <xf numFmtId="0" fontId="13" fillId="0" borderId="76" xfId="3" applyFont="1" applyBorder="1" applyAlignment="1">
      <alignment horizontal="center" vertical="center"/>
    </xf>
    <xf numFmtId="2" fontId="7" fillId="0" borderId="59" xfId="3" applyNumberFormat="1" applyFont="1" applyBorder="1" applyAlignment="1">
      <alignment horizontal="center" vertical="center"/>
    </xf>
    <xf numFmtId="2" fontId="7" fillId="0" borderId="31" xfId="3" applyNumberFormat="1" applyFont="1" applyBorder="1" applyAlignment="1">
      <alignment horizontal="center" vertical="center"/>
    </xf>
    <xf numFmtId="181" fontId="13" fillId="0" borderId="63" xfId="3" applyNumberFormat="1" applyFont="1" applyBorder="1" applyAlignment="1">
      <alignment horizontal="left" vertical="center"/>
    </xf>
    <xf numFmtId="181" fontId="13" fillId="0" borderId="64" xfId="3" applyNumberFormat="1" applyFont="1" applyBorder="1" applyAlignment="1">
      <alignment horizontal="left" vertical="center"/>
    </xf>
    <xf numFmtId="0" fontId="16" fillId="0" borderId="92" xfId="3" applyNumberFormat="1" applyFont="1" applyBorder="1" applyAlignment="1">
      <alignment horizontal="center" vertical="center"/>
    </xf>
    <xf numFmtId="0" fontId="16" fillId="0" borderId="93" xfId="3" applyNumberFormat="1" applyFont="1" applyBorder="1" applyAlignment="1">
      <alignment horizontal="center" vertical="center"/>
    </xf>
    <xf numFmtId="0" fontId="16" fillId="0" borderId="94" xfId="3" applyNumberFormat="1" applyFont="1" applyBorder="1" applyAlignment="1">
      <alignment horizontal="center" vertical="center"/>
    </xf>
    <xf numFmtId="0" fontId="16" fillId="0" borderId="95" xfId="3" applyNumberFormat="1" applyFont="1" applyBorder="1" applyAlignment="1">
      <alignment horizontal="center" vertical="center"/>
    </xf>
    <xf numFmtId="181" fontId="13" fillId="0" borderId="50" xfId="3" applyNumberFormat="1" applyFont="1" applyBorder="1" applyAlignment="1">
      <alignment horizontal="left" vertical="center"/>
    </xf>
    <xf numFmtId="181" fontId="13" fillId="0" borderId="51" xfId="3" applyNumberFormat="1" applyFont="1" applyBorder="1" applyAlignment="1">
      <alignment horizontal="left" vertical="center"/>
    </xf>
    <xf numFmtId="0" fontId="13" fillId="0" borderId="39" xfId="3" applyNumberFormat="1" applyFont="1" applyBorder="1" applyAlignment="1">
      <alignment horizontal="center" vertical="center"/>
    </xf>
    <xf numFmtId="0" fontId="13" fillId="0" borderId="68" xfId="3" applyNumberFormat="1" applyFont="1" applyBorder="1" applyAlignment="1">
      <alignment horizontal="center" vertical="center"/>
    </xf>
    <xf numFmtId="0" fontId="13" fillId="0" borderId="69" xfId="3" applyNumberFormat="1" applyFont="1" applyBorder="1" applyAlignment="1">
      <alignment horizontal="center" vertical="center"/>
    </xf>
    <xf numFmtId="181" fontId="13" fillId="0" borderId="50" xfId="3" applyNumberFormat="1" applyFont="1" applyBorder="1" applyAlignment="1">
      <alignment vertical="center"/>
    </xf>
    <xf numFmtId="181" fontId="13" fillId="0" borderId="51" xfId="3" applyNumberFormat="1" applyFont="1" applyBorder="1" applyAlignment="1">
      <alignment vertical="center"/>
    </xf>
    <xf numFmtId="181" fontId="13" fillId="0" borderId="68" xfId="3" applyNumberFormat="1" applyFont="1" applyBorder="1" applyAlignment="1">
      <alignment vertical="center"/>
    </xf>
    <xf numFmtId="181" fontId="13" fillId="0" borderId="69" xfId="3" applyNumberFormat="1" applyFont="1" applyBorder="1" applyAlignment="1">
      <alignment vertical="center"/>
    </xf>
    <xf numFmtId="0" fontId="13" fillId="0" borderId="26" xfId="3" applyNumberFormat="1" applyFont="1" applyBorder="1" applyAlignment="1">
      <alignment horizontal="center" vertical="center"/>
    </xf>
    <xf numFmtId="0" fontId="13" fillId="0" borderId="50" xfId="3" applyNumberFormat="1" applyFont="1" applyBorder="1" applyAlignment="1">
      <alignment horizontal="center" vertical="center"/>
    </xf>
    <xf numFmtId="0" fontId="13" fillId="0" borderId="51" xfId="3" applyNumberFormat="1" applyFont="1" applyBorder="1" applyAlignment="1">
      <alignment horizontal="center" vertical="center"/>
    </xf>
  </cellXfs>
  <cellStyles count="7">
    <cellStyle name="常规" xfId="0" builtinId="0"/>
    <cellStyle name="常规_2004炼胶要货单" xfId="1"/>
    <cellStyle name="常规_2005炼胶要货单" xfId="2"/>
    <cellStyle name="常规_2006炼胶要货单" xfId="3"/>
    <cellStyle name="常规_2010-009炼胶计划" xfId="4"/>
    <cellStyle name="常规_PROF系列生产配方清单" xfId="5"/>
    <cellStyle name="千位分隔" xfId="6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276824091"/>
  <ax:ocxPr ax:name="Caption" ax:value="制表名称："/>
  <ax:ocxPr ax:name="Size" ax:value="2143;450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1058;635"/>
  <ax:ocxPr ax:name="Value" ax:value="2"/>
  <ax:ocxPr ax:name="FontName" ax:value="宋体"/>
  <ax:ocxPr ax:name="FontHeight" ax:value="225"/>
  <ax:ocxPr ax:name="FontCharSet" ax:value="134"/>
  <ax:ocxPr ax:name="FontPitchAndFamily" ax:value="34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Upload"/>
  <ax:ocxPr ax:name="Size" ax:value="3466;8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42" name="Text Box 2"/>
        <xdr:cNvSpPr txBox="1">
          <a:spLocks noChangeArrowheads="1"/>
        </xdr:cNvSpPr>
      </xdr:nvSpPr>
      <xdr:spPr bwMode="auto">
        <a:xfrm>
          <a:off x="2676525" y="23050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8943" name="Text Box 3"/>
        <xdr:cNvSpPr txBox="1">
          <a:spLocks noChangeArrowheads="1"/>
        </xdr:cNvSpPr>
      </xdr:nvSpPr>
      <xdr:spPr bwMode="auto">
        <a:xfrm>
          <a:off x="2686050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44" name="Text Box 4"/>
        <xdr:cNvSpPr txBox="1">
          <a:spLocks noChangeArrowheads="1"/>
        </xdr:cNvSpPr>
      </xdr:nvSpPr>
      <xdr:spPr bwMode="auto">
        <a:xfrm>
          <a:off x="2676525" y="19621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45" name="Text Box 5"/>
        <xdr:cNvSpPr txBox="1">
          <a:spLocks noChangeArrowheads="1"/>
        </xdr:cNvSpPr>
      </xdr:nvSpPr>
      <xdr:spPr bwMode="auto">
        <a:xfrm>
          <a:off x="2676525" y="21336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46" name="Text Box 6"/>
        <xdr:cNvSpPr txBox="1">
          <a:spLocks noChangeArrowheads="1"/>
        </xdr:cNvSpPr>
      </xdr:nvSpPr>
      <xdr:spPr bwMode="auto">
        <a:xfrm>
          <a:off x="2676525" y="1247775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47" name="Text Box 7"/>
        <xdr:cNvSpPr txBox="1">
          <a:spLocks noChangeArrowheads="1"/>
        </xdr:cNvSpPr>
      </xdr:nvSpPr>
      <xdr:spPr bwMode="auto">
        <a:xfrm>
          <a:off x="2676525" y="12763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48" name="Text Box 8"/>
        <xdr:cNvSpPr txBox="1">
          <a:spLocks noChangeArrowheads="1"/>
        </xdr:cNvSpPr>
      </xdr:nvSpPr>
      <xdr:spPr bwMode="auto">
        <a:xfrm>
          <a:off x="2676525" y="14478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49" name="Text Box 9"/>
        <xdr:cNvSpPr txBox="1">
          <a:spLocks noChangeArrowheads="1"/>
        </xdr:cNvSpPr>
      </xdr:nvSpPr>
      <xdr:spPr bwMode="auto">
        <a:xfrm>
          <a:off x="2676525" y="16192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50" name="Text Box 10"/>
        <xdr:cNvSpPr txBox="1">
          <a:spLocks noChangeArrowheads="1"/>
        </xdr:cNvSpPr>
      </xdr:nvSpPr>
      <xdr:spPr bwMode="auto">
        <a:xfrm>
          <a:off x="2676525" y="17907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51" name="Text Box 11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52" name="Text Box 12"/>
        <xdr:cNvSpPr txBox="1">
          <a:spLocks noChangeArrowheads="1"/>
        </xdr:cNvSpPr>
      </xdr:nvSpPr>
      <xdr:spPr bwMode="auto">
        <a:xfrm>
          <a:off x="2676525" y="23050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8953" name="Text Box 13"/>
        <xdr:cNvSpPr txBox="1">
          <a:spLocks noChangeArrowheads="1"/>
        </xdr:cNvSpPr>
      </xdr:nvSpPr>
      <xdr:spPr bwMode="auto">
        <a:xfrm>
          <a:off x="2686050" y="23050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54" name="Text Box 14"/>
        <xdr:cNvSpPr txBox="1">
          <a:spLocks noChangeArrowheads="1"/>
        </xdr:cNvSpPr>
      </xdr:nvSpPr>
      <xdr:spPr bwMode="auto">
        <a:xfrm>
          <a:off x="2676525" y="23050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55" name="Text Box 15"/>
        <xdr:cNvSpPr txBox="1">
          <a:spLocks noChangeArrowheads="1"/>
        </xdr:cNvSpPr>
      </xdr:nvSpPr>
      <xdr:spPr bwMode="auto">
        <a:xfrm>
          <a:off x="2676525" y="21336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56" name="Text Box 16"/>
        <xdr:cNvSpPr txBox="1">
          <a:spLocks noChangeArrowheads="1"/>
        </xdr:cNvSpPr>
      </xdr:nvSpPr>
      <xdr:spPr bwMode="auto">
        <a:xfrm>
          <a:off x="2676525" y="19621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57" name="Text Box 17"/>
        <xdr:cNvSpPr txBox="1">
          <a:spLocks noChangeArrowheads="1"/>
        </xdr:cNvSpPr>
      </xdr:nvSpPr>
      <xdr:spPr bwMode="auto">
        <a:xfrm>
          <a:off x="2676525" y="23050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58" name="Text Box 18"/>
        <xdr:cNvSpPr txBox="1">
          <a:spLocks noChangeArrowheads="1"/>
        </xdr:cNvSpPr>
      </xdr:nvSpPr>
      <xdr:spPr bwMode="auto">
        <a:xfrm>
          <a:off x="2676525" y="21336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59" name="Text Box 19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60" name="Text Box 20"/>
        <xdr:cNvSpPr txBox="1">
          <a:spLocks noChangeArrowheads="1"/>
        </xdr:cNvSpPr>
      </xdr:nvSpPr>
      <xdr:spPr bwMode="auto">
        <a:xfrm>
          <a:off x="2676525" y="23050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61" name="Text Box 21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8962" name="Text Box 22"/>
        <xdr:cNvSpPr txBox="1">
          <a:spLocks noChangeArrowheads="1"/>
        </xdr:cNvSpPr>
      </xdr:nvSpPr>
      <xdr:spPr bwMode="auto">
        <a:xfrm>
          <a:off x="2686050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63" name="Text Box 23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64" name="Text Box 24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8965" name="Text Box 25"/>
        <xdr:cNvSpPr txBox="1">
          <a:spLocks noChangeArrowheads="1"/>
        </xdr:cNvSpPr>
      </xdr:nvSpPr>
      <xdr:spPr bwMode="auto">
        <a:xfrm>
          <a:off x="2686050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66" name="Text Box 26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67" name="Text Box 27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68" name="Text Box 28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69" name="Text Box 29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70" name="Text Box 30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71" name="Text Box 31"/>
        <xdr:cNvSpPr txBox="1">
          <a:spLocks noChangeArrowheads="1"/>
        </xdr:cNvSpPr>
      </xdr:nvSpPr>
      <xdr:spPr bwMode="auto">
        <a:xfrm>
          <a:off x="2676525" y="23050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72" name="Text Box 32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8973" name="Text Box 33"/>
        <xdr:cNvSpPr txBox="1">
          <a:spLocks noChangeArrowheads="1"/>
        </xdr:cNvSpPr>
      </xdr:nvSpPr>
      <xdr:spPr bwMode="auto">
        <a:xfrm>
          <a:off x="2686050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74" name="Text Box 34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75" name="Text Box 35"/>
        <xdr:cNvSpPr txBox="1">
          <a:spLocks noChangeArrowheads="1"/>
        </xdr:cNvSpPr>
      </xdr:nvSpPr>
      <xdr:spPr bwMode="auto">
        <a:xfrm>
          <a:off x="2676525" y="23050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76" name="Text Box 36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77" name="Text Box 37"/>
        <xdr:cNvSpPr txBox="1">
          <a:spLocks noChangeArrowheads="1"/>
        </xdr:cNvSpPr>
      </xdr:nvSpPr>
      <xdr:spPr bwMode="auto">
        <a:xfrm>
          <a:off x="2676525" y="23050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78" name="Text Box 38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79" name="Text Box 39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80" name="Text Box 40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81" name="Text Box 41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8982" name="Text Box 42"/>
        <xdr:cNvSpPr txBox="1">
          <a:spLocks noChangeArrowheads="1"/>
        </xdr:cNvSpPr>
      </xdr:nvSpPr>
      <xdr:spPr bwMode="auto">
        <a:xfrm>
          <a:off x="2686050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83" name="Text Box 43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84" name="Text Box 44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85" name="Text Box 45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86" name="Text Box 46"/>
        <xdr:cNvSpPr txBox="1">
          <a:spLocks noChangeArrowheads="1"/>
        </xdr:cNvSpPr>
      </xdr:nvSpPr>
      <xdr:spPr bwMode="auto">
        <a:xfrm>
          <a:off x="2676525" y="24765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87" name="Text Box 47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8988" name="Text Box 48"/>
        <xdr:cNvSpPr txBox="1">
          <a:spLocks noChangeArrowheads="1"/>
        </xdr:cNvSpPr>
      </xdr:nvSpPr>
      <xdr:spPr bwMode="auto">
        <a:xfrm>
          <a:off x="2686050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89" name="Text Box 49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90" name="Text Box 50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91" name="Text Box 51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8992" name="Text Box 52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93" name="Text Box 53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94" name="Text Box 54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8995" name="Text Box 55"/>
        <xdr:cNvSpPr txBox="1">
          <a:spLocks noChangeArrowheads="1"/>
        </xdr:cNvSpPr>
      </xdr:nvSpPr>
      <xdr:spPr bwMode="auto">
        <a:xfrm>
          <a:off x="2686050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96" name="Text Box 56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97" name="Text Box 57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98" name="Text Box 58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8999" name="Text Box 59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00" name="Text Box 60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01" name="Text Box 61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02" name="Text Box 62"/>
        <xdr:cNvSpPr txBox="1">
          <a:spLocks noChangeArrowheads="1"/>
        </xdr:cNvSpPr>
      </xdr:nvSpPr>
      <xdr:spPr bwMode="auto">
        <a:xfrm>
          <a:off x="2686050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03" name="Text Box 63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04" name="Text Box 64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05" name="Text Box 65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06" name="Text Box 66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07" name="Text Box 67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08" name="Text Box 68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09" name="Text Box 69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10" name="Text Box 70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11" name="Text Box 71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12" name="Text Box 72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13" name="Text Box 73"/>
        <xdr:cNvSpPr txBox="1">
          <a:spLocks noChangeArrowheads="1"/>
        </xdr:cNvSpPr>
      </xdr:nvSpPr>
      <xdr:spPr bwMode="auto">
        <a:xfrm>
          <a:off x="2676525" y="26479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14" name="Text Box 74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15" name="Text Box 75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16" name="Text Box 76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17" name="Text Box 77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18" name="Text Box 78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19" name="Text Box 79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20" name="Text Box 80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21" name="Text Box 81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22" name="Text Box 82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23" name="Text Box 83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24" name="Text Box 84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25" name="Text Box 85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26" name="Text Box 86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27" name="Text Box 87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28" name="Text Box 88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29" name="Text Box 89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30" name="Text Box 90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31" name="Text Box 91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32" name="Text Box 92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33" name="Text Box 93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34" name="Text Box 94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35" name="Text Box 95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36" name="Text Box 96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37" name="Text Box 97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38" name="Text Box 98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39" name="Text Box 99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40" name="Text Box 100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41" name="Text Box 101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42" name="Text Box 102"/>
        <xdr:cNvSpPr txBox="1">
          <a:spLocks noChangeArrowheads="1"/>
        </xdr:cNvSpPr>
      </xdr:nvSpPr>
      <xdr:spPr bwMode="auto">
        <a:xfrm>
          <a:off x="2676525" y="17907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43" name="Text Box 103"/>
        <xdr:cNvSpPr txBox="1">
          <a:spLocks noChangeArrowheads="1"/>
        </xdr:cNvSpPr>
      </xdr:nvSpPr>
      <xdr:spPr bwMode="auto">
        <a:xfrm>
          <a:off x="2676525" y="19621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44" name="Text Box 104"/>
        <xdr:cNvSpPr txBox="1">
          <a:spLocks noChangeArrowheads="1"/>
        </xdr:cNvSpPr>
      </xdr:nvSpPr>
      <xdr:spPr bwMode="auto">
        <a:xfrm>
          <a:off x="2676525" y="19621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45" name="Text Box 105"/>
        <xdr:cNvSpPr txBox="1">
          <a:spLocks noChangeArrowheads="1"/>
        </xdr:cNvSpPr>
      </xdr:nvSpPr>
      <xdr:spPr bwMode="auto">
        <a:xfrm>
          <a:off x="2676525" y="21336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46" name="Text Box 106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47" name="Text Box 107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48" name="Text Box 108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49" name="Text Box 109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50" name="Text Box 110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51" name="Text Box 111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52" name="Text Box 112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53" name="Text Box 113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54" name="Text Box 114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55" name="Text Box 115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56" name="Text Box 116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57" name="Text Box 117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58" name="Text Box 118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59" name="Text Box 119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60" name="Text Box 120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61" name="Text Box 121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62" name="Text Box 122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63" name="Text Box 123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64" name="Text Box 124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65" name="Text Box 125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66" name="Text Box 126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67" name="Text Box 127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68" name="Text Box 128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69" name="Text Box 129"/>
        <xdr:cNvSpPr txBox="1">
          <a:spLocks noChangeArrowheads="1"/>
        </xdr:cNvSpPr>
      </xdr:nvSpPr>
      <xdr:spPr bwMode="auto">
        <a:xfrm>
          <a:off x="2686050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70" name="Text Box 130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71" name="Text Box 131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72" name="Text Box 132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73" name="Text Box 133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74" name="Text Box 134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75" name="Text Box 135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76" name="Text Box 136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77" name="Text Box 137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78" name="Text Box 138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79" name="Text Box 139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80" name="Text Box 140"/>
        <xdr:cNvSpPr txBox="1">
          <a:spLocks noChangeArrowheads="1"/>
        </xdr:cNvSpPr>
      </xdr:nvSpPr>
      <xdr:spPr bwMode="auto">
        <a:xfrm>
          <a:off x="2676525" y="28194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81" name="Text Box 141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82" name="Text Box 142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83" name="Text Box 143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84" name="Text Box 144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85" name="Text Box 145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86" name="Text Box 146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87" name="Text Box 147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88" name="Text Box 148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89" name="Text Box 149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90" name="Text Box 150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91" name="Text Box 151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92" name="Text Box 152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093" name="Text Box 153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94" name="Text Box 154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95" name="Text Box 155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96" name="Text Box 156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97" name="Text Box 157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98" name="Text Box 158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099" name="Text Box 159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00" name="Text Box 160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01" name="Text Box 161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02" name="Text Box 162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03" name="Text Box 163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04" name="Text Box 164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05" name="Text Box 165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06" name="Text Box 166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07" name="Text Box 167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08" name="Text Box 168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09" name="Text Box 169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10" name="Text Box 170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11" name="Text Box 171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12" name="Text Box 172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13" name="Text Box 173"/>
        <xdr:cNvSpPr txBox="1">
          <a:spLocks noChangeArrowheads="1"/>
        </xdr:cNvSpPr>
      </xdr:nvSpPr>
      <xdr:spPr bwMode="auto">
        <a:xfrm>
          <a:off x="2686050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14" name="Text Box 174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15" name="Text Box 175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16" name="Text Box 176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17" name="Text Box 177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18" name="Text Box 178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19" name="Text Box 179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20" name="Text Box 180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21" name="Text Box 181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22" name="Text Box 182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23" name="Text Box 183"/>
        <xdr:cNvSpPr txBox="1">
          <a:spLocks noChangeArrowheads="1"/>
        </xdr:cNvSpPr>
      </xdr:nvSpPr>
      <xdr:spPr bwMode="auto">
        <a:xfrm>
          <a:off x="2686050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24" name="Text Box 184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25" name="Text Box 185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26" name="Text Box 186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27" name="Text Box 187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28" name="Text Box 188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29" name="Text Box 189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30" name="Text Box 190"/>
        <xdr:cNvSpPr txBox="1">
          <a:spLocks noChangeArrowheads="1"/>
        </xdr:cNvSpPr>
      </xdr:nvSpPr>
      <xdr:spPr bwMode="auto">
        <a:xfrm>
          <a:off x="2686050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31" name="Text Box 191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32" name="Text Box 192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33" name="Text Box 193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34" name="Text Box 194"/>
        <xdr:cNvSpPr txBox="1">
          <a:spLocks noChangeArrowheads="1"/>
        </xdr:cNvSpPr>
      </xdr:nvSpPr>
      <xdr:spPr bwMode="auto">
        <a:xfrm>
          <a:off x="2676525" y="299085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35" name="Text Box 195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36" name="Text Box 196"/>
        <xdr:cNvSpPr txBox="1">
          <a:spLocks noChangeArrowheads="1"/>
        </xdr:cNvSpPr>
      </xdr:nvSpPr>
      <xdr:spPr bwMode="auto">
        <a:xfrm>
          <a:off x="2686050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37" name="Text Box 197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38" name="Text Box 198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39" name="Text Box 199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40" name="Text Box 200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41" name="Text Box 201"/>
        <xdr:cNvSpPr txBox="1">
          <a:spLocks noChangeArrowheads="1"/>
        </xdr:cNvSpPr>
      </xdr:nvSpPr>
      <xdr:spPr bwMode="auto">
        <a:xfrm>
          <a:off x="2686050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42" name="Text Box 202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43" name="Text Box 203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44" name="Text Box 204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45" name="Text Box 205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46" name="Text Box 206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276225</xdr:colOff>
      <xdr:row>0</xdr:row>
      <xdr:rowOff>0</xdr:rowOff>
    </xdr:from>
    <xdr:ext cx="200025" cy="0"/>
    <xdr:sp macro="" textlink="">
      <xdr:nvSpPr>
        <xdr:cNvPr id="99147" name="Text Box 207"/>
        <xdr:cNvSpPr txBox="1">
          <a:spLocks noChangeArrowheads="1"/>
        </xdr:cNvSpPr>
      </xdr:nvSpPr>
      <xdr:spPr bwMode="auto">
        <a:xfrm>
          <a:off x="2686050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48" name="Text Box 208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49" name="Text Box 209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50" name="Text Box 210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51" name="Text Box 211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52" name="Text Box 212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266700</xdr:colOff>
      <xdr:row>0</xdr:row>
      <xdr:rowOff>0</xdr:rowOff>
    </xdr:from>
    <xdr:ext cx="200025" cy="0"/>
    <xdr:sp macro="" textlink="">
      <xdr:nvSpPr>
        <xdr:cNvPr id="99153" name="Text Box 213"/>
        <xdr:cNvSpPr txBox="1">
          <a:spLocks noChangeArrowheads="1"/>
        </xdr:cNvSpPr>
      </xdr:nvSpPr>
      <xdr:spPr bwMode="auto">
        <a:xfrm>
          <a:off x="2676525" y="316230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enxiangyong/Downloads/&#28860;&#33014;&#35745;&#21010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订单"/>
      <sheetName val="00"/>
      <sheetName val="01"/>
      <sheetName val="1"/>
      <sheetName val="2"/>
      <sheetName val="3"/>
      <sheetName val="4"/>
      <sheetName val="5"/>
      <sheetName val="6"/>
      <sheetName val="7"/>
      <sheetName val="Sheet1"/>
    </sheetNames>
    <sheetDataSet>
      <sheetData sheetId="0" refreshError="1">
        <row r="2">
          <cell r="A2" t="str">
            <v>物料</v>
          </cell>
          <cell r="B2" t="str">
            <v>订单号</v>
          </cell>
          <cell r="C2" t="str">
            <v>旧物料描述</v>
          </cell>
        </row>
        <row r="3">
          <cell r="A3">
            <v>270031</v>
          </cell>
          <cell r="B3">
            <v>1082486</v>
          </cell>
          <cell r="C3" t="str">
            <v>DES952(1)</v>
          </cell>
        </row>
        <row r="4">
          <cell r="A4">
            <v>270030</v>
          </cell>
          <cell r="B4">
            <v>1082487</v>
          </cell>
          <cell r="C4" t="str">
            <v>DES951(1)</v>
          </cell>
        </row>
        <row r="5">
          <cell r="A5">
            <v>270028</v>
          </cell>
          <cell r="B5">
            <v>1082488</v>
          </cell>
          <cell r="C5" t="str">
            <v>DES851(1)</v>
          </cell>
        </row>
        <row r="6">
          <cell r="A6">
            <v>270294</v>
          </cell>
          <cell r="B6">
            <v>1082489</v>
          </cell>
          <cell r="C6" t="str">
            <v>DES854(1)</v>
          </cell>
        </row>
        <row r="7">
          <cell r="A7">
            <v>270026</v>
          </cell>
          <cell r="B7">
            <v>1082490</v>
          </cell>
          <cell r="C7" t="str">
            <v>DES801(1)</v>
          </cell>
        </row>
        <row r="8">
          <cell r="A8">
            <v>270024</v>
          </cell>
          <cell r="B8">
            <v>1082491</v>
          </cell>
          <cell r="C8" t="str">
            <v>DEC801(1)</v>
          </cell>
        </row>
        <row r="9">
          <cell r="A9">
            <v>270518</v>
          </cell>
          <cell r="B9">
            <v>1082492</v>
          </cell>
          <cell r="C9" t="str">
            <v>DEC852(1)</v>
          </cell>
        </row>
        <row r="10">
          <cell r="A10">
            <v>270020</v>
          </cell>
          <cell r="B10">
            <v>1082493</v>
          </cell>
          <cell r="C10" t="str">
            <v>DEC701(1)</v>
          </cell>
        </row>
        <row r="11">
          <cell r="A11">
            <v>270292</v>
          </cell>
          <cell r="B11">
            <v>1082494</v>
          </cell>
          <cell r="C11" t="str">
            <v>DEC705(1)</v>
          </cell>
        </row>
        <row r="12">
          <cell r="A12">
            <v>270295</v>
          </cell>
          <cell r="B12">
            <v>1082495</v>
          </cell>
          <cell r="C12" t="str">
            <v>DEC704(1)</v>
          </cell>
        </row>
        <row r="13">
          <cell r="A13">
            <v>270023</v>
          </cell>
          <cell r="B13">
            <v>1082496</v>
          </cell>
          <cell r="C13" t="str">
            <v>DES701(1)</v>
          </cell>
        </row>
        <row r="14">
          <cell r="A14">
            <v>270017</v>
          </cell>
          <cell r="B14">
            <v>1082497</v>
          </cell>
          <cell r="C14" t="str">
            <v>DES601(1)</v>
          </cell>
        </row>
        <row r="15">
          <cell r="A15">
            <v>270314</v>
          </cell>
          <cell r="B15">
            <v>1082498</v>
          </cell>
          <cell r="C15" t="str">
            <v>EMT 65(1)</v>
          </cell>
        </row>
        <row r="16">
          <cell r="A16">
            <v>270293</v>
          </cell>
          <cell r="B16">
            <v>1082499</v>
          </cell>
          <cell r="C16" t="str">
            <v>DES604(1)</v>
          </cell>
        </row>
        <row r="17">
          <cell r="A17">
            <v>270018</v>
          </cell>
          <cell r="B17">
            <v>1082500</v>
          </cell>
          <cell r="C17" t="str">
            <v>DEC601(1)</v>
          </cell>
        </row>
        <row r="18">
          <cell r="A18">
            <v>270082</v>
          </cell>
          <cell r="B18">
            <v>1082501</v>
          </cell>
          <cell r="C18" t="str">
            <v>DES603(1)</v>
          </cell>
        </row>
        <row r="19">
          <cell r="A19">
            <v>270057</v>
          </cell>
          <cell r="B19">
            <v>1082502</v>
          </cell>
          <cell r="C19" t="str">
            <v>CES009(1)</v>
          </cell>
        </row>
        <row r="20">
          <cell r="A20">
            <v>270036</v>
          </cell>
          <cell r="B20">
            <v>1082503</v>
          </cell>
          <cell r="C20" t="str">
            <v>SES311(1)</v>
          </cell>
        </row>
        <row r="21">
          <cell r="A21">
            <v>270039</v>
          </cell>
          <cell r="B21">
            <v>1082504</v>
          </cell>
          <cell r="C21" t="str">
            <v>SES381(1)</v>
          </cell>
        </row>
        <row r="22">
          <cell r="A22">
            <v>270038</v>
          </cell>
          <cell r="B22">
            <v>1082505</v>
          </cell>
          <cell r="C22" t="str">
            <v>SES371(1)</v>
          </cell>
        </row>
        <row r="23">
          <cell r="A23">
            <v>270037</v>
          </cell>
          <cell r="B23">
            <v>1082506</v>
          </cell>
          <cell r="C23" t="str">
            <v>SES372(1)</v>
          </cell>
        </row>
        <row r="24">
          <cell r="A24">
            <v>270033</v>
          </cell>
          <cell r="B24">
            <v>1082507</v>
          </cell>
          <cell r="C24" t="str">
            <v>SES322(1)</v>
          </cell>
        </row>
        <row r="25">
          <cell r="A25">
            <v>270035</v>
          </cell>
          <cell r="B25">
            <v>1082508</v>
          </cell>
          <cell r="C25" t="str">
            <v>SES471(1)</v>
          </cell>
        </row>
        <row r="26">
          <cell r="A26">
            <v>270232</v>
          </cell>
          <cell r="B26">
            <v>1082509</v>
          </cell>
          <cell r="C26" t="str">
            <v>SES401(1)二段</v>
          </cell>
        </row>
        <row r="27">
          <cell r="A27">
            <v>270131</v>
          </cell>
          <cell r="B27">
            <v>1082510</v>
          </cell>
          <cell r="C27" t="str">
            <v>SES402(1)</v>
          </cell>
        </row>
        <row r="28">
          <cell r="A28">
            <v>270296</v>
          </cell>
          <cell r="B28">
            <v>1082511</v>
          </cell>
          <cell r="C28" t="str">
            <v>SES404(1)</v>
          </cell>
        </row>
        <row r="29">
          <cell r="A29">
            <v>270047</v>
          </cell>
          <cell r="B29">
            <v>1082512</v>
          </cell>
          <cell r="C29" t="str">
            <v>DJS801(1)</v>
          </cell>
        </row>
        <row r="30">
          <cell r="A30">
            <v>270084</v>
          </cell>
          <cell r="B30">
            <v>1082513</v>
          </cell>
          <cell r="C30" t="str">
            <v>DJS803(1)</v>
          </cell>
        </row>
        <row r="31">
          <cell r="A31">
            <v>270046</v>
          </cell>
          <cell r="B31">
            <v>1082514</v>
          </cell>
          <cell r="C31" t="str">
            <v>DJS751(1)</v>
          </cell>
        </row>
        <row r="32">
          <cell r="A32">
            <v>270045</v>
          </cell>
          <cell r="B32">
            <v>1082515</v>
          </cell>
          <cell r="C32" t="str">
            <v>DJS701(1)</v>
          </cell>
        </row>
        <row r="33">
          <cell r="A33">
            <v>270143</v>
          </cell>
          <cell r="B33">
            <v>1082516</v>
          </cell>
          <cell r="C33" t="str">
            <v>DJS702(1)</v>
          </cell>
        </row>
        <row r="34">
          <cell r="A34">
            <v>270044</v>
          </cell>
          <cell r="B34">
            <v>1082517</v>
          </cell>
          <cell r="C34" t="str">
            <v>DJM601(1)</v>
          </cell>
        </row>
        <row r="35">
          <cell r="A35">
            <v>270043</v>
          </cell>
          <cell r="B35">
            <v>1082518</v>
          </cell>
          <cell r="C35" t="str">
            <v>DJS601(1)出片</v>
          </cell>
        </row>
        <row r="36">
          <cell r="A36">
            <v>270148</v>
          </cell>
          <cell r="B36">
            <v>1082519</v>
          </cell>
          <cell r="C36" t="str">
            <v>DJS502(1)出片</v>
          </cell>
        </row>
        <row r="37">
          <cell r="A37">
            <v>270041</v>
          </cell>
          <cell r="B37">
            <v>1082520</v>
          </cell>
          <cell r="C37" t="str">
            <v>DJS401(1)</v>
          </cell>
        </row>
        <row r="38">
          <cell r="A38">
            <v>270032</v>
          </cell>
          <cell r="B38">
            <v>1082521</v>
          </cell>
          <cell r="C38" t="str">
            <v>SJS191(1)</v>
          </cell>
        </row>
        <row r="39">
          <cell r="A39">
            <v>270098</v>
          </cell>
          <cell r="B39">
            <v>1082522</v>
          </cell>
          <cell r="C39" t="str">
            <v>DJS601薄片</v>
          </cell>
        </row>
        <row r="40">
          <cell r="A40">
            <v>270309</v>
          </cell>
          <cell r="B40">
            <v>1082523</v>
          </cell>
          <cell r="C40" t="str">
            <v>SES404(0)</v>
          </cell>
        </row>
        <row r="41">
          <cell r="A41">
            <v>270008</v>
          </cell>
          <cell r="B41">
            <v>1082524</v>
          </cell>
          <cell r="C41" t="str">
            <v>SES431(0)</v>
          </cell>
        </row>
        <row r="42">
          <cell r="A42">
            <v>270005</v>
          </cell>
          <cell r="B42">
            <v>1082525</v>
          </cell>
          <cell r="C42" t="str">
            <v>SES381(0)</v>
          </cell>
        </row>
        <row r="43">
          <cell r="A43">
            <v>270141</v>
          </cell>
          <cell r="B43">
            <v>1082526</v>
          </cell>
          <cell r="C43" t="str">
            <v>SES322(0)</v>
          </cell>
        </row>
        <row r="44">
          <cell r="A44">
            <v>270140</v>
          </cell>
          <cell r="B44">
            <v>1082527</v>
          </cell>
          <cell r="C44" t="str">
            <v>SES401外发(0)</v>
          </cell>
        </row>
        <row r="45">
          <cell r="A45">
            <v>270278</v>
          </cell>
          <cell r="B45">
            <v>1082528</v>
          </cell>
          <cell r="C45" t="str">
            <v>SES401(0)二段</v>
          </cell>
        </row>
        <row r="46">
          <cell r="A46">
            <v>270065</v>
          </cell>
          <cell r="B46">
            <v>1082529</v>
          </cell>
          <cell r="C46" t="str">
            <v>DJS851(0)</v>
          </cell>
        </row>
        <row r="47">
          <cell r="A47">
            <v>270001</v>
          </cell>
          <cell r="B47">
            <v>1082530</v>
          </cell>
          <cell r="C47" t="str">
            <v>DES951(0)</v>
          </cell>
        </row>
        <row r="48">
          <cell r="A48">
            <v>270002</v>
          </cell>
          <cell r="B48">
            <v>1082531</v>
          </cell>
          <cell r="C48" t="str">
            <v>DES952(0)</v>
          </cell>
        </row>
        <row r="49">
          <cell r="A49">
            <v>270068</v>
          </cell>
          <cell r="B49">
            <v>1082532</v>
          </cell>
          <cell r="C49" t="str">
            <v>DES602(0)</v>
          </cell>
        </row>
        <row r="50">
          <cell r="A50">
            <v>270011</v>
          </cell>
          <cell r="B50">
            <v>1082533</v>
          </cell>
          <cell r="C50" t="str">
            <v>DJS601(0)</v>
          </cell>
        </row>
        <row r="51">
          <cell r="A51">
            <v>270012</v>
          </cell>
          <cell r="B51">
            <v>1082534</v>
          </cell>
          <cell r="C51" t="str">
            <v>DJM601(0)</v>
          </cell>
        </row>
        <row r="52">
          <cell r="A52">
            <v>270014</v>
          </cell>
          <cell r="B52">
            <v>1082535</v>
          </cell>
          <cell r="C52" t="str">
            <v>DJS751(0)</v>
          </cell>
        </row>
        <row r="53">
          <cell r="A53">
            <v>270015</v>
          </cell>
          <cell r="B53">
            <v>1082536</v>
          </cell>
          <cell r="C53" t="str">
            <v>DJS801(0)</v>
          </cell>
        </row>
        <row r="54">
          <cell r="A54">
            <v>270016</v>
          </cell>
          <cell r="B54">
            <v>1082537</v>
          </cell>
          <cell r="C54" t="str">
            <v>DJS802(0)</v>
          </cell>
        </row>
        <row r="55">
          <cell r="A55">
            <v>270128</v>
          </cell>
          <cell r="B55">
            <v>1082538</v>
          </cell>
          <cell r="C55" t="str">
            <v>DJS401(0)</v>
          </cell>
        </row>
        <row r="56">
          <cell r="A56">
            <v>270142</v>
          </cell>
          <cell r="B56">
            <v>1082539</v>
          </cell>
          <cell r="C56" t="str">
            <v>DJS702(0)</v>
          </cell>
        </row>
        <row r="57">
          <cell r="A57">
            <v>270127</v>
          </cell>
          <cell r="B57">
            <v>1082540</v>
          </cell>
          <cell r="C57" t="str">
            <v>SJS191(0)</v>
          </cell>
        </row>
        <row r="58">
          <cell r="A58">
            <v>270138</v>
          </cell>
          <cell r="B58">
            <v>1082541</v>
          </cell>
          <cell r="C58" t="str">
            <v>SEC291(0)</v>
          </cell>
        </row>
        <row r="59">
          <cell r="A59">
            <v>270006</v>
          </cell>
          <cell r="B59">
            <v>1082542</v>
          </cell>
          <cell r="C59" t="str">
            <v>SES371(0)</v>
          </cell>
        </row>
        <row r="60">
          <cell r="A60">
            <v>270004</v>
          </cell>
          <cell r="B60">
            <v>1082543</v>
          </cell>
          <cell r="C60" t="str">
            <v>SES311(0)</v>
          </cell>
        </row>
        <row r="61">
          <cell r="A61">
            <v>270247</v>
          </cell>
          <cell r="B61">
            <v>1082544</v>
          </cell>
          <cell r="C61" t="str">
            <v>CES300(0)</v>
          </cell>
        </row>
        <row r="62">
          <cell r="A62">
            <v>270533</v>
          </cell>
          <cell r="B62">
            <v>1082545</v>
          </cell>
          <cell r="C62" t="str">
            <v>DJS805(1)</v>
          </cell>
        </row>
        <row r="63">
          <cell r="A63">
            <v>270427</v>
          </cell>
          <cell r="B63">
            <v>1082546</v>
          </cell>
          <cell r="C63" t="str">
            <v>DEC651(1)</v>
          </cell>
        </row>
        <row r="64">
          <cell r="A64">
            <v>270183</v>
          </cell>
          <cell r="B64">
            <v>1082547</v>
          </cell>
          <cell r="C64" t="e">
            <v>#N/A</v>
          </cell>
        </row>
        <row r="65">
          <cell r="A65">
            <v>270184</v>
          </cell>
          <cell r="B65">
            <v>1082548</v>
          </cell>
          <cell r="C65" t="e">
            <v>#N/A</v>
          </cell>
        </row>
        <row r="66">
          <cell r="A66">
            <v>270541</v>
          </cell>
          <cell r="B66">
            <v>1082549</v>
          </cell>
          <cell r="C66" t="e">
            <v>#N/A</v>
          </cell>
        </row>
        <row r="67">
          <cell r="A67">
            <v>270542</v>
          </cell>
          <cell r="B67">
            <v>1082550</v>
          </cell>
          <cell r="C67" t="e">
            <v>#N/A</v>
          </cell>
        </row>
        <row r="68">
          <cell r="A68">
            <v>270390</v>
          </cell>
          <cell r="B68">
            <v>1082551</v>
          </cell>
          <cell r="C68" t="e">
            <v>#N/A</v>
          </cell>
        </row>
        <row r="69">
          <cell r="A69">
            <v>270391</v>
          </cell>
          <cell r="B69">
            <v>1082552</v>
          </cell>
          <cell r="C69" t="e">
            <v>#N/A</v>
          </cell>
        </row>
        <row r="70">
          <cell r="A70">
            <v>270468</v>
          </cell>
          <cell r="B70">
            <v>1082553</v>
          </cell>
          <cell r="C70" t="e">
            <v>#N/A</v>
          </cell>
        </row>
        <row r="71">
          <cell r="A71">
            <v>270469</v>
          </cell>
          <cell r="B71">
            <v>1082554</v>
          </cell>
          <cell r="C71" t="e">
            <v>#N/A</v>
          </cell>
        </row>
        <row r="72">
          <cell r="A72">
            <v>270343</v>
          </cell>
          <cell r="B72">
            <v>1082555</v>
          </cell>
          <cell r="C72" t="e">
            <v>#N/A</v>
          </cell>
        </row>
        <row r="73">
          <cell r="A73">
            <v>270344</v>
          </cell>
          <cell r="B73">
            <v>1082556</v>
          </cell>
          <cell r="C73" t="e">
            <v>#N/A</v>
          </cell>
        </row>
        <row r="74">
          <cell r="A74">
            <v>270457</v>
          </cell>
          <cell r="B74">
            <v>1082557</v>
          </cell>
          <cell r="C74" t="e">
            <v>#N/A</v>
          </cell>
        </row>
        <row r="75">
          <cell r="A75">
            <v>270458</v>
          </cell>
          <cell r="B75">
            <v>1082558</v>
          </cell>
          <cell r="C75" t="e">
            <v>#N/A</v>
          </cell>
        </row>
        <row r="76">
          <cell r="A76">
            <v>270522</v>
          </cell>
          <cell r="B76">
            <v>1082559</v>
          </cell>
          <cell r="C76" t="e">
            <v>#N/A</v>
          </cell>
        </row>
        <row r="77">
          <cell r="A77">
            <v>270523</v>
          </cell>
          <cell r="B77">
            <v>1082560</v>
          </cell>
          <cell r="C77" t="e">
            <v>#N/A</v>
          </cell>
        </row>
        <row r="78">
          <cell r="C78" t="e">
            <v>#N/A</v>
          </cell>
        </row>
        <row r="79">
          <cell r="C79" t="e">
            <v>#N/A</v>
          </cell>
        </row>
        <row r="80">
          <cell r="C80" t="e">
            <v>#N/A</v>
          </cell>
        </row>
      </sheetData>
      <sheetData sheetId="1" refreshError="1">
        <row r="1">
          <cell r="A1" t="str">
            <v>物料编码</v>
          </cell>
          <cell r="B1" t="str">
            <v>新描述</v>
          </cell>
          <cell r="C1" t="str">
            <v>旧描述</v>
          </cell>
          <cell r="D1" t="str">
            <v>生产订单</v>
          </cell>
          <cell r="E1" t="str">
            <v>单车重量</v>
          </cell>
          <cell r="F1" t="str">
            <v>单车工时</v>
          </cell>
        </row>
        <row r="2">
          <cell r="A2">
            <v>270049</v>
          </cell>
          <cell r="B2" t="str">
            <v>CES001(1)</v>
          </cell>
          <cell r="C2" t="str">
            <v>CES001(1)</v>
          </cell>
          <cell r="D2" t="e">
            <v>#N/A</v>
          </cell>
          <cell r="E2">
            <v>32</v>
          </cell>
          <cell r="F2">
            <v>30</v>
          </cell>
        </row>
        <row r="3">
          <cell r="A3">
            <v>270050</v>
          </cell>
          <cell r="B3" t="str">
            <v>CES002(1)</v>
          </cell>
          <cell r="C3" t="str">
            <v>CES002(1)</v>
          </cell>
          <cell r="D3" t="e">
            <v>#N/A</v>
          </cell>
          <cell r="E3">
            <v>32.5</v>
          </cell>
          <cell r="F3">
            <v>30</v>
          </cell>
        </row>
        <row r="4">
          <cell r="A4">
            <v>270051</v>
          </cell>
          <cell r="B4" t="str">
            <v>CES003(1)</v>
          </cell>
          <cell r="C4" t="str">
            <v>CES003(1)</v>
          </cell>
          <cell r="D4" t="e">
            <v>#N/A</v>
          </cell>
          <cell r="E4">
            <v>32</v>
          </cell>
          <cell r="F4">
            <v>30</v>
          </cell>
        </row>
        <row r="5">
          <cell r="A5">
            <v>270052</v>
          </cell>
          <cell r="B5" t="str">
            <v>CES004(1)</v>
          </cell>
          <cell r="C5" t="str">
            <v>CES004(1)</v>
          </cell>
          <cell r="D5" t="e">
            <v>#N/A</v>
          </cell>
          <cell r="E5">
            <v>32</v>
          </cell>
          <cell r="F5">
            <v>30</v>
          </cell>
        </row>
        <row r="6">
          <cell r="A6">
            <v>270053</v>
          </cell>
          <cell r="B6" t="str">
            <v>CES005(1)</v>
          </cell>
          <cell r="C6" t="str">
            <v>CES005(1)</v>
          </cell>
          <cell r="D6" t="e">
            <v>#N/A</v>
          </cell>
          <cell r="E6">
            <v>32</v>
          </cell>
          <cell r="F6">
            <v>30</v>
          </cell>
        </row>
        <row r="7">
          <cell r="A7">
            <v>270054</v>
          </cell>
          <cell r="B7" t="str">
            <v>CES006(1)</v>
          </cell>
          <cell r="C7" t="str">
            <v>CES006(1)</v>
          </cell>
          <cell r="D7" t="e">
            <v>#N/A</v>
          </cell>
          <cell r="E7">
            <v>32</v>
          </cell>
          <cell r="F7">
            <v>30</v>
          </cell>
        </row>
        <row r="8">
          <cell r="A8">
            <v>270056</v>
          </cell>
          <cell r="B8" t="str">
            <v>CES008(1)</v>
          </cell>
          <cell r="C8" t="str">
            <v>CES008(1)</v>
          </cell>
          <cell r="D8" t="e">
            <v>#N/A</v>
          </cell>
          <cell r="E8">
            <v>32</v>
          </cell>
          <cell r="F8">
            <v>30</v>
          </cell>
        </row>
        <row r="9">
          <cell r="A9">
            <v>270057</v>
          </cell>
          <cell r="B9" t="str">
            <v>CES009(1)</v>
          </cell>
          <cell r="C9" t="str">
            <v>CES009(1)</v>
          </cell>
          <cell r="D9">
            <v>1082502</v>
          </cell>
          <cell r="E9">
            <v>32</v>
          </cell>
          <cell r="F9">
            <v>30</v>
          </cell>
        </row>
        <row r="10">
          <cell r="A10">
            <v>270137</v>
          </cell>
          <cell r="B10" t="str">
            <v>CES010(1)</v>
          </cell>
          <cell r="C10" t="str">
            <v>CES010(1)</v>
          </cell>
          <cell r="D10" t="e">
            <v>#N/A</v>
          </cell>
          <cell r="E10">
            <v>32</v>
          </cell>
          <cell r="F10">
            <v>30</v>
          </cell>
        </row>
        <row r="11">
          <cell r="A11">
            <v>270144</v>
          </cell>
          <cell r="B11" t="str">
            <v>CES011(1)</v>
          </cell>
          <cell r="C11" t="str">
            <v>CES011(1)</v>
          </cell>
          <cell r="D11" t="e">
            <v>#N/A</v>
          </cell>
          <cell r="E11">
            <v>33</v>
          </cell>
          <cell r="F11">
            <v>30</v>
          </cell>
        </row>
        <row r="12">
          <cell r="A12">
            <v>270147</v>
          </cell>
          <cell r="B12" t="str">
            <v>CES012(1)</v>
          </cell>
          <cell r="C12" t="str">
            <v>CES012(1)</v>
          </cell>
          <cell r="D12" t="e">
            <v>#N/A</v>
          </cell>
          <cell r="E12">
            <v>32</v>
          </cell>
          <cell r="F12">
            <v>30</v>
          </cell>
        </row>
        <row r="13">
          <cell r="A13">
            <v>270157</v>
          </cell>
          <cell r="B13" t="str">
            <v>CES013(1)</v>
          </cell>
          <cell r="C13" t="str">
            <v>CES013(1)</v>
          </cell>
          <cell r="D13" t="e">
            <v>#N/A</v>
          </cell>
          <cell r="E13">
            <v>32</v>
          </cell>
          <cell r="F13">
            <v>30</v>
          </cell>
        </row>
        <row r="14">
          <cell r="A14">
            <v>270167</v>
          </cell>
          <cell r="B14" t="str">
            <v>CES015(1)</v>
          </cell>
          <cell r="C14" t="str">
            <v>CES015(1)</v>
          </cell>
          <cell r="D14" t="e">
            <v>#N/A</v>
          </cell>
          <cell r="E14">
            <v>32</v>
          </cell>
          <cell r="F14">
            <v>30</v>
          </cell>
        </row>
        <row r="15">
          <cell r="A15">
            <v>270267</v>
          </cell>
          <cell r="B15" t="str">
            <v>CES016(1)</v>
          </cell>
          <cell r="C15" t="str">
            <v>CES016(1)</v>
          </cell>
          <cell r="D15" t="e">
            <v>#N/A</v>
          </cell>
          <cell r="E15">
            <v>32</v>
          </cell>
          <cell r="F15">
            <v>30</v>
          </cell>
        </row>
        <row r="16">
          <cell r="A16">
            <v>270187</v>
          </cell>
          <cell r="B16" t="str">
            <v>CES017(1)</v>
          </cell>
          <cell r="C16" t="str">
            <v>CES017(1)</v>
          </cell>
          <cell r="D16" t="e">
            <v>#N/A</v>
          </cell>
          <cell r="E16">
            <v>33</v>
          </cell>
          <cell r="F16">
            <v>30</v>
          </cell>
        </row>
        <row r="17">
          <cell r="A17">
            <v>270203</v>
          </cell>
          <cell r="B17" t="str">
            <v>CES018(1)</v>
          </cell>
          <cell r="C17" t="str">
            <v>CES018(1)</v>
          </cell>
          <cell r="D17" t="e">
            <v>#N/A</v>
          </cell>
          <cell r="E17">
            <v>32</v>
          </cell>
          <cell r="F17">
            <v>30</v>
          </cell>
        </row>
        <row r="18">
          <cell r="A18">
            <v>270277</v>
          </cell>
          <cell r="B18" t="str">
            <v>CES019(1)</v>
          </cell>
          <cell r="C18" t="str">
            <v>CES019(1)</v>
          </cell>
          <cell r="D18" t="e">
            <v>#N/A</v>
          </cell>
          <cell r="E18">
            <v>32.5</v>
          </cell>
          <cell r="F18">
            <v>30</v>
          </cell>
        </row>
        <row r="19">
          <cell r="A19">
            <v>270287</v>
          </cell>
          <cell r="B19" t="str">
            <v>CES020(1)</v>
          </cell>
          <cell r="C19" t="str">
            <v>CES020(1)</v>
          </cell>
          <cell r="D19" t="e">
            <v>#N/A</v>
          </cell>
          <cell r="E19">
            <v>33</v>
          </cell>
          <cell r="F19">
            <v>30</v>
          </cell>
        </row>
        <row r="20">
          <cell r="A20">
            <v>270290</v>
          </cell>
          <cell r="B20" t="str">
            <v>CES021(1)</v>
          </cell>
          <cell r="C20" t="str">
            <v>CES021(1)</v>
          </cell>
          <cell r="D20" t="e">
            <v>#N/A</v>
          </cell>
          <cell r="E20">
            <v>32</v>
          </cell>
          <cell r="F20">
            <v>30</v>
          </cell>
        </row>
        <row r="21">
          <cell r="A21">
            <v>270302</v>
          </cell>
          <cell r="B21" t="str">
            <v>CES022(1)</v>
          </cell>
          <cell r="C21" t="str">
            <v>CES022(1)</v>
          </cell>
          <cell r="D21" t="e">
            <v>#N/A</v>
          </cell>
          <cell r="E21">
            <v>32.5</v>
          </cell>
          <cell r="F21">
            <v>30</v>
          </cell>
        </row>
        <row r="22">
          <cell r="A22">
            <v>270315</v>
          </cell>
          <cell r="B22" t="str">
            <v>CES023(1)</v>
          </cell>
          <cell r="C22" t="str">
            <v>CES023(1)</v>
          </cell>
          <cell r="D22" t="e">
            <v>#N/A</v>
          </cell>
          <cell r="E22">
            <v>32</v>
          </cell>
          <cell r="F22">
            <v>30</v>
          </cell>
        </row>
        <row r="23">
          <cell r="A23">
            <v>270389</v>
          </cell>
          <cell r="B23" t="str">
            <v>CES024(1)</v>
          </cell>
          <cell r="C23" t="str">
            <v>CES024(1)</v>
          </cell>
          <cell r="D23" t="e">
            <v>#N/A</v>
          </cell>
          <cell r="E23">
            <v>32</v>
          </cell>
          <cell r="F23">
            <v>30</v>
          </cell>
        </row>
        <row r="24">
          <cell r="A24">
            <v>270247</v>
          </cell>
          <cell r="B24" t="str">
            <v>CES300(0)</v>
          </cell>
          <cell r="C24" t="str">
            <v>CES300(0)</v>
          </cell>
          <cell r="D24">
            <v>1082544</v>
          </cell>
          <cell r="E24">
            <v>65</v>
          </cell>
          <cell r="F24">
            <v>25</v>
          </cell>
        </row>
        <row r="25">
          <cell r="A25">
            <v>270069</v>
          </cell>
          <cell r="B25" t="str">
            <v>CES600(0)</v>
          </cell>
          <cell r="C25" t="str">
            <v>CES600(0)</v>
          </cell>
          <cell r="D25" t="e">
            <v>#N/A</v>
          </cell>
          <cell r="E25">
            <v>152</v>
          </cell>
          <cell r="F25">
            <v>6</v>
          </cell>
        </row>
        <row r="26">
          <cell r="A26">
            <v>270070</v>
          </cell>
          <cell r="B26" t="str">
            <v>CES601(0)</v>
          </cell>
          <cell r="C26" t="str">
            <v>CES601(0)</v>
          </cell>
          <cell r="D26" t="e">
            <v>#N/A</v>
          </cell>
          <cell r="E26">
            <v>155</v>
          </cell>
          <cell r="F26">
            <v>6</v>
          </cell>
        </row>
        <row r="27">
          <cell r="A27">
            <v>270061</v>
          </cell>
          <cell r="B27" t="str">
            <v>DEC601(0)</v>
          </cell>
          <cell r="C27" t="str">
            <v>SCM60PY(0)</v>
          </cell>
          <cell r="D27" t="e">
            <v>#N/A</v>
          </cell>
          <cell r="E27">
            <v>155</v>
          </cell>
          <cell r="F27">
            <v>5.2</v>
          </cell>
        </row>
        <row r="28">
          <cell r="A28">
            <v>270018</v>
          </cell>
          <cell r="B28" t="str">
            <v>DEC601(1)</v>
          </cell>
          <cell r="C28" t="str">
            <v>SCM60(1)</v>
          </cell>
          <cell r="D28">
            <v>1082500</v>
          </cell>
          <cell r="E28">
            <v>165</v>
          </cell>
          <cell r="F28">
            <v>5.2</v>
          </cell>
        </row>
        <row r="29">
          <cell r="A29">
            <v>270427</v>
          </cell>
          <cell r="B29" t="str">
            <v>DEC651(1)</v>
          </cell>
          <cell r="C29" t="str">
            <v>DEC651(1)</v>
          </cell>
          <cell r="D29">
            <v>1082546</v>
          </cell>
          <cell r="E29">
            <v>156</v>
          </cell>
          <cell r="F29">
            <v>6</v>
          </cell>
        </row>
        <row r="30">
          <cell r="A30">
            <v>270062</v>
          </cell>
          <cell r="B30" t="str">
            <v>DEC701(0)</v>
          </cell>
          <cell r="C30" t="str">
            <v>DEC701(0)</v>
          </cell>
          <cell r="D30" t="e">
            <v>#N/A</v>
          </cell>
          <cell r="E30">
            <v>152</v>
          </cell>
          <cell r="F30">
            <v>5.5</v>
          </cell>
        </row>
        <row r="31">
          <cell r="A31">
            <v>270020</v>
          </cell>
          <cell r="B31" t="str">
            <v>DEC701(1)</v>
          </cell>
          <cell r="C31" t="str">
            <v>SCM70(1)</v>
          </cell>
          <cell r="D31">
            <v>1082493</v>
          </cell>
          <cell r="E31">
            <v>160</v>
          </cell>
          <cell r="F31">
            <v>5.5</v>
          </cell>
        </row>
        <row r="32">
          <cell r="A32">
            <v>270021</v>
          </cell>
          <cell r="B32" t="str">
            <v>DEC702(1)</v>
          </cell>
          <cell r="C32" t="str">
            <v>MKT70B(1)</v>
          </cell>
          <cell r="D32" t="e">
            <v>#N/A</v>
          </cell>
          <cell r="E32">
            <v>155.5</v>
          </cell>
          <cell r="F32">
            <v>5.3</v>
          </cell>
        </row>
        <row r="33">
          <cell r="A33">
            <v>270295</v>
          </cell>
          <cell r="B33" t="str">
            <v>DEC704(1)</v>
          </cell>
          <cell r="C33" t="str">
            <v>DEC704(1)</v>
          </cell>
          <cell r="D33">
            <v>1082495</v>
          </cell>
          <cell r="E33">
            <v>155.80000000000001</v>
          </cell>
          <cell r="F33">
            <v>5.5</v>
          </cell>
        </row>
        <row r="34">
          <cell r="A34">
            <v>270292</v>
          </cell>
          <cell r="B34" t="str">
            <v>DEC705(1)</v>
          </cell>
          <cell r="C34" t="str">
            <v>DEC705(1)</v>
          </cell>
          <cell r="D34">
            <v>1082494</v>
          </cell>
          <cell r="E34">
            <v>156</v>
          </cell>
          <cell r="F34">
            <v>5.5</v>
          </cell>
        </row>
        <row r="35">
          <cell r="A35">
            <v>270063</v>
          </cell>
          <cell r="B35" t="str">
            <v>DEC751(0)</v>
          </cell>
          <cell r="C35" t="str">
            <v>DEC751(0)</v>
          </cell>
          <cell r="D35" t="e">
            <v>#N/A</v>
          </cell>
          <cell r="E35">
            <v>150</v>
          </cell>
          <cell r="F35">
            <v>5.5</v>
          </cell>
        </row>
        <row r="36">
          <cell r="A36">
            <v>270064</v>
          </cell>
          <cell r="B36" t="str">
            <v>DEC801(0)</v>
          </cell>
          <cell r="C36" t="str">
            <v>DEC801(0)</v>
          </cell>
          <cell r="D36" t="e">
            <v>#N/A</v>
          </cell>
          <cell r="E36">
            <v>150</v>
          </cell>
          <cell r="F36">
            <v>5.5</v>
          </cell>
        </row>
        <row r="37">
          <cell r="A37">
            <v>270024</v>
          </cell>
          <cell r="B37" t="str">
            <v>DEC801(1)</v>
          </cell>
          <cell r="C37" t="str">
            <v>SCM80(1)</v>
          </cell>
          <cell r="D37">
            <v>1082491</v>
          </cell>
          <cell r="E37">
            <v>156</v>
          </cell>
          <cell r="F37">
            <v>5.5</v>
          </cell>
        </row>
        <row r="38">
          <cell r="A38">
            <v>270312</v>
          </cell>
          <cell r="B38" t="str">
            <v>DEC802(0)</v>
          </cell>
          <cell r="C38" t="str">
            <v>DEC802(0)</v>
          </cell>
          <cell r="D38" t="e">
            <v>#N/A</v>
          </cell>
          <cell r="E38">
            <v>150</v>
          </cell>
          <cell r="F38">
            <v>5.3</v>
          </cell>
        </row>
        <row r="39">
          <cell r="A39">
            <v>270025</v>
          </cell>
          <cell r="B39" t="str">
            <v>DEC802(1)</v>
          </cell>
          <cell r="C39" t="str">
            <v>MKT80(1)</v>
          </cell>
          <cell r="D39" t="e">
            <v>#N/A</v>
          </cell>
          <cell r="E39">
            <v>150</v>
          </cell>
          <cell r="F39">
            <v>5.3</v>
          </cell>
        </row>
        <row r="40">
          <cell r="A40">
            <v>270027</v>
          </cell>
          <cell r="B40" t="str">
            <v>DEC851(1)</v>
          </cell>
          <cell r="C40" t="str">
            <v>MF85(1)</v>
          </cell>
          <cell r="D40" t="e">
            <v>#N/A</v>
          </cell>
          <cell r="E40">
            <v>155</v>
          </cell>
          <cell r="F40">
            <v>5.3</v>
          </cell>
        </row>
        <row r="41">
          <cell r="A41">
            <v>270000</v>
          </cell>
          <cell r="B41" t="str">
            <v>DEC951(0)</v>
          </cell>
          <cell r="C41" t="str">
            <v>UVH95(0)</v>
          </cell>
          <cell r="D41" t="e">
            <v>#N/A</v>
          </cell>
          <cell r="E41">
            <v>135</v>
          </cell>
          <cell r="F41">
            <v>5.5</v>
          </cell>
        </row>
        <row r="42">
          <cell r="A42">
            <v>270029</v>
          </cell>
          <cell r="B42" t="str">
            <v>DEC951(1)</v>
          </cell>
          <cell r="C42" t="str">
            <v>UVH95(1)</v>
          </cell>
          <cell r="D42" t="e">
            <v>#N/A</v>
          </cell>
          <cell r="E42">
            <v>130</v>
          </cell>
          <cell r="F42">
            <v>4</v>
          </cell>
        </row>
        <row r="43">
          <cell r="A43">
            <v>270377</v>
          </cell>
          <cell r="B43" t="str">
            <v>DEM601(1)</v>
          </cell>
          <cell r="C43" t="str">
            <v>DEM601(1)</v>
          </cell>
          <cell r="D43" t="e">
            <v>#N/A</v>
          </cell>
          <cell r="E43">
            <v>160</v>
          </cell>
          <cell r="F43">
            <v>5.5</v>
          </cell>
        </row>
        <row r="44">
          <cell r="A44">
            <v>270022</v>
          </cell>
          <cell r="B44" t="str">
            <v>DEM701(1)</v>
          </cell>
          <cell r="C44" t="str">
            <v>BKI70(1)</v>
          </cell>
          <cell r="D44" t="e">
            <v>#N/A</v>
          </cell>
          <cell r="E44">
            <v>157</v>
          </cell>
          <cell r="F44">
            <v>5</v>
          </cell>
        </row>
        <row r="45">
          <cell r="A45">
            <v>270071</v>
          </cell>
          <cell r="B45" t="str">
            <v>DEM701(0)</v>
          </cell>
          <cell r="C45" t="str">
            <v>BKI70(0)</v>
          </cell>
          <cell r="D45" t="e">
            <v>#N/A</v>
          </cell>
          <cell r="E45">
            <v>0</v>
          </cell>
          <cell r="F45">
            <v>5</v>
          </cell>
        </row>
        <row r="46">
          <cell r="A46">
            <v>270129</v>
          </cell>
          <cell r="B46" t="str">
            <v>DES401(0)</v>
          </cell>
          <cell r="C46" t="str">
            <v>DES401(0)</v>
          </cell>
          <cell r="D46" t="e">
            <v>#N/A</v>
          </cell>
          <cell r="E46">
            <v>0</v>
          </cell>
          <cell r="F46">
            <v>5.5</v>
          </cell>
        </row>
        <row r="47">
          <cell r="A47">
            <v>270130</v>
          </cell>
          <cell r="B47" t="str">
            <v>DES401(1)</v>
          </cell>
          <cell r="C47" t="str">
            <v>DES401(1)</v>
          </cell>
          <cell r="D47" t="e">
            <v>#N/A</v>
          </cell>
          <cell r="E47">
            <v>162.5</v>
          </cell>
          <cell r="F47">
            <v>5.5</v>
          </cell>
        </row>
        <row r="48">
          <cell r="A48">
            <v>270316</v>
          </cell>
          <cell r="B48" t="str">
            <v>DES501(0)</v>
          </cell>
          <cell r="C48" t="str">
            <v>DES501(0)</v>
          </cell>
          <cell r="D48" t="e">
            <v>#N/A</v>
          </cell>
          <cell r="E48">
            <v>0</v>
          </cell>
          <cell r="F48">
            <v>5.5</v>
          </cell>
        </row>
        <row r="49">
          <cell r="A49">
            <v>270317</v>
          </cell>
          <cell r="B49" t="str">
            <v>DES501(1)</v>
          </cell>
          <cell r="C49" t="str">
            <v>DES501(1)</v>
          </cell>
          <cell r="D49" t="e">
            <v>#N/A</v>
          </cell>
          <cell r="E49">
            <v>163</v>
          </cell>
          <cell r="F49">
            <v>5.5</v>
          </cell>
        </row>
        <row r="50">
          <cell r="A50">
            <v>270017</v>
          </cell>
          <cell r="B50" t="str">
            <v>DES601(1)</v>
          </cell>
          <cell r="C50" t="str">
            <v>PROF60(1)</v>
          </cell>
          <cell r="D50">
            <v>1082497</v>
          </cell>
          <cell r="E50">
            <v>160</v>
          </cell>
          <cell r="F50">
            <v>5.2</v>
          </cell>
        </row>
        <row r="51">
          <cell r="A51">
            <v>270068</v>
          </cell>
          <cell r="B51" t="str">
            <v>DES602(0)</v>
          </cell>
          <cell r="C51" t="str">
            <v>CIS60(0)</v>
          </cell>
          <cell r="D51">
            <v>1082532</v>
          </cell>
          <cell r="E51">
            <v>145</v>
          </cell>
          <cell r="F51">
            <v>5</v>
          </cell>
        </row>
        <row r="52">
          <cell r="A52">
            <v>270019</v>
          </cell>
          <cell r="B52" t="str">
            <v>DES602(1)</v>
          </cell>
          <cell r="C52" t="str">
            <v>CIS60(1)</v>
          </cell>
          <cell r="D52" t="e">
            <v>#N/A</v>
          </cell>
          <cell r="E52">
            <v>140</v>
          </cell>
          <cell r="F52">
            <v>4.5</v>
          </cell>
        </row>
        <row r="53">
          <cell r="A53">
            <v>270186</v>
          </cell>
          <cell r="B53" t="str">
            <v>DES603(0)</v>
          </cell>
          <cell r="C53" t="str">
            <v>ROM60(0)</v>
          </cell>
          <cell r="D53" t="e">
            <v>#N/A</v>
          </cell>
          <cell r="E53">
            <v>160.88</v>
          </cell>
          <cell r="F53">
            <v>5</v>
          </cell>
        </row>
        <row r="54">
          <cell r="A54">
            <v>270082</v>
          </cell>
          <cell r="B54" t="str">
            <v>DES603(1)</v>
          </cell>
          <cell r="C54" t="str">
            <v>ROM60(1)</v>
          </cell>
          <cell r="D54">
            <v>1082501</v>
          </cell>
          <cell r="E54">
            <v>159</v>
          </cell>
          <cell r="F54">
            <v>5</v>
          </cell>
        </row>
        <row r="55">
          <cell r="A55">
            <v>270293</v>
          </cell>
          <cell r="B55" t="str">
            <v>DES604(1)</v>
          </cell>
          <cell r="C55" t="str">
            <v>DES604(1)</v>
          </cell>
          <cell r="D55">
            <v>1082499</v>
          </cell>
          <cell r="E55">
            <v>160</v>
          </cell>
          <cell r="F55">
            <v>5</v>
          </cell>
        </row>
        <row r="56">
          <cell r="A56">
            <v>270067</v>
          </cell>
          <cell r="B56" t="str">
            <v>DES701(0)</v>
          </cell>
          <cell r="C56" t="str">
            <v>WSL70/HA(0)</v>
          </cell>
          <cell r="D56" t="e">
            <v>#N/A</v>
          </cell>
          <cell r="E56">
            <v>155</v>
          </cell>
          <cell r="F56">
            <v>5.3</v>
          </cell>
        </row>
        <row r="57">
          <cell r="A57">
            <v>270023</v>
          </cell>
          <cell r="B57" t="str">
            <v>DES701(1)</v>
          </cell>
          <cell r="C57" t="str">
            <v>WSL70(1)</v>
          </cell>
          <cell r="D57">
            <v>1082496</v>
          </cell>
          <cell r="E57">
            <v>160</v>
          </cell>
          <cell r="F57">
            <v>5.2</v>
          </cell>
        </row>
        <row r="58">
          <cell r="A58">
            <v>270066</v>
          </cell>
          <cell r="B58" t="str">
            <v>DES801(0)</v>
          </cell>
          <cell r="C58" t="str">
            <v>COS80/HA(0)</v>
          </cell>
          <cell r="D58" t="e">
            <v>#N/A</v>
          </cell>
          <cell r="E58">
            <v>150</v>
          </cell>
          <cell r="F58">
            <v>5.2</v>
          </cell>
        </row>
        <row r="59">
          <cell r="A59">
            <v>270026</v>
          </cell>
          <cell r="B59" t="str">
            <v>DES801(1)</v>
          </cell>
          <cell r="C59" t="str">
            <v>COS80(1)</v>
          </cell>
          <cell r="D59">
            <v>1082490</v>
          </cell>
          <cell r="E59">
            <v>155</v>
          </cell>
          <cell r="F59">
            <v>5.2</v>
          </cell>
        </row>
        <row r="60">
          <cell r="A60">
            <v>270190</v>
          </cell>
          <cell r="B60" t="str">
            <v>DES851(0)</v>
          </cell>
          <cell r="C60" t="str">
            <v>DES851(0)</v>
          </cell>
          <cell r="D60" t="e">
            <v>#N/A</v>
          </cell>
          <cell r="E60">
            <v>0</v>
          </cell>
          <cell r="F60">
            <v>5.3</v>
          </cell>
        </row>
        <row r="61">
          <cell r="A61">
            <v>270028</v>
          </cell>
          <cell r="B61" t="str">
            <v>DES851(1)</v>
          </cell>
          <cell r="C61" t="str">
            <v>SUK85(1)</v>
          </cell>
          <cell r="D61">
            <v>1082488</v>
          </cell>
          <cell r="E61">
            <v>155</v>
          </cell>
          <cell r="F61">
            <v>5.3</v>
          </cell>
        </row>
        <row r="62">
          <cell r="A62">
            <v>270192</v>
          </cell>
          <cell r="B62" t="str">
            <v>DES851(T1)</v>
          </cell>
          <cell r="C62" t="str">
            <v>DES851(T1)</v>
          </cell>
          <cell r="D62" t="e">
            <v>#N/A</v>
          </cell>
          <cell r="F62">
            <v>4</v>
          </cell>
        </row>
        <row r="63">
          <cell r="A63">
            <v>270294</v>
          </cell>
          <cell r="B63" t="str">
            <v>DES854(1)</v>
          </cell>
          <cell r="C63" t="str">
            <v>DES854(1)</v>
          </cell>
          <cell r="D63">
            <v>1082489</v>
          </cell>
          <cell r="E63">
            <v>154</v>
          </cell>
          <cell r="F63">
            <v>5.3</v>
          </cell>
        </row>
        <row r="64">
          <cell r="A64">
            <v>270001</v>
          </cell>
          <cell r="B64" t="str">
            <v>DES951(0)</v>
          </cell>
          <cell r="C64" t="str">
            <v>BF95(0)</v>
          </cell>
          <cell r="D64">
            <v>1082530</v>
          </cell>
          <cell r="E64">
            <v>139</v>
          </cell>
          <cell r="F64">
            <v>5.4</v>
          </cell>
        </row>
        <row r="65">
          <cell r="A65">
            <v>270030</v>
          </cell>
          <cell r="B65" t="str">
            <v>DES951(1)</v>
          </cell>
          <cell r="C65" t="str">
            <v>BF95(1)</v>
          </cell>
          <cell r="D65">
            <v>1082487</v>
          </cell>
          <cell r="E65">
            <v>130</v>
          </cell>
          <cell r="F65">
            <v>4</v>
          </cell>
        </row>
        <row r="66">
          <cell r="A66">
            <v>270002</v>
          </cell>
          <cell r="B66" t="str">
            <v>DES952(0)</v>
          </cell>
          <cell r="C66" t="str">
            <v>LCS95(0)</v>
          </cell>
          <cell r="D66">
            <v>1082531</v>
          </cell>
          <cell r="E66">
            <v>142</v>
          </cell>
          <cell r="F66">
            <v>5.4</v>
          </cell>
        </row>
        <row r="67">
          <cell r="A67">
            <v>270031</v>
          </cell>
          <cell r="B67" t="str">
            <v>DES952(1)</v>
          </cell>
          <cell r="C67" t="str">
            <v>LCS95(1)</v>
          </cell>
          <cell r="D67">
            <v>1082486</v>
          </cell>
          <cell r="E67">
            <v>130</v>
          </cell>
          <cell r="F67">
            <v>5</v>
          </cell>
        </row>
        <row r="68">
          <cell r="A68">
            <v>270012</v>
          </cell>
          <cell r="B68" t="str">
            <v>DJM601(0)</v>
          </cell>
          <cell r="C68" t="str">
            <v>PKX6000(0)</v>
          </cell>
          <cell r="D68">
            <v>1082534</v>
          </cell>
          <cell r="E68">
            <v>157.5</v>
          </cell>
          <cell r="F68">
            <v>5.5</v>
          </cell>
        </row>
        <row r="69">
          <cell r="A69">
            <v>270044</v>
          </cell>
          <cell r="B69" t="str">
            <v>DJM601(1)</v>
          </cell>
          <cell r="C69" t="str">
            <v>PKX6000(1)</v>
          </cell>
          <cell r="D69">
            <v>1082517</v>
          </cell>
          <cell r="E69">
            <v>37</v>
          </cell>
          <cell r="F69">
            <v>15</v>
          </cell>
        </row>
        <row r="70">
          <cell r="A70">
            <v>270128</v>
          </cell>
          <cell r="B70" t="str">
            <v>DJS401(0)</v>
          </cell>
          <cell r="C70" t="str">
            <v>DJS401(0)</v>
          </cell>
          <cell r="D70">
            <v>1082538</v>
          </cell>
          <cell r="E70">
            <v>155</v>
          </cell>
          <cell r="F70">
            <v>5.6</v>
          </cell>
        </row>
        <row r="71">
          <cell r="A71">
            <v>270041</v>
          </cell>
          <cell r="B71" t="str">
            <v>DJS401(1)</v>
          </cell>
          <cell r="C71" t="str">
            <v>TOGO40(1)</v>
          </cell>
          <cell r="D71">
            <v>1082520</v>
          </cell>
          <cell r="E71">
            <v>37</v>
          </cell>
          <cell r="F71">
            <v>15</v>
          </cell>
        </row>
        <row r="72">
          <cell r="A72">
            <v>270010</v>
          </cell>
          <cell r="B72" t="str">
            <v>DJS501(0)</v>
          </cell>
          <cell r="C72" t="str">
            <v>TOGO50(0)</v>
          </cell>
          <cell r="D72" t="e">
            <v>#N/A</v>
          </cell>
          <cell r="E72">
            <v>160</v>
          </cell>
          <cell r="F72">
            <v>5.5</v>
          </cell>
        </row>
        <row r="73">
          <cell r="A73">
            <v>270042</v>
          </cell>
          <cell r="B73" t="str">
            <v>DJS501(1)</v>
          </cell>
          <cell r="C73" t="str">
            <v>TOGO50(1)</v>
          </cell>
          <cell r="D73" t="e">
            <v>#N/A</v>
          </cell>
          <cell r="E73">
            <v>165</v>
          </cell>
          <cell r="F73">
            <v>15</v>
          </cell>
        </row>
        <row r="74">
          <cell r="A74">
            <v>270148</v>
          </cell>
          <cell r="B74" t="str">
            <v>DJS502(1)出片</v>
          </cell>
          <cell r="C74" t="str">
            <v>DJS502(1)出片</v>
          </cell>
          <cell r="D74">
            <v>1082519</v>
          </cell>
          <cell r="E74">
            <v>160</v>
          </cell>
          <cell r="F74">
            <v>5.5</v>
          </cell>
        </row>
        <row r="75">
          <cell r="A75">
            <v>270011</v>
          </cell>
          <cell r="B75" t="str">
            <v>DJS601(0)</v>
          </cell>
          <cell r="C75" t="str">
            <v>WIN60(0)</v>
          </cell>
          <cell r="D75">
            <v>1082533</v>
          </cell>
          <cell r="E75">
            <v>152</v>
          </cell>
          <cell r="F75">
            <v>5</v>
          </cell>
        </row>
        <row r="76">
          <cell r="A76">
            <v>270043</v>
          </cell>
          <cell r="B76" t="str">
            <v>DJS601(1)出片</v>
          </cell>
          <cell r="C76" t="str">
            <v>WIN60(1)出片</v>
          </cell>
          <cell r="D76">
            <v>1082518</v>
          </cell>
          <cell r="E76">
            <v>172.51</v>
          </cell>
          <cell r="F76">
            <v>5.5</v>
          </cell>
        </row>
        <row r="77">
          <cell r="A77">
            <v>270108</v>
          </cell>
          <cell r="B77" t="str">
            <v>DJS603(1)</v>
          </cell>
          <cell r="C77" t="str">
            <v>DJS603(1)出片</v>
          </cell>
          <cell r="D77" t="e">
            <v>#N/A</v>
          </cell>
          <cell r="E77">
            <v>160</v>
          </cell>
          <cell r="F77">
            <v>5.5</v>
          </cell>
        </row>
        <row r="78">
          <cell r="A78">
            <v>270297</v>
          </cell>
          <cell r="B78" t="str">
            <v>DJS604(1)</v>
          </cell>
          <cell r="C78" t="str">
            <v>DJS604(1)</v>
          </cell>
          <cell r="D78" t="e">
            <v>#N/A</v>
          </cell>
          <cell r="E78">
            <v>40</v>
          </cell>
          <cell r="F78">
            <v>15</v>
          </cell>
        </row>
        <row r="79">
          <cell r="A79">
            <v>270045</v>
          </cell>
          <cell r="B79" t="str">
            <v>DJS701(1)</v>
          </cell>
          <cell r="C79" t="str">
            <v>WIN70（1）</v>
          </cell>
          <cell r="D79">
            <v>1082515</v>
          </cell>
          <cell r="E79">
            <v>37</v>
          </cell>
          <cell r="F79">
            <v>15</v>
          </cell>
        </row>
        <row r="80">
          <cell r="A80">
            <v>270142</v>
          </cell>
          <cell r="B80" t="str">
            <v>DJS702(0)</v>
          </cell>
          <cell r="C80" t="str">
            <v>DJS702(0)</v>
          </cell>
          <cell r="D80">
            <v>1082539</v>
          </cell>
          <cell r="E80">
            <v>152</v>
          </cell>
          <cell r="F80">
            <v>5.2</v>
          </cell>
        </row>
        <row r="81">
          <cell r="A81">
            <v>270143</v>
          </cell>
          <cell r="B81" t="str">
            <v>DJS702(1)</v>
          </cell>
          <cell r="C81" t="str">
            <v>DJS702(1)</v>
          </cell>
          <cell r="D81">
            <v>1082516</v>
          </cell>
          <cell r="E81">
            <v>37</v>
          </cell>
          <cell r="F81">
            <v>15</v>
          </cell>
        </row>
        <row r="82">
          <cell r="A82">
            <v>270310</v>
          </cell>
          <cell r="B82" t="str">
            <v>DJS704(1)</v>
          </cell>
          <cell r="C82" t="str">
            <v>DJS704(1)</v>
          </cell>
          <cell r="D82" t="e">
            <v>#N/A</v>
          </cell>
          <cell r="E82">
            <v>37</v>
          </cell>
          <cell r="F82">
            <v>15</v>
          </cell>
        </row>
        <row r="83">
          <cell r="A83">
            <v>270014</v>
          </cell>
          <cell r="B83" t="str">
            <v>DJS751(0)</v>
          </cell>
          <cell r="C83" t="str">
            <v>WIN75(0)</v>
          </cell>
          <cell r="D83">
            <v>1082535</v>
          </cell>
          <cell r="E83">
            <v>158.5</v>
          </cell>
          <cell r="F83">
            <v>5.2</v>
          </cell>
        </row>
        <row r="84">
          <cell r="A84">
            <v>270046</v>
          </cell>
          <cell r="B84" t="str">
            <v>DJS751(1)</v>
          </cell>
          <cell r="C84" t="str">
            <v>WIN75(1)</v>
          </cell>
          <cell r="D84">
            <v>1082514</v>
          </cell>
          <cell r="E84">
            <v>37</v>
          </cell>
          <cell r="F84">
            <v>15</v>
          </cell>
        </row>
        <row r="85">
          <cell r="A85">
            <v>270015</v>
          </cell>
          <cell r="B85" t="str">
            <v>DJS801(0)</v>
          </cell>
          <cell r="C85" t="str">
            <v>RCS80(0)</v>
          </cell>
          <cell r="D85">
            <v>1082536</v>
          </cell>
          <cell r="E85">
            <v>152</v>
          </cell>
          <cell r="F85">
            <v>6.5</v>
          </cell>
        </row>
        <row r="86">
          <cell r="A86">
            <v>270047</v>
          </cell>
          <cell r="B86" t="str">
            <v>DJS801(1)</v>
          </cell>
          <cell r="C86" t="str">
            <v>RCS80(1)</v>
          </cell>
          <cell r="D86">
            <v>1082512</v>
          </cell>
          <cell r="E86">
            <v>37</v>
          </cell>
          <cell r="F86">
            <v>15</v>
          </cell>
        </row>
        <row r="87">
          <cell r="A87">
            <v>270016</v>
          </cell>
          <cell r="B87" t="str">
            <v>DJS802(0)</v>
          </cell>
          <cell r="C87" t="str">
            <v>WIN80(0)</v>
          </cell>
          <cell r="D87">
            <v>1082537</v>
          </cell>
          <cell r="E87">
            <v>157.5</v>
          </cell>
          <cell r="F87">
            <v>5.2</v>
          </cell>
        </row>
        <row r="88">
          <cell r="A88">
            <v>270048</v>
          </cell>
          <cell r="B88" t="str">
            <v>DJS802(1)</v>
          </cell>
          <cell r="C88" t="str">
            <v>WIN80(1)</v>
          </cell>
          <cell r="D88" t="e">
            <v>#N/A</v>
          </cell>
          <cell r="F88">
            <v>4</v>
          </cell>
        </row>
        <row r="89">
          <cell r="A89">
            <v>270084</v>
          </cell>
          <cell r="B89" t="str">
            <v>DJS803(1)</v>
          </cell>
          <cell r="C89" t="str">
            <v>WIN80A(1)</v>
          </cell>
          <cell r="D89">
            <v>1082513</v>
          </cell>
          <cell r="E89">
            <v>37</v>
          </cell>
          <cell r="F89">
            <v>15</v>
          </cell>
        </row>
        <row r="90">
          <cell r="A90">
            <v>270065</v>
          </cell>
          <cell r="B90" t="str">
            <v>DJS851(0)</v>
          </cell>
          <cell r="C90" t="str">
            <v>WIN85(0)</v>
          </cell>
          <cell r="D90">
            <v>1082529</v>
          </cell>
          <cell r="E90">
            <v>154.5</v>
          </cell>
          <cell r="F90">
            <v>5.6</v>
          </cell>
        </row>
        <row r="91">
          <cell r="A91">
            <v>270313</v>
          </cell>
          <cell r="B91" t="str">
            <v>EMT 65(0)</v>
          </cell>
          <cell r="C91" t="str">
            <v>EMT 65(0)</v>
          </cell>
          <cell r="D91" t="e">
            <v>#N/A</v>
          </cell>
          <cell r="F91">
            <v>5.8</v>
          </cell>
        </row>
        <row r="92">
          <cell r="A92">
            <v>270314</v>
          </cell>
          <cell r="B92" t="str">
            <v>EMT 65(1)</v>
          </cell>
          <cell r="C92" t="str">
            <v>EMT 65(1)</v>
          </cell>
          <cell r="D92">
            <v>1082498</v>
          </cell>
          <cell r="E92">
            <v>157</v>
          </cell>
          <cell r="F92">
            <v>4</v>
          </cell>
        </row>
        <row r="93">
          <cell r="A93">
            <v>270138</v>
          </cell>
          <cell r="B93" t="str">
            <v>SEC291(0)</v>
          </cell>
          <cell r="C93" t="str">
            <v>SEC291(0)</v>
          </cell>
          <cell r="D93">
            <v>1082541</v>
          </cell>
          <cell r="E93">
            <v>156</v>
          </cell>
          <cell r="F93">
            <v>6</v>
          </cell>
        </row>
        <row r="94">
          <cell r="A94">
            <v>270139</v>
          </cell>
          <cell r="B94" t="str">
            <v>SEC291(1)</v>
          </cell>
          <cell r="C94" t="str">
            <v>SEC291(1)</v>
          </cell>
          <cell r="D94" t="e">
            <v>#N/A</v>
          </cell>
          <cell r="E94">
            <v>38</v>
          </cell>
          <cell r="F94">
            <v>15</v>
          </cell>
        </row>
        <row r="95">
          <cell r="A95">
            <v>270185</v>
          </cell>
          <cell r="B95" t="str">
            <v>SES303(0)</v>
          </cell>
          <cell r="C95" t="str">
            <v>SES303(0)</v>
          </cell>
          <cell r="D95" t="e">
            <v>#N/A</v>
          </cell>
          <cell r="F95">
            <v>5.5</v>
          </cell>
        </row>
        <row r="96">
          <cell r="A96">
            <v>270034</v>
          </cell>
          <cell r="B96" t="str">
            <v>SES303(1)</v>
          </cell>
          <cell r="C96" t="str">
            <v>SP.HOOD(1)</v>
          </cell>
          <cell r="D96" t="e">
            <v>#N/A</v>
          </cell>
          <cell r="E96">
            <v>169.5</v>
          </cell>
          <cell r="F96">
            <v>5.8</v>
          </cell>
        </row>
        <row r="97">
          <cell r="A97">
            <v>270004</v>
          </cell>
          <cell r="B97" t="str">
            <v>SES311(0)</v>
          </cell>
          <cell r="C97" t="str">
            <v>SP.CAMO(0)</v>
          </cell>
          <cell r="D97">
            <v>1082543</v>
          </cell>
          <cell r="E97">
            <v>153</v>
          </cell>
          <cell r="F97">
            <v>6</v>
          </cell>
        </row>
        <row r="98">
          <cell r="A98">
            <v>270036</v>
          </cell>
          <cell r="B98" t="str">
            <v>SES311(1)</v>
          </cell>
          <cell r="C98" t="str">
            <v>SP.CAMO/ZR(1)</v>
          </cell>
          <cell r="D98">
            <v>1082503</v>
          </cell>
          <cell r="E98">
            <v>175.5</v>
          </cell>
          <cell r="F98">
            <v>6</v>
          </cell>
        </row>
        <row r="99">
          <cell r="A99">
            <v>270237</v>
          </cell>
          <cell r="B99" t="str">
            <v>SES311(T1)</v>
          </cell>
          <cell r="C99" t="str">
            <v>SES311(T1)</v>
          </cell>
          <cell r="D99" t="e">
            <v>#N/A</v>
          </cell>
          <cell r="F99">
            <v>4</v>
          </cell>
        </row>
        <row r="100">
          <cell r="A100">
            <v>270141</v>
          </cell>
          <cell r="B100" t="str">
            <v>SES322(0)</v>
          </cell>
          <cell r="C100" t="str">
            <v>SES322(0)</v>
          </cell>
          <cell r="D100">
            <v>1082526</v>
          </cell>
          <cell r="E100">
            <v>165</v>
          </cell>
          <cell r="F100">
            <v>5.5</v>
          </cell>
        </row>
        <row r="101">
          <cell r="A101">
            <v>270033</v>
          </cell>
          <cell r="B101" t="str">
            <v>SES322(1)</v>
          </cell>
          <cell r="C101" t="str">
            <v>SP.OPEN(1)</v>
          </cell>
          <cell r="D101">
            <v>1082507</v>
          </cell>
          <cell r="E101">
            <v>169</v>
          </cell>
          <cell r="F101">
            <v>5.7</v>
          </cell>
        </row>
        <row r="102">
          <cell r="A102">
            <v>270236</v>
          </cell>
          <cell r="B102" t="str">
            <v>SES322(T1)</v>
          </cell>
          <cell r="C102" t="str">
            <v>SES322(T1)</v>
          </cell>
          <cell r="D102" t="e">
            <v>#N/A</v>
          </cell>
          <cell r="F102">
            <v>4</v>
          </cell>
        </row>
        <row r="103">
          <cell r="A103">
            <v>270158</v>
          </cell>
          <cell r="B103" t="str">
            <v>SES341(0)</v>
          </cell>
          <cell r="C103" t="str">
            <v>SES341(0)</v>
          </cell>
          <cell r="D103" t="e">
            <v>#N/A</v>
          </cell>
          <cell r="E103">
            <v>160.5</v>
          </cell>
          <cell r="F103">
            <v>6</v>
          </cell>
        </row>
        <row r="104">
          <cell r="A104">
            <v>270040</v>
          </cell>
          <cell r="B104" t="str">
            <v>SES341(1)</v>
          </cell>
          <cell r="C104" t="str">
            <v>SP.ALFA(1)</v>
          </cell>
          <cell r="D104" t="e">
            <v>#N/A</v>
          </cell>
          <cell r="E104">
            <v>164.5</v>
          </cell>
          <cell r="F104">
            <v>6</v>
          </cell>
        </row>
        <row r="105">
          <cell r="A105">
            <v>270006</v>
          </cell>
          <cell r="B105" t="str">
            <v>SES371(0)</v>
          </cell>
          <cell r="C105" t="str">
            <v>SP.SCM(0)</v>
          </cell>
          <cell r="D105">
            <v>1082542</v>
          </cell>
          <cell r="E105">
            <v>154.5</v>
          </cell>
          <cell r="F105">
            <v>5.5</v>
          </cell>
        </row>
        <row r="106">
          <cell r="A106">
            <v>270038</v>
          </cell>
          <cell r="B106" t="str">
            <v>SES371(1)</v>
          </cell>
          <cell r="C106" t="str">
            <v>SP.SCM/DO（1）</v>
          </cell>
          <cell r="D106">
            <v>1082505</v>
          </cell>
          <cell r="E106">
            <v>169</v>
          </cell>
          <cell r="F106">
            <v>5.7</v>
          </cell>
        </row>
        <row r="107">
          <cell r="A107">
            <v>270234</v>
          </cell>
          <cell r="B107" t="str">
            <v>SES371(T1)</v>
          </cell>
          <cell r="C107" t="str">
            <v>SES371(T1)</v>
          </cell>
          <cell r="D107" t="e">
            <v>#N/A</v>
          </cell>
          <cell r="E107">
            <v>0</v>
          </cell>
          <cell r="F107">
            <v>4</v>
          </cell>
        </row>
        <row r="108">
          <cell r="A108">
            <v>270228</v>
          </cell>
          <cell r="B108" t="str">
            <v>SES372(0)</v>
          </cell>
          <cell r="C108" t="str">
            <v>SES372(0)</v>
          </cell>
          <cell r="D108" t="e">
            <v>#N/A</v>
          </cell>
          <cell r="E108">
            <v>0</v>
          </cell>
          <cell r="F108">
            <v>5.5</v>
          </cell>
        </row>
        <row r="109">
          <cell r="A109">
            <v>270037</v>
          </cell>
          <cell r="B109" t="str">
            <v>SES372(1)</v>
          </cell>
          <cell r="C109" t="str">
            <v>SP.SCM/TS（1）</v>
          </cell>
          <cell r="D109">
            <v>1082506</v>
          </cell>
          <cell r="E109">
            <v>175.5</v>
          </cell>
          <cell r="F109">
            <v>5.7</v>
          </cell>
        </row>
        <row r="110">
          <cell r="A110">
            <v>270235</v>
          </cell>
          <cell r="B110" t="str">
            <v>SES372(T1)</v>
          </cell>
          <cell r="C110" t="str">
            <v>SES372(T1)</v>
          </cell>
          <cell r="D110" t="e">
            <v>#N/A</v>
          </cell>
          <cell r="F110">
            <v>4</v>
          </cell>
        </row>
        <row r="111">
          <cell r="A111">
            <v>270107</v>
          </cell>
          <cell r="B111" t="str">
            <v>SES373(1)</v>
          </cell>
          <cell r="C111" t="str">
            <v>SES373(1)</v>
          </cell>
          <cell r="D111" t="e">
            <v>#N/A</v>
          </cell>
          <cell r="E111">
            <v>169.5</v>
          </cell>
          <cell r="F111">
            <v>6.5</v>
          </cell>
        </row>
        <row r="112">
          <cell r="A112">
            <v>270005</v>
          </cell>
          <cell r="B112" t="str">
            <v>SES381(0)</v>
          </cell>
          <cell r="C112" t="str">
            <v>SES381(0)</v>
          </cell>
          <cell r="D112">
            <v>1082525</v>
          </cell>
          <cell r="E112">
            <v>157</v>
          </cell>
          <cell r="F112">
            <v>5.5</v>
          </cell>
        </row>
        <row r="113">
          <cell r="A113">
            <v>270039</v>
          </cell>
          <cell r="B113" t="str">
            <v>SES381(1)</v>
          </cell>
          <cell r="C113" t="str">
            <v>SP.CHP(1)</v>
          </cell>
          <cell r="D113">
            <v>1082504</v>
          </cell>
          <cell r="E113">
            <v>170</v>
          </cell>
          <cell r="F113">
            <v>5.5</v>
          </cell>
        </row>
        <row r="114">
          <cell r="A114">
            <v>270239</v>
          </cell>
          <cell r="B114" t="str">
            <v>SES381(T1)</v>
          </cell>
          <cell r="C114" t="str">
            <v>SES381(T1)</v>
          </cell>
          <cell r="D114" t="e">
            <v>#N/A</v>
          </cell>
          <cell r="F114">
            <v>4</v>
          </cell>
        </row>
        <row r="115">
          <cell r="A115">
            <v>270278</v>
          </cell>
          <cell r="B115" t="str">
            <v>SES401(0)二段</v>
          </cell>
          <cell r="C115" t="str">
            <v>SES401(0)二段</v>
          </cell>
          <cell r="D115">
            <v>1082528</v>
          </cell>
          <cell r="E115">
            <v>153</v>
          </cell>
          <cell r="F115">
            <v>6</v>
          </cell>
        </row>
        <row r="116">
          <cell r="A116">
            <v>270140</v>
          </cell>
          <cell r="B116" t="str">
            <v>SES401外发(0)</v>
          </cell>
          <cell r="C116" t="str">
            <v>SES401外发(0)</v>
          </cell>
          <cell r="D116">
            <v>1082527</v>
          </cell>
          <cell r="E116">
            <v>153.5</v>
          </cell>
          <cell r="F116">
            <v>5.7</v>
          </cell>
        </row>
        <row r="117">
          <cell r="A117">
            <v>270232</v>
          </cell>
          <cell r="B117" t="str">
            <v>SES401(1)二段</v>
          </cell>
          <cell r="C117" t="str">
            <v>SES401(1)二段</v>
          </cell>
          <cell r="D117">
            <v>1082509</v>
          </cell>
          <cell r="E117">
            <v>144.5</v>
          </cell>
          <cell r="F117">
            <v>4</v>
          </cell>
        </row>
        <row r="118">
          <cell r="A118">
            <v>270231</v>
          </cell>
          <cell r="B118" t="str">
            <v>SES402(0)</v>
          </cell>
          <cell r="C118" t="str">
            <v>SES402(0)</v>
          </cell>
          <cell r="D118" t="e">
            <v>#N/A</v>
          </cell>
          <cell r="F118">
            <v>5.5</v>
          </cell>
        </row>
        <row r="119">
          <cell r="A119">
            <v>270131</v>
          </cell>
          <cell r="B119" t="str">
            <v>SES402(1)</v>
          </cell>
          <cell r="C119" t="str">
            <v>SES402(1)</v>
          </cell>
          <cell r="D119">
            <v>1082510</v>
          </cell>
          <cell r="E119">
            <v>175.5</v>
          </cell>
          <cell r="F119">
            <v>6</v>
          </cell>
        </row>
        <row r="120">
          <cell r="A120">
            <v>270233</v>
          </cell>
          <cell r="B120" t="str">
            <v>SES402(T1)</v>
          </cell>
          <cell r="C120" t="str">
            <v>SES402(T1)</v>
          </cell>
          <cell r="D120" t="e">
            <v>#N/A</v>
          </cell>
          <cell r="F120">
            <v>4</v>
          </cell>
        </row>
        <row r="121">
          <cell r="A121">
            <v>270168</v>
          </cell>
          <cell r="B121" t="str">
            <v>SES403(1)</v>
          </cell>
          <cell r="C121" t="str">
            <v>SES403(1)</v>
          </cell>
          <cell r="D121" t="e">
            <v>#N/A</v>
          </cell>
          <cell r="E121">
            <v>174</v>
          </cell>
          <cell r="F121">
            <v>5.5</v>
          </cell>
        </row>
        <row r="122">
          <cell r="A122">
            <v>270309</v>
          </cell>
          <cell r="B122" t="str">
            <v>SES404(0)</v>
          </cell>
          <cell r="C122" t="str">
            <v>SES404(0)</v>
          </cell>
          <cell r="D122">
            <v>1082523</v>
          </cell>
          <cell r="E122">
            <v>155</v>
          </cell>
          <cell r="F122">
            <v>5.4</v>
          </cell>
        </row>
        <row r="123">
          <cell r="A123">
            <v>270296</v>
          </cell>
          <cell r="B123" t="str">
            <v>SES404(1)</v>
          </cell>
          <cell r="C123" t="str">
            <v>SES404(1)</v>
          </cell>
          <cell r="D123">
            <v>1082511</v>
          </cell>
          <cell r="E123">
            <v>175</v>
          </cell>
          <cell r="F123">
            <v>5.5</v>
          </cell>
        </row>
        <row r="124">
          <cell r="A124">
            <v>270008</v>
          </cell>
          <cell r="B124" t="str">
            <v>SES431(0)</v>
          </cell>
          <cell r="C124" t="str">
            <v>SES431(0)</v>
          </cell>
          <cell r="D124">
            <v>1082524</v>
          </cell>
          <cell r="E124">
            <v>154.5</v>
          </cell>
          <cell r="F124">
            <v>6</v>
          </cell>
        </row>
        <row r="125">
          <cell r="A125">
            <v>270007</v>
          </cell>
          <cell r="B125" t="str">
            <v>SES471(0)</v>
          </cell>
          <cell r="C125" t="str">
            <v>SPT/03PY(0)</v>
          </cell>
          <cell r="D125" t="e">
            <v>#N/A</v>
          </cell>
          <cell r="E125">
            <v>160.5</v>
          </cell>
          <cell r="F125">
            <v>6</v>
          </cell>
        </row>
        <row r="126">
          <cell r="A126">
            <v>270035</v>
          </cell>
          <cell r="B126" t="str">
            <v>SES471(1)</v>
          </cell>
          <cell r="C126" t="str">
            <v>SPT03(1)</v>
          </cell>
          <cell r="D126">
            <v>1082508</v>
          </cell>
          <cell r="E126">
            <v>170</v>
          </cell>
          <cell r="F126">
            <v>6</v>
          </cell>
        </row>
        <row r="127">
          <cell r="A127">
            <v>270238</v>
          </cell>
          <cell r="B127" t="str">
            <v>SES471(T1)</v>
          </cell>
          <cell r="C127" t="str">
            <v>SES471(T1)</v>
          </cell>
          <cell r="D127" t="e">
            <v>#N/A</v>
          </cell>
          <cell r="F127">
            <v>4</v>
          </cell>
        </row>
        <row r="128">
          <cell r="A128">
            <v>270258</v>
          </cell>
          <cell r="B128" t="str">
            <v>SES472(0)</v>
          </cell>
          <cell r="C128" t="str">
            <v>SES472(0)</v>
          </cell>
          <cell r="D128" t="e">
            <v>#N/A</v>
          </cell>
          <cell r="E128">
            <v>146.5</v>
          </cell>
          <cell r="F128">
            <v>6</v>
          </cell>
        </row>
        <row r="129">
          <cell r="A129">
            <v>270257</v>
          </cell>
          <cell r="B129" t="str">
            <v>SES472(1)</v>
          </cell>
          <cell r="C129" t="str">
            <v>SES472(1)</v>
          </cell>
          <cell r="D129" t="e">
            <v>#N/A</v>
          </cell>
          <cell r="E129">
            <v>163</v>
          </cell>
          <cell r="F129">
            <v>6</v>
          </cell>
        </row>
        <row r="130">
          <cell r="A130">
            <v>270127</v>
          </cell>
          <cell r="B130" t="str">
            <v>SJS191(0)</v>
          </cell>
          <cell r="C130" t="str">
            <v>SP.KY-55(0)</v>
          </cell>
          <cell r="D130">
            <v>1082540</v>
          </cell>
          <cell r="E130">
            <v>40</v>
          </cell>
          <cell r="F130">
            <v>10</v>
          </cell>
        </row>
        <row r="131">
          <cell r="A131">
            <v>270032</v>
          </cell>
          <cell r="B131" t="str">
            <v>SJS191(1)</v>
          </cell>
          <cell r="C131" t="str">
            <v>SP.KY-55(1)</v>
          </cell>
          <cell r="D131">
            <v>1082521</v>
          </cell>
          <cell r="E131">
            <v>37</v>
          </cell>
          <cell r="F131">
            <v>15</v>
          </cell>
        </row>
        <row r="132">
          <cell r="A132">
            <v>270098</v>
          </cell>
          <cell r="B132" t="str">
            <v>DJS601薄片</v>
          </cell>
          <cell r="C132" t="str">
            <v>WIN60薄片</v>
          </cell>
          <cell r="D132">
            <v>1082522</v>
          </cell>
          <cell r="F132">
            <v>1.5</v>
          </cell>
        </row>
        <row r="133">
          <cell r="A133">
            <v>270417</v>
          </cell>
          <cell r="B133" t="str">
            <v>DEC705(0)</v>
          </cell>
          <cell r="C133" t="str">
            <v>DEC705(0)</v>
          </cell>
          <cell r="D133" t="e">
            <v>#N/A</v>
          </cell>
          <cell r="E133">
            <v>155</v>
          </cell>
          <cell r="F133">
            <v>5.5</v>
          </cell>
        </row>
        <row r="134">
          <cell r="A134">
            <v>270437</v>
          </cell>
          <cell r="B134" t="str">
            <v>DEM651(1)</v>
          </cell>
          <cell r="C134" t="str">
            <v>DEM651(1)</v>
          </cell>
          <cell r="D134" t="e">
            <v>#N/A</v>
          </cell>
          <cell r="E134">
            <v>160</v>
          </cell>
          <cell r="F134">
            <v>5.5</v>
          </cell>
        </row>
        <row r="135">
          <cell r="A135">
            <v>270478</v>
          </cell>
          <cell r="B135" t="str">
            <v>DES702(1)</v>
          </cell>
          <cell r="C135" t="str">
            <v>DES702(1)</v>
          </cell>
          <cell r="D135" t="e">
            <v>#N/A</v>
          </cell>
          <cell r="E135">
            <v>160</v>
          </cell>
          <cell r="F135">
            <v>6</v>
          </cell>
        </row>
        <row r="136">
          <cell r="A136" t="str">
            <v>&amp;</v>
          </cell>
          <cell r="B136" t="str">
            <v>设备保养</v>
          </cell>
          <cell r="C136" t="str">
            <v>设备保养</v>
          </cell>
        </row>
        <row r="137">
          <cell r="A137" t="str">
            <v>/</v>
          </cell>
          <cell r="B137" t="str">
            <v>CLEAN</v>
          </cell>
          <cell r="C137" t="str">
            <v>CLEAN</v>
          </cell>
        </row>
        <row r="138">
          <cell r="A138" t="str">
            <v>+</v>
          </cell>
          <cell r="B138" t="str">
            <v>SUK85(1)出条</v>
          </cell>
          <cell r="C138" t="str">
            <v>SUK85(1)出条</v>
          </cell>
          <cell r="E138">
            <v>40</v>
          </cell>
          <cell r="F138">
            <v>10</v>
          </cell>
        </row>
        <row r="139">
          <cell r="A139">
            <v>270517</v>
          </cell>
          <cell r="B139" t="str">
            <v>DEC852(0)</v>
          </cell>
          <cell r="C139" t="str">
            <v>DEC852(0)</v>
          </cell>
          <cell r="D139" t="e">
            <v>#N/A</v>
          </cell>
          <cell r="E139">
            <v>155.74</v>
          </cell>
          <cell r="F139">
            <v>5.5</v>
          </cell>
        </row>
        <row r="140">
          <cell r="A140">
            <v>270518</v>
          </cell>
          <cell r="B140" t="str">
            <v>DEC852(1)</v>
          </cell>
          <cell r="C140" t="str">
            <v>DEC852(1)一段</v>
          </cell>
          <cell r="D140">
            <v>1082492</v>
          </cell>
          <cell r="E140">
            <v>160</v>
          </cell>
          <cell r="F140">
            <v>5.5</v>
          </cell>
        </row>
        <row r="141">
          <cell r="A141">
            <v>270508</v>
          </cell>
          <cell r="B141" t="str">
            <v>SEC292(0)</v>
          </cell>
          <cell r="C141" t="str">
            <v>SEC292(0)</v>
          </cell>
          <cell r="D141" t="e">
            <v>#N/A</v>
          </cell>
          <cell r="E141">
            <v>154.88</v>
          </cell>
          <cell r="F141">
            <v>6</v>
          </cell>
        </row>
        <row r="142">
          <cell r="A142">
            <v>270507</v>
          </cell>
          <cell r="B142" t="str">
            <v>SEC292(1)</v>
          </cell>
          <cell r="C142" t="str">
            <v>SEC292(1)</v>
          </cell>
          <cell r="D142" t="e">
            <v>#N/A</v>
          </cell>
          <cell r="E142">
            <v>39.4</v>
          </cell>
          <cell r="F142">
            <v>15</v>
          </cell>
        </row>
        <row r="143">
          <cell r="A143" t="str">
            <v>-</v>
          </cell>
          <cell r="B143" t="str">
            <v>SCM70(1)出条</v>
          </cell>
          <cell r="C143" t="str">
            <v>SCM70(1)出条</v>
          </cell>
          <cell r="D143" t="e">
            <v>#N/A</v>
          </cell>
          <cell r="E143">
            <v>40</v>
          </cell>
          <cell r="F143">
            <v>10</v>
          </cell>
        </row>
        <row r="144">
          <cell r="A144" t="str">
            <v>270043-</v>
          </cell>
          <cell r="B144" t="str">
            <v>DJS601(1)</v>
          </cell>
          <cell r="C144" t="str">
            <v>WIN60(1)</v>
          </cell>
          <cell r="D144">
            <v>1082518</v>
          </cell>
          <cell r="E144">
            <v>40</v>
          </cell>
          <cell r="F144">
            <v>10</v>
          </cell>
        </row>
        <row r="145">
          <cell r="A145">
            <v>270533</v>
          </cell>
          <cell r="B145" t="str">
            <v>DJS805(1)</v>
          </cell>
          <cell r="C145" t="str">
            <v>DJS805(1)</v>
          </cell>
          <cell r="D145">
            <v>1082545</v>
          </cell>
          <cell r="E145">
            <v>37.35</v>
          </cell>
          <cell r="F145">
            <v>15</v>
          </cell>
        </row>
        <row r="146">
          <cell r="A146">
            <v>270532</v>
          </cell>
          <cell r="B146" t="str">
            <v>DJS805(0)</v>
          </cell>
          <cell r="C146" t="str">
            <v>DJS805(0)</v>
          </cell>
          <cell r="D146" t="e">
            <v>#N/A</v>
          </cell>
          <cell r="E146">
            <v>157.75</v>
          </cell>
          <cell r="F146">
            <v>5.5</v>
          </cell>
        </row>
        <row r="147">
          <cell r="A147" t="str">
            <v>270148-</v>
          </cell>
          <cell r="B147" t="str">
            <v>DJS502(1)</v>
          </cell>
          <cell r="C147" t="str">
            <v>DJS502(1)</v>
          </cell>
          <cell r="D147">
            <v>1082519</v>
          </cell>
          <cell r="E147">
            <v>40</v>
          </cell>
          <cell r="F147">
            <v>10</v>
          </cell>
        </row>
        <row r="148">
          <cell r="A148">
            <v>270547</v>
          </cell>
          <cell r="B148" t="str">
            <v>SJS193(0)</v>
          </cell>
          <cell r="C148" t="str">
            <v>SJS193(0)</v>
          </cell>
          <cell r="D148" t="e">
            <v>#N/A</v>
          </cell>
          <cell r="E148">
            <v>42.25</v>
          </cell>
          <cell r="F148">
            <v>15</v>
          </cell>
        </row>
        <row r="149">
          <cell r="A149" t="str">
            <v>270044-</v>
          </cell>
          <cell r="B149" t="str">
            <v>DJM604(1)</v>
          </cell>
          <cell r="C149" t="str">
            <v>DJM604(1)</v>
          </cell>
          <cell r="D149">
            <v>1082517</v>
          </cell>
          <cell r="E149">
            <v>37</v>
          </cell>
          <cell r="F149">
            <v>15</v>
          </cell>
        </row>
        <row r="150">
          <cell r="A150">
            <v>270487</v>
          </cell>
          <cell r="B150" t="str">
            <v>SJS192(0)</v>
          </cell>
          <cell r="C150" t="str">
            <v>SJS192(0)</v>
          </cell>
          <cell r="D150" t="e">
            <v>#N/A</v>
          </cell>
          <cell r="E150">
            <v>42.45</v>
          </cell>
          <cell r="F150">
            <v>10</v>
          </cell>
        </row>
        <row r="151">
          <cell r="A151">
            <v>270489</v>
          </cell>
          <cell r="B151" t="str">
            <v>SJS192(1)</v>
          </cell>
          <cell r="C151" t="str">
            <v>SJS192(1)</v>
          </cell>
          <cell r="D151" t="e">
            <v>#N/A</v>
          </cell>
          <cell r="E151">
            <v>38.6</v>
          </cell>
          <cell r="F151">
            <v>15</v>
          </cell>
        </row>
      </sheetData>
      <sheetData sheetId="2" refreshError="1"/>
      <sheetData sheetId="3" refreshError="1">
        <row r="3">
          <cell r="D3">
            <v>41582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C14" sqref="C14"/>
    </sheetView>
  </sheetViews>
  <sheetFormatPr defaultRowHeight="12.75"/>
  <sheetData/>
  <phoneticPr fontId="29" type="noConversion"/>
  <pageMargins left="0.7" right="0.7" top="0.75" bottom="0.75" header="0.3" footer="0.3"/>
  <pageSetup paperSize="9" orientation="portrait" r:id="rId1"/>
  <legacyDrawing r:id="rId2"/>
  <controls>
    <control shapeId="1025" r:id="rId3" name="Label1"/>
    <control shapeId="1026" r:id="rId4" name="txtSheetNo"/>
    <control shapeId="1027" r:id="rId5" name="CmdUploa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G81"/>
  <sheetViews>
    <sheetView showGridLines="0" showZeros="0" topLeftCell="A64" workbookViewId="0">
      <selection activeCell="G81" sqref="G81"/>
    </sheetView>
  </sheetViews>
  <sheetFormatPr defaultRowHeight="12"/>
  <cols>
    <col min="1" max="1" width="8.5703125" style="2" bestFit="1" customWidth="1"/>
    <col min="2" max="2" width="9.7109375" style="2" bestFit="1" customWidth="1"/>
    <col min="3" max="3" width="17.42578125" style="2" bestFit="1" customWidth="1"/>
    <col min="4" max="4" width="23" style="2" customWidth="1"/>
    <col min="5" max="7" width="9.140625" style="2"/>
    <col min="8" max="16384" width="9.140625" style="4"/>
  </cols>
  <sheetData>
    <row r="1" spans="1:4" ht="12.75" thickBot="1"/>
    <row r="2" spans="1:4" ht="15.75" thickTop="1" thickBot="1">
      <c r="A2" s="94" t="s">
        <v>223</v>
      </c>
      <c r="B2" s="94" t="s">
        <v>224</v>
      </c>
      <c r="C2" s="94" t="s">
        <v>225</v>
      </c>
      <c r="D2" s="94" t="s">
        <v>226</v>
      </c>
    </row>
    <row r="3" spans="1:4" ht="15.75" thickTop="1" thickBot="1">
      <c r="A3" s="228">
        <v>270031</v>
      </c>
      <c r="B3" s="95">
        <v>1082486</v>
      </c>
      <c r="C3" s="96" t="str">
        <f>VLOOKUP(A3,'[1]00'!A$1:C$65536,2,0)</f>
        <v>DES952(1)</v>
      </c>
      <c r="D3" s="96" t="str">
        <f>VLOOKUP(A3,'[1]00'!A$1:C$65536,3,0)</f>
        <v>LCS95(1)</v>
      </c>
    </row>
    <row r="4" spans="1:4" ht="15.75" thickTop="1" thickBot="1">
      <c r="A4" s="95">
        <v>270030</v>
      </c>
      <c r="B4" s="95">
        <v>1082487</v>
      </c>
      <c r="C4" s="96" t="str">
        <f>VLOOKUP(A4,'[1]00'!A$1:C$65536,2,0)</f>
        <v>DES951(1)</v>
      </c>
      <c r="D4" s="96" t="str">
        <f>VLOOKUP(A4,'[1]00'!A$1:C$65536,3,0)</f>
        <v>BF95(1)</v>
      </c>
    </row>
    <row r="5" spans="1:4" ht="15.75" thickTop="1" thickBot="1">
      <c r="A5" s="95">
        <v>270028</v>
      </c>
      <c r="B5" s="95">
        <v>1082488</v>
      </c>
      <c r="C5" s="96" t="str">
        <f>VLOOKUP(A5,'[1]00'!A$1:C$65536,2,0)</f>
        <v>DES851(1)</v>
      </c>
      <c r="D5" s="96" t="str">
        <f>VLOOKUP(A5,'[1]00'!A$1:C$65536,3,0)</f>
        <v>SUK85(1)</v>
      </c>
    </row>
    <row r="6" spans="1:4" ht="15.75" thickTop="1" thickBot="1">
      <c r="A6" s="95">
        <v>270294</v>
      </c>
      <c r="B6" s="95">
        <v>1082489</v>
      </c>
      <c r="C6" s="96" t="str">
        <f>VLOOKUP(A6,'[1]00'!A$1:C$65536,2,0)</f>
        <v>DES854(1)</v>
      </c>
      <c r="D6" s="96" t="str">
        <f>VLOOKUP(A6,'[1]00'!A$1:C$65536,3,0)</f>
        <v>DES854(1)</v>
      </c>
    </row>
    <row r="7" spans="1:4" ht="15.75" thickTop="1" thickBot="1">
      <c r="A7" s="95">
        <v>270026</v>
      </c>
      <c r="B7" s="95">
        <v>1082490</v>
      </c>
      <c r="C7" s="96" t="str">
        <f>VLOOKUP(A7,'[1]00'!A$1:C$65536,2,0)</f>
        <v>DES801(1)</v>
      </c>
      <c r="D7" s="96" t="str">
        <f>VLOOKUP(A7,'[1]00'!A$1:C$65536,3,0)</f>
        <v>COS80(1)</v>
      </c>
    </row>
    <row r="8" spans="1:4" ht="15.75" thickTop="1" thickBot="1">
      <c r="A8" s="95">
        <v>270024</v>
      </c>
      <c r="B8" s="95">
        <v>1082491</v>
      </c>
      <c r="C8" s="96" t="str">
        <f>VLOOKUP(A8,'[1]00'!A$1:C$65536,2,0)</f>
        <v>DEC801(1)</v>
      </c>
      <c r="D8" s="96" t="str">
        <f>VLOOKUP(A8,'[1]00'!A$1:C$65536,3,0)</f>
        <v>SCM80(1)</v>
      </c>
    </row>
    <row r="9" spans="1:4" ht="15.75" thickTop="1" thickBot="1">
      <c r="A9" s="95">
        <v>270518</v>
      </c>
      <c r="B9" s="95">
        <v>1082492</v>
      </c>
      <c r="C9" s="96" t="str">
        <f>VLOOKUP(A9,'[1]00'!A$1:C$65536,2,0)</f>
        <v>DEC852(1)</v>
      </c>
      <c r="D9" s="96" t="str">
        <f>VLOOKUP(A9,'[1]00'!A$1:C$65536,3,0)</f>
        <v>DEC852(1)一段</v>
      </c>
    </row>
    <row r="10" spans="1:4" ht="15.75" thickTop="1" thickBot="1">
      <c r="A10" s="95">
        <v>270020</v>
      </c>
      <c r="B10" s="95">
        <v>1082493</v>
      </c>
      <c r="C10" s="96" t="str">
        <f>VLOOKUP(A10,'[1]00'!A$1:C$65536,2,0)</f>
        <v>DEC701(1)</v>
      </c>
      <c r="D10" s="96" t="str">
        <f>VLOOKUP(A10,'[1]00'!A$1:C$65536,3,0)</f>
        <v>SCM70(1)</v>
      </c>
    </row>
    <row r="11" spans="1:4" ht="15.75" thickTop="1" thickBot="1">
      <c r="A11" s="95">
        <v>270292</v>
      </c>
      <c r="B11" s="95">
        <v>1082494</v>
      </c>
      <c r="C11" s="96" t="str">
        <f>VLOOKUP(A11,'[1]00'!A$1:C$65536,2,0)</f>
        <v>DEC705(1)</v>
      </c>
      <c r="D11" s="96" t="str">
        <f>VLOOKUP(A11,'[1]00'!A$1:C$65536,3,0)</f>
        <v>DEC705(1)</v>
      </c>
    </row>
    <row r="12" spans="1:4" ht="15.75" thickTop="1" thickBot="1">
      <c r="A12" s="95">
        <v>270295</v>
      </c>
      <c r="B12" s="95">
        <v>1082495</v>
      </c>
      <c r="C12" s="96" t="str">
        <f>VLOOKUP(A12,'[1]00'!A$1:C$65536,2,0)</f>
        <v>DEC704(1)</v>
      </c>
      <c r="D12" s="96" t="str">
        <f>VLOOKUP(A12,'[1]00'!A$1:C$65536,3,0)</f>
        <v>DEC704(1)</v>
      </c>
    </row>
    <row r="13" spans="1:4" ht="15.75" thickTop="1" thickBot="1">
      <c r="A13" s="95">
        <v>270023</v>
      </c>
      <c r="B13" s="95">
        <v>1082496</v>
      </c>
      <c r="C13" s="96" t="str">
        <f>VLOOKUP(A13,'[1]00'!A$1:C$65536,2,0)</f>
        <v>DES701(1)</v>
      </c>
      <c r="D13" s="96" t="str">
        <f>VLOOKUP(A13,'[1]00'!A$1:C$65536,3,0)</f>
        <v>WSL70(1)</v>
      </c>
    </row>
    <row r="14" spans="1:4" ht="15.75" thickTop="1" thickBot="1">
      <c r="A14" s="95">
        <v>270017</v>
      </c>
      <c r="B14" s="95">
        <v>1082497</v>
      </c>
      <c r="C14" s="96" t="str">
        <f>VLOOKUP(A14,'[1]00'!A$1:C$65536,2,0)</f>
        <v>DES601(1)</v>
      </c>
      <c r="D14" s="96" t="str">
        <f>VLOOKUP(A14,'[1]00'!A$1:C$65536,3,0)</f>
        <v>PROF60(1)</v>
      </c>
    </row>
    <row r="15" spans="1:4" ht="15.75" thickTop="1" thickBot="1">
      <c r="A15" s="95">
        <v>270314</v>
      </c>
      <c r="B15" s="95">
        <v>1082498</v>
      </c>
      <c r="C15" s="96" t="str">
        <f>VLOOKUP(A15,'[1]00'!A$1:C$65536,2,0)</f>
        <v>EMT 65(1)</v>
      </c>
      <c r="D15" s="96" t="str">
        <f>VLOOKUP(A15,'[1]00'!A$1:C$65536,3,0)</f>
        <v>EMT 65(1)</v>
      </c>
    </row>
    <row r="16" spans="1:4" ht="15.75" thickTop="1" thickBot="1">
      <c r="A16" s="95">
        <v>270293</v>
      </c>
      <c r="B16" s="95">
        <v>1082499</v>
      </c>
      <c r="C16" s="96" t="str">
        <f>VLOOKUP(A16,'[1]00'!A$1:C$65536,2,0)</f>
        <v>DES604(1)</v>
      </c>
      <c r="D16" s="96" t="str">
        <f>VLOOKUP(A16,'[1]00'!A$1:C$65536,3,0)</f>
        <v>DES604(1)</v>
      </c>
    </row>
    <row r="17" spans="1:4" ht="15.75" thickTop="1" thickBot="1">
      <c r="A17" s="95">
        <v>270018</v>
      </c>
      <c r="B17" s="95">
        <v>1082500</v>
      </c>
      <c r="C17" s="96" t="str">
        <f>VLOOKUP(A17,'[1]00'!A$1:C$65536,2,0)</f>
        <v>DEC601(1)</v>
      </c>
      <c r="D17" s="96" t="str">
        <f>VLOOKUP(A17,'[1]00'!A$1:C$65536,3,0)</f>
        <v>SCM60(1)</v>
      </c>
    </row>
    <row r="18" spans="1:4" ht="15.75" thickTop="1" thickBot="1">
      <c r="A18" s="95">
        <v>270082</v>
      </c>
      <c r="B18" s="95">
        <v>1082501</v>
      </c>
      <c r="C18" s="96" t="str">
        <f>VLOOKUP(A18,'[1]00'!A$1:C$65536,2,0)</f>
        <v>DES603(1)</v>
      </c>
      <c r="D18" s="96" t="str">
        <f>VLOOKUP(A18,'[1]00'!A$1:C$65536,3,0)</f>
        <v>ROM60(1)</v>
      </c>
    </row>
    <row r="19" spans="1:4" ht="15.75" thickTop="1" thickBot="1">
      <c r="A19" s="95">
        <v>270057</v>
      </c>
      <c r="B19" s="95">
        <v>1082502</v>
      </c>
      <c r="C19" s="96" t="str">
        <f>VLOOKUP(A19,'[1]00'!A$1:C$65536,2,0)</f>
        <v>CES009(1)</v>
      </c>
      <c r="D19" s="96" t="str">
        <f>VLOOKUP(A19,'[1]00'!A$1:C$65536,3,0)</f>
        <v>CES009(1)</v>
      </c>
    </row>
    <row r="20" spans="1:4" ht="15.75" thickTop="1" thickBot="1">
      <c r="A20" s="95">
        <v>270036</v>
      </c>
      <c r="B20" s="95">
        <v>1082503</v>
      </c>
      <c r="C20" s="96" t="str">
        <f>VLOOKUP(A20,'[1]00'!A$1:C$65536,2,0)</f>
        <v>SES311(1)</v>
      </c>
      <c r="D20" s="96" t="str">
        <f>VLOOKUP(A20,'[1]00'!A$1:C$65536,3,0)</f>
        <v>SP.CAMO/ZR(1)</v>
      </c>
    </row>
    <row r="21" spans="1:4" ht="15.75" thickTop="1" thickBot="1">
      <c r="A21" s="95">
        <v>270039</v>
      </c>
      <c r="B21" s="95">
        <v>1082504</v>
      </c>
      <c r="C21" s="96" t="str">
        <f>VLOOKUP(A21,'[1]00'!A$1:C$65536,2,0)</f>
        <v>SES381(1)</v>
      </c>
      <c r="D21" s="96" t="str">
        <f>VLOOKUP(A21,'[1]00'!A$1:C$65536,3,0)</f>
        <v>SP.CHP(1)</v>
      </c>
    </row>
    <row r="22" spans="1:4" ht="15.75" thickTop="1" thickBot="1">
      <c r="A22" s="95">
        <v>270038</v>
      </c>
      <c r="B22" s="95">
        <v>1082505</v>
      </c>
      <c r="C22" s="96" t="str">
        <f>VLOOKUP(A22,'[1]00'!A$1:C$65536,2,0)</f>
        <v>SES371(1)</v>
      </c>
      <c r="D22" s="96" t="str">
        <f>VLOOKUP(A22,'[1]00'!A$1:C$65536,3,0)</f>
        <v>SP.SCM/DO（1）</v>
      </c>
    </row>
    <row r="23" spans="1:4" ht="15.75" thickTop="1" thickBot="1">
      <c r="A23" s="95">
        <v>270037</v>
      </c>
      <c r="B23" s="95">
        <v>1082506</v>
      </c>
      <c r="C23" s="96" t="str">
        <f>VLOOKUP(A23,'[1]00'!A$1:C$65536,2,0)</f>
        <v>SES372(1)</v>
      </c>
      <c r="D23" s="96" t="str">
        <f>VLOOKUP(A23,'[1]00'!A$1:C$65536,3,0)</f>
        <v>SP.SCM/TS（1）</v>
      </c>
    </row>
    <row r="24" spans="1:4" ht="15.75" thickTop="1" thickBot="1">
      <c r="A24" s="95">
        <v>270033</v>
      </c>
      <c r="B24" s="95">
        <v>1082507</v>
      </c>
      <c r="C24" s="96" t="str">
        <f>VLOOKUP(A24,'[1]00'!A$1:C$65536,2,0)</f>
        <v>SES322(1)</v>
      </c>
      <c r="D24" s="96" t="str">
        <f>VLOOKUP(A24,'[1]00'!A$1:C$65536,3,0)</f>
        <v>SP.OPEN(1)</v>
      </c>
    </row>
    <row r="25" spans="1:4" ht="15.75" thickTop="1" thickBot="1">
      <c r="A25" s="95">
        <v>270035</v>
      </c>
      <c r="B25" s="95">
        <v>1082508</v>
      </c>
      <c r="C25" s="96" t="str">
        <f>VLOOKUP(A25,'[1]00'!A$1:C$65536,2,0)</f>
        <v>SES471(1)</v>
      </c>
      <c r="D25" s="96" t="str">
        <f>VLOOKUP(A25,'[1]00'!A$1:C$65536,3,0)</f>
        <v>SPT03(1)</v>
      </c>
    </row>
    <row r="26" spans="1:4" ht="15.75" thickTop="1" thickBot="1">
      <c r="A26" s="95">
        <v>270232</v>
      </c>
      <c r="B26" s="95">
        <v>1082509</v>
      </c>
      <c r="C26" s="96" t="str">
        <f>VLOOKUP(A26,'[1]00'!A$1:C$65536,2,0)</f>
        <v>SES401(1)二段</v>
      </c>
      <c r="D26" s="96" t="str">
        <f>VLOOKUP(A26,'[1]00'!A$1:C$65536,3,0)</f>
        <v>SES401(1)二段</v>
      </c>
    </row>
    <row r="27" spans="1:4" ht="15.75" thickTop="1" thickBot="1">
      <c r="A27" s="95">
        <v>270131</v>
      </c>
      <c r="B27" s="95">
        <v>1082510</v>
      </c>
      <c r="C27" s="96" t="str">
        <f>VLOOKUP(A27,'[1]00'!A$1:C$65536,2,0)</f>
        <v>SES402(1)</v>
      </c>
      <c r="D27" s="96" t="str">
        <f>VLOOKUP(A27,'[1]00'!A$1:C$65536,3,0)</f>
        <v>SES402(1)</v>
      </c>
    </row>
    <row r="28" spans="1:4" ht="15.75" thickTop="1" thickBot="1">
      <c r="A28" s="95">
        <v>270296</v>
      </c>
      <c r="B28" s="95">
        <v>1082511</v>
      </c>
      <c r="C28" s="96" t="str">
        <f>VLOOKUP(A28,'[1]00'!A$1:C$65536,2,0)</f>
        <v>SES404(1)</v>
      </c>
      <c r="D28" s="96" t="str">
        <f>VLOOKUP(A28,'[1]00'!A$1:C$65536,3,0)</f>
        <v>SES404(1)</v>
      </c>
    </row>
    <row r="29" spans="1:4" ht="15.75" thickTop="1" thickBot="1">
      <c r="A29" s="95">
        <v>270047</v>
      </c>
      <c r="B29" s="95">
        <v>1082512</v>
      </c>
      <c r="C29" s="96" t="str">
        <f>VLOOKUP(A29,'[1]00'!A$1:C$65536,2,0)</f>
        <v>DJS801(1)</v>
      </c>
      <c r="D29" s="96" t="str">
        <f>VLOOKUP(A29,'[1]00'!A$1:C$65536,3,0)</f>
        <v>RCS80(1)</v>
      </c>
    </row>
    <row r="30" spans="1:4" ht="15.75" thickTop="1" thickBot="1">
      <c r="A30" s="95">
        <v>270084</v>
      </c>
      <c r="B30" s="95">
        <v>1082513</v>
      </c>
      <c r="C30" s="96" t="str">
        <f>VLOOKUP(A30,'[1]00'!A$1:C$65536,2,0)</f>
        <v>DJS803(1)</v>
      </c>
      <c r="D30" s="96" t="str">
        <f>VLOOKUP(A30,'[1]00'!A$1:C$65536,3,0)</f>
        <v>WIN80A(1)</v>
      </c>
    </row>
    <row r="31" spans="1:4" ht="15.75" thickTop="1" thickBot="1">
      <c r="A31" s="95">
        <v>270046</v>
      </c>
      <c r="B31" s="95">
        <v>1082514</v>
      </c>
      <c r="C31" s="96" t="str">
        <f>VLOOKUP(A31,'[1]00'!A$1:C$65536,2,0)</f>
        <v>DJS751(1)</v>
      </c>
      <c r="D31" s="96" t="str">
        <f>VLOOKUP(A31,'[1]00'!A$1:C$65536,3,0)</f>
        <v>WIN75(1)</v>
      </c>
    </row>
    <row r="32" spans="1:4" ht="15.75" thickTop="1" thickBot="1">
      <c r="A32" s="95">
        <v>270045</v>
      </c>
      <c r="B32" s="95">
        <v>1082515</v>
      </c>
      <c r="C32" s="96" t="str">
        <f>VLOOKUP(A32,'[1]00'!A$1:C$65536,2,0)</f>
        <v>DJS701(1)</v>
      </c>
      <c r="D32" s="96" t="str">
        <f>VLOOKUP(A32,'[1]00'!A$1:C$65536,3,0)</f>
        <v>WIN70（1）</v>
      </c>
    </row>
    <row r="33" spans="1:4" ht="15.75" thickTop="1" thickBot="1">
      <c r="A33" s="95">
        <v>270143</v>
      </c>
      <c r="B33" s="95">
        <v>1082516</v>
      </c>
      <c r="C33" s="96" t="str">
        <f>VLOOKUP(A33,'[1]00'!A$1:C$65536,2,0)</f>
        <v>DJS702(1)</v>
      </c>
      <c r="D33" s="96" t="str">
        <f>VLOOKUP(A33,'[1]00'!A$1:C$65536,3,0)</f>
        <v>DJS702(1)</v>
      </c>
    </row>
    <row r="34" spans="1:4" ht="15.75" thickTop="1" thickBot="1">
      <c r="A34" s="95">
        <v>270044</v>
      </c>
      <c r="B34" s="95">
        <v>1082517</v>
      </c>
      <c r="C34" s="96" t="str">
        <f>VLOOKUP(A34,'[1]00'!A$1:C$65536,2,0)</f>
        <v>DJM601(1)</v>
      </c>
      <c r="D34" s="96" t="str">
        <f>VLOOKUP(A34,'[1]00'!A$1:C$65536,3,0)</f>
        <v>PKX6000(1)</v>
      </c>
    </row>
    <row r="35" spans="1:4" ht="15.75" thickTop="1" thickBot="1">
      <c r="A35" s="95">
        <v>270043</v>
      </c>
      <c r="B35" s="95">
        <v>1082518</v>
      </c>
      <c r="C35" s="96" t="str">
        <f>VLOOKUP(A35,'[1]00'!A$1:C$65536,2,0)</f>
        <v>DJS601(1)出片</v>
      </c>
      <c r="D35" s="96" t="str">
        <f>VLOOKUP(A35,'[1]00'!A$1:C$65536,3,0)</f>
        <v>WIN60(1)出片</v>
      </c>
    </row>
    <row r="36" spans="1:4" ht="15.75" thickTop="1" thickBot="1">
      <c r="A36" s="95">
        <v>270148</v>
      </c>
      <c r="B36" s="95">
        <v>1082519</v>
      </c>
      <c r="C36" s="96" t="str">
        <f>VLOOKUP(A36,'[1]00'!A$1:C$65536,2,0)</f>
        <v>DJS502(1)出片</v>
      </c>
      <c r="D36" s="96" t="str">
        <f>VLOOKUP(A36,'[1]00'!A$1:C$65536,3,0)</f>
        <v>DJS502(1)出片</v>
      </c>
    </row>
    <row r="37" spans="1:4" ht="15.75" thickTop="1" thickBot="1">
      <c r="A37" s="95">
        <v>270041</v>
      </c>
      <c r="B37" s="95">
        <v>1082520</v>
      </c>
      <c r="C37" s="96" t="str">
        <f>VLOOKUP(A37,'[1]00'!A$1:C$65536,2,0)</f>
        <v>DJS401(1)</v>
      </c>
      <c r="D37" s="96" t="str">
        <f>VLOOKUP(A37,'[1]00'!A$1:C$65536,3,0)</f>
        <v>TOGO40(1)</v>
      </c>
    </row>
    <row r="38" spans="1:4" ht="15.75" thickTop="1" thickBot="1">
      <c r="A38" s="95">
        <v>270032</v>
      </c>
      <c r="B38" s="95">
        <v>1082521</v>
      </c>
      <c r="C38" s="96" t="str">
        <f>VLOOKUP(A38,'[1]00'!A$1:C$65536,2,0)</f>
        <v>SJS191(1)</v>
      </c>
      <c r="D38" s="96" t="str">
        <f>VLOOKUP(A38,'[1]00'!A$1:C$65536,3,0)</f>
        <v>SP.KY-55(1)</v>
      </c>
    </row>
    <row r="39" spans="1:4" ht="15.75" thickTop="1" thickBot="1">
      <c r="A39" s="95">
        <v>270098</v>
      </c>
      <c r="B39" s="95">
        <v>1082522</v>
      </c>
      <c r="C39" s="96" t="str">
        <f>VLOOKUP(A39,'[1]00'!A$1:C$65536,2,0)</f>
        <v>DJS601薄片</v>
      </c>
      <c r="D39" s="96" t="str">
        <f>VLOOKUP(A39,'[1]00'!A$1:C$65536,3,0)</f>
        <v>WIN60薄片</v>
      </c>
    </row>
    <row r="40" spans="1:4" ht="15.75" thickTop="1" thickBot="1">
      <c r="A40" s="95">
        <v>270309</v>
      </c>
      <c r="B40" s="95">
        <v>1082523</v>
      </c>
      <c r="C40" s="96" t="str">
        <f>VLOOKUP(A40,'[1]00'!A$1:C$65536,2,0)</f>
        <v>SES404(0)</v>
      </c>
      <c r="D40" s="96" t="str">
        <f>VLOOKUP(A40,'[1]00'!A$1:C$65536,3,0)</f>
        <v>SES404(0)</v>
      </c>
    </row>
    <row r="41" spans="1:4" ht="15.75" thickTop="1" thickBot="1">
      <c r="A41" s="95">
        <v>270008</v>
      </c>
      <c r="B41" s="95">
        <v>1082524</v>
      </c>
      <c r="C41" s="96" t="str">
        <f>VLOOKUP(A41,'[1]00'!A$1:C$65536,2,0)</f>
        <v>SES431(0)</v>
      </c>
      <c r="D41" s="96" t="str">
        <f>VLOOKUP(A41,'[1]00'!A$1:C$65536,3,0)</f>
        <v>SES431(0)</v>
      </c>
    </row>
    <row r="42" spans="1:4" ht="15.75" thickTop="1" thickBot="1">
      <c r="A42" s="95">
        <v>270005</v>
      </c>
      <c r="B42" s="95">
        <v>1082525</v>
      </c>
      <c r="C42" s="96" t="str">
        <f>VLOOKUP(A42,'[1]00'!A$1:C$65536,2,0)</f>
        <v>SES381(0)</v>
      </c>
      <c r="D42" s="96" t="str">
        <f>VLOOKUP(A42,'[1]00'!A$1:C$65536,3,0)</f>
        <v>SES381(0)</v>
      </c>
    </row>
    <row r="43" spans="1:4" ht="15.75" thickTop="1" thickBot="1">
      <c r="A43" s="95">
        <v>270141</v>
      </c>
      <c r="B43" s="95">
        <v>1082526</v>
      </c>
      <c r="C43" s="96" t="str">
        <f>VLOOKUP(A43,'[1]00'!A$1:C$65536,2,0)</f>
        <v>SES322(0)</v>
      </c>
      <c r="D43" s="96" t="str">
        <f>VLOOKUP(A43,'[1]00'!A$1:C$65536,3,0)</f>
        <v>SES322(0)</v>
      </c>
    </row>
    <row r="44" spans="1:4" ht="15.75" thickTop="1" thickBot="1">
      <c r="A44" s="95">
        <v>270140</v>
      </c>
      <c r="B44" s="95">
        <v>1082527</v>
      </c>
      <c r="C44" s="96" t="str">
        <f>VLOOKUP(A44,'[1]00'!A$1:C$65536,2,0)</f>
        <v>SES401外发(0)</v>
      </c>
      <c r="D44" s="96" t="str">
        <f>VLOOKUP(A44,'[1]00'!A$1:C$65536,3,0)</f>
        <v>SES401外发(0)</v>
      </c>
    </row>
    <row r="45" spans="1:4" ht="15.75" thickTop="1" thickBot="1">
      <c r="A45" s="95">
        <v>270278</v>
      </c>
      <c r="B45" s="95">
        <v>1082528</v>
      </c>
      <c r="C45" s="96" t="str">
        <f>VLOOKUP(A45,'[1]00'!A$1:C$65536,2,0)</f>
        <v>SES401(0)二段</v>
      </c>
      <c r="D45" s="96" t="str">
        <f>VLOOKUP(A45,'[1]00'!A$1:C$65536,3,0)</f>
        <v>SES401(0)二段</v>
      </c>
    </row>
    <row r="46" spans="1:4" ht="15.75" thickTop="1" thickBot="1">
      <c r="A46" s="95">
        <v>270065</v>
      </c>
      <c r="B46" s="95">
        <v>1082529</v>
      </c>
      <c r="C46" s="96" t="str">
        <f>VLOOKUP(A46,'[1]00'!A$1:C$65536,2,0)</f>
        <v>DJS851(0)</v>
      </c>
      <c r="D46" s="96" t="str">
        <f>VLOOKUP(A46,'[1]00'!A$1:C$65536,3,0)</f>
        <v>WIN85(0)</v>
      </c>
    </row>
    <row r="47" spans="1:4" ht="15.75" thickTop="1" thickBot="1">
      <c r="A47" s="95">
        <v>270001</v>
      </c>
      <c r="B47" s="95">
        <v>1082530</v>
      </c>
      <c r="C47" s="96" t="str">
        <f>VLOOKUP(A47,'[1]00'!A$1:C$65536,2,0)</f>
        <v>DES951(0)</v>
      </c>
      <c r="D47" s="96" t="str">
        <f>VLOOKUP(A47,'[1]00'!A$1:C$65536,3,0)</f>
        <v>BF95(0)</v>
      </c>
    </row>
    <row r="48" spans="1:4" ht="15.75" thickTop="1" thickBot="1">
      <c r="A48" s="95">
        <v>270002</v>
      </c>
      <c r="B48" s="95">
        <v>1082531</v>
      </c>
      <c r="C48" s="96" t="str">
        <f>VLOOKUP(A48,'[1]00'!A$1:C$65536,2,0)</f>
        <v>DES952(0)</v>
      </c>
      <c r="D48" s="96" t="str">
        <f>VLOOKUP(A48,'[1]00'!A$1:C$65536,3,0)</f>
        <v>LCS95(0)</v>
      </c>
    </row>
    <row r="49" spans="1:4" ht="15.75" thickTop="1" thickBot="1">
      <c r="A49" s="95">
        <v>270068</v>
      </c>
      <c r="B49" s="95">
        <v>1082532</v>
      </c>
      <c r="C49" s="96" t="str">
        <f>VLOOKUP(A49,'[1]00'!A$1:C$65536,2,0)</f>
        <v>DES602(0)</v>
      </c>
      <c r="D49" s="96" t="str">
        <f>VLOOKUP(A49,'[1]00'!A$1:C$65536,3,0)</f>
        <v>CIS60(0)</v>
      </c>
    </row>
    <row r="50" spans="1:4" ht="15.75" thickTop="1" thickBot="1">
      <c r="A50" s="95">
        <v>270011</v>
      </c>
      <c r="B50" s="95">
        <v>1082533</v>
      </c>
      <c r="C50" s="96" t="str">
        <f>VLOOKUP(A50,'[1]00'!A$1:C$65536,2,0)</f>
        <v>DJS601(0)</v>
      </c>
      <c r="D50" s="96" t="str">
        <f>VLOOKUP(A50,'[1]00'!A$1:C$65536,3,0)</f>
        <v>WIN60(0)</v>
      </c>
    </row>
    <row r="51" spans="1:4" ht="15.75" thickTop="1" thickBot="1">
      <c r="A51" s="95">
        <v>270012</v>
      </c>
      <c r="B51" s="95">
        <v>1082534</v>
      </c>
      <c r="C51" s="96" t="str">
        <f>VLOOKUP(A51,'[1]00'!A$1:C$65536,2,0)</f>
        <v>DJM601(0)</v>
      </c>
      <c r="D51" s="96" t="str">
        <f>VLOOKUP(A51,'[1]00'!A$1:C$65536,3,0)</f>
        <v>PKX6000(0)</v>
      </c>
    </row>
    <row r="52" spans="1:4" ht="15.75" thickTop="1" thickBot="1">
      <c r="A52" s="95">
        <v>270014</v>
      </c>
      <c r="B52" s="95">
        <v>1082535</v>
      </c>
      <c r="C52" s="96" t="str">
        <f>VLOOKUP(A52,'[1]00'!A$1:C$65536,2,0)</f>
        <v>DJS751(0)</v>
      </c>
      <c r="D52" s="96" t="str">
        <f>VLOOKUP(A52,'[1]00'!A$1:C$65536,3,0)</f>
        <v>WIN75(0)</v>
      </c>
    </row>
    <row r="53" spans="1:4" ht="15.75" thickTop="1" thickBot="1">
      <c r="A53" s="95">
        <v>270015</v>
      </c>
      <c r="B53" s="95">
        <v>1082536</v>
      </c>
      <c r="C53" s="96" t="str">
        <f>VLOOKUP(A53,'[1]00'!A$1:C$65536,2,0)</f>
        <v>DJS801(0)</v>
      </c>
      <c r="D53" s="96" t="str">
        <f>VLOOKUP(A53,'[1]00'!A$1:C$65536,3,0)</f>
        <v>RCS80(0)</v>
      </c>
    </row>
    <row r="54" spans="1:4" ht="15.75" thickTop="1" thickBot="1">
      <c r="A54" s="95">
        <v>270016</v>
      </c>
      <c r="B54" s="95">
        <v>1082537</v>
      </c>
      <c r="C54" s="96" t="str">
        <f>VLOOKUP(A54,'[1]00'!A$1:C$65536,2,0)</f>
        <v>DJS802(0)</v>
      </c>
      <c r="D54" s="96" t="str">
        <f>VLOOKUP(A54,'[1]00'!A$1:C$65536,3,0)</f>
        <v>WIN80(0)</v>
      </c>
    </row>
    <row r="55" spans="1:4" ht="15.75" thickTop="1" thickBot="1">
      <c r="A55" s="95">
        <v>270128</v>
      </c>
      <c r="B55" s="95">
        <v>1082538</v>
      </c>
      <c r="C55" s="96" t="str">
        <f>VLOOKUP(A55,'[1]00'!A$1:C$65536,2,0)</f>
        <v>DJS401(0)</v>
      </c>
      <c r="D55" s="96" t="str">
        <f>VLOOKUP(A55,'[1]00'!A$1:C$65536,3,0)</f>
        <v>DJS401(0)</v>
      </c>
    </row>
    <row r="56" spans="1:4" ht="15.75" thickTop="1" thickBot="1">
      <c r="A56" s="95">
        <v>270142</v>
      </c>
      <c r="B56" s="95">
        <v>1082539</v>
      </c>
      <c r="C56" s="96" t="str">
        <f>VLOOKUP(A56,'[1]00'!A$1:C$65536,2,0)</f>
        <v>DJS702(0)</v>
      </c>
      <c r="D56" s="96" t="str">
        <f>VLOOKUP(A56,'[1]00'!A$1:C$65536,3,0)</f>
        <v>DJS702(0)</v>
      </c>
    </row>
    <row r="57" spans="1:4" ht="15.75" thickTop="1" thickBot="1">
      <c r="A57" s="134">
        <v>270127</v>
      </c>
      <c r="B57" s="95">
        <v>1082540</v>
      </c>
      <c r="C57" s="96" t="str">
        <f>VLOOKUP(A57,'[1]00'!A$1:C$65536,2,0)</f>
        <v>SJS191(0)</v>
      </c>
      <c r="D57" s="96" t="str">
        <f>VLOOKUP(A57,'[1]00'!A$1:C$65536,3,0)</f>
        <v>SP.KY-55(0)</v>
      </c>
    </row>
    <row r="58" spans="1:4" ht="15.75" thickTop="1" thickBot="1">
      <c r="A58" s="95">
        <v>270138</v>
      </c>
      <c r="B58" s="95">
        <v>1082541</v>
      </c>
      <c r="C58" s="96" t="str">
        <f>VLOOKUP(A58,'[1]00'!A$1:C$65536,2,0)</f>
        <v>SEC291(0)</v>
      </c>
      <c r="D58" s="96" t="str">
        <f>VLOOKUP(A58,'[1]00'!A$1:C$65536,3,0)</f>
        <v>SEC291(0)</v>
      </c>
    </row>
    <row r="59" spans="1:4" ht="15.75" thickTop="1" thickBot="1">
      <c r="A59" s="95">
        <v>270006</v>
      </c>
      <c r="B59" s="95">
        <v>1082542</v>
      </c>
      <c r="C59" s="96" t="str">
        <f>VLOOKUP(A59,'[1]00'!A$1:C$65536,2,0)</f>
        <v>SES371(0)</v>
      </c>
      <c r="D59" s="96" t="str">
        <f>VLOOKUP(A59,'[1]00'!A$1:C$65536,3,0)</f>
        <v>SP.SCM(0)</v>
      </c>
    </row>
    <row r="60" spans="1:4" ht="15.75" thickTop="1" thickBot="1">
      <c r="A60" s="95">
        <v>270004</v>
      </c>
      <c r="B60" s="95">
        <v>1082543</v>
      </c>
      <c r="C60" s="96" t="str">
        <f>VLOOKUP(A60,'[1]00'!A$1:C$65536,2,0)</f>
        <v>SES311(0)</v>
      </c>
      <c r="D60" s="96" t="str">
        <f>VLOOKUP(A60,'[1]00'!A$1:C$65536,3,0)</f>
        <v>SP.CAMO(0)</v>
      </c>
    </row>
    <row r="61" spans="1:4" ht="15.75" thickTop="1" thickBot="1">
      <c r="A61" s="95">
        <v>270247</v>
      </c>
      <c r="B61" s="95">
        <v>1082544</v>
      </c>
      <c r="C61" s="96" t="str">
        <f>VLOOKUP(A61,'[1]00'!A$1:C$65536,2,0)</f>
        <v>CES300(0)</v>
      </c>
      <c r="D61" s="96" t="str">
        <f>VLOOKUP(A61,'[1]00'!A$1:C$65536,3,0)</f>
        <v>CES300(0)</v>
      </c>
    </row>
    <row r="62" spans="1:4" ht="15.75" thickTop="1" thickBot="1">
      <c r="A62" s="95">
        <v>270533</v>
      </c>
      <c r="B62" s="95">
        <v>1082545</v>
      </c>
      <c r="C62" s="96" t="str">
        <f>VLOOKUP(A62,'[1]00'!A$1:C$65536,2,0)</f>
        <v>DJS805(1)</v>
      </c>
      <c r="D62" s="96" t="str">
        <f>VLOOKUP(A62,'[1]00'!A$1:C$65536,3,0)</f>
        <v>DJS805(1)</v>
      </c>
    </row>
    <row r="63" spans="1:4" ht="15.75" thickTop="1" thickBot="1">
      <c r="A63" s="135">
        <v>270427</v>
      </c>
      <c r="B63" s="95">
        <v>1082546</v>
      </c>
      <c r="C63" s="96" t="str">
        <f>VLOOKUP(A63,'[1]00'!A$1:C$65536,2,0)</f>
        <v>DEC651(1)</v>
      </c>
      <c r="D63" s="96" t="str">
        <f>VLOOKUP(A63,'[1]00'!A$1:C$65536,3,0)</f>
        <v>DEC651(1)</v>
      </c>
    </row>
    <row r="64" spans="1:4" ht="15.75" thickTop="1" thickBot="1">
      <c r="A64" s="135">
        <v>270183</v>
      </c>
      <c r="B64" s="95">
        <v>1082547</v>
      </c>
      <c r="C64" s="96" t="e">
        <f>VLOOKUP(A64,'[1]00'!A$1:C$65536,2,0)</f>
        <v>#N/A</v>
      </c>
      <c r="D64" s="96" t="e">
        <f>VLOOKUP(A64,'[1]00'!A$1:C$65536,3,0)</f>
        <v>#N/A</v>
      </c>
    </row>
    <row r="65" spans="1:4" ht="15.75" thickTop="1" thickBot="1">
      <c r="A65" s="135">
        <v>270184</v>
      </c>
      <c r="B65" s="135">
        <v>1082548</v>
      </c>
      <c r="C65" s="96" t="e">
        <f>VLOOKUP(A65,'[1]00'!A$1:C$65536,2,0)</f>
        <v>#N/A</v>
      </c>
      <c r="D65" s="96" t="e">
        <f>VLOOKUP(A65,'[1]00'!A$1:C$65536,3,0)</f>
        <v>#N/A</v>
      </c>
    </row>
    <row r="66" spans="1:4" ht="15.75" thickTop="1" thickBot="1">
      <c r="A66" s="135">
        <v>270541</v>
      </c>
      <c r="B66" s="135">
        <v>1082549</v>
      </c>
      <c r="C66" s="96" t="e">
        <f>VLOOKUP(A66,'[1]00'!A$1:C$65536,2,0)</f>
        <v>#N/A</v>
      </c>
      <c r="D66" s="96" t="e">
        <f>VLOOKUP(A66,'[1]00'!A$1:C$65536,3,0)</f>
        <v>#N/A</v>
      </c>
    </row>
    <row r="67" spans="1:4" ht="15.75" thickTop="1" thickBot="1">
      <c r="A67" s="135">
        <v>270542</v>
      </c>
      <c r="B67" s="135">
        <v>1082550</v>
      </c>
      <c r="C67" s="96" t="e">
        <f>VLOOKUP(A67,'[1]00'!A$1:C$65536,2,0)</f>
        <v>#N/A</v>
      </c>
      <c r="D67" s="96" t="e">
        <f>VLOOKUP(A67,'[1]00'!A$1:C$65536,3,0)</f>
        <v>#N/A</v>
      </c>
    </row>
    <row r="68" spans="1:4" ht="15.75" thickTop="1" thickBot="1">
      <c r="A68" s="135">
        <v>270390</v>
      </c>
      <c r="B68" s="135">
        <v>1082551</v>
      </c>
      <c r="C68" s="96" t="e">
        <f>VLOOKUP(A68,'[1]00'!A$1:C$65536,2,0)</f>
        <v>#N/A</v>
      </c>
      <c r="D68" s="96" t="e">
        <f>VLOOKUP(A68,'[1]00'!A$1:C$65536,3,0)</f>
        <v>#N/A</v>
      </c>
    </row>
    <row r="69" spans="1:4" ht="15.75" thickTop="1" thickBot="1">
      <c r="A69" s="135">
        <v>270391</v>
      </c>
      <c r="B69" s="135">
        <v>1082552</v>
      </c>
      <c r="C69" s="96" t="e">
        <f>VLOOKUP(A69,'[1]00'!A$1:C$65536,2,0)</f>
        <v>#N/A</v>
      </c>
      <c r="D69" s="96" t="e">
        <f>VLOOKUP(A69,'[1]00'!A$1:C$65536,3,0)</f>
        <v>#N/A</v>
      </c>
    </row>
    <row r="70" spans="1:4" ht="15.75" thickTop="1" thickBot="1">
      <c r="A70" s="229">
        <v>270468</v>
      </c>
      <c r="B70" s="230">
        <v>1082553</v>
      </c>
      <c r="C70" s="96" t="e">
        <f>VLOOKUP(A70,'[1]00'!A$1:C$65536,2,0)</f>
        <v>#N/A</v>
      </c>
      <c r="D70" s="96" t="e">
        <f>VLOOKUP(A70,'[1]00'!A$1:C$65536,3,0)</f>
        <v>#N/A</v>
      </c>
    </row>
    <row r="71" spans="1:4" ht="15.75" thickTop="1" thickBot="1">
      <c r="A71" s="229">
        <v>270469</v>
      </c>
      <c r="B71" s="230">
        <v>1082554</v>
      </c>
      <c r="C71" s="96" t="e">
        <f>VLOOKUP(A71,'[1]00'!A$1:C$65536,2,0)</f>
        <v>#N/A</v>
      </c>
      <c r="D71" s="96" t="e">
        <f>VLOOKUP(A71,'[1]00'!A$1:C$65536,3,0)</f>
        <v>#N/A</v>
      </c>
    </row>
    <row r="72" spans="1:4" ht="15.75" thickTop="1" thickBot="1">
      <c r="A72" s="229">
        <v>270343</v>
      </c>
      <c r="B72" s="230">
        <v>1082555</v>
      </c>
      <c r="C72" s="96" t="e">
        <f>VLOOKUP(A72,'[1]00'!A$1:C$65536,2,0)</f>
        <v>#N/A</v>
      </c>
      <c r="D72" s="96" t="e">
        <f>VLOOKUP(A72,'[1]00'!A$1:C$65536,3,0)</f>
        <v>#N/A</v>
      </c>
    </row>
    <row r="73" spans="1:4" ht="15.75" thickTop="1" thickBot="1">
      <c r="A73" s="2">
        <v>270344</v>
      </c>
      <c r="B73" s="2">
        <v>1082556</v>
      </c>
      <c r="C73" s="96" t="e">
        <f>VLOOKUP(A73,'[1]00'!A$1:C$65536,2,0)</f>
        <v>#N/A</v>
      </c>
      <c r="D73" s="96" t="e">
        <f>VLOOKUP(A73,'[1]00'!A$1:C$65536,3,0)</f>
        <v>#N/A</v>
      </c>
    </row>
    <row r="74" spans="1:4" ht="15.75" thickTop="1" thickBot="1">
      <c r="A74" s="2">
        <v>270457</v>
      </c>
      <c r="B74" s="2">
        <v>1082557</v>
      </c>
      <c r="C74" s="96" t="e">
        <f>VLOOKUP(A74,'[1]00'!A$1:C$65536,2,0)</f>
        <v>#N/A</v>
      </c>
      <c r="D74" s="96" t="e">
        <f>VLOOKUP(A74,'[1]00'!A$1:C$65536,3,0)</f>
        <v>#N/A</v>
      </c>
    </row>
    <row r="75" spans="1:4" ht="15.75" thickTop="1" thickBot="1">
      <c r="A75" s="2">
        <v>270458</v>
      </c>
      <c r="B75" s="2">
        <v>1082558</v>
      </c>
      <c r="C75" s="96" t="e">
        <f>VLOOKUP(A75,'[1]00'!A$1:C$65536,2,0)</f>
        <v>#N/A</v>
      </c>
      <c r="D75" s="96" t="e">
        <f>VLOOKUP(A75,'[1]00'!A$1:C$65536,3,0)</f>
        <v>#N/A</v>
      </c>
    </row>
    <row r="76" spans="1:4" ht="15.75" thickTop="1" thickBot="1">
      <c r="A76" s="2">
        <v>270522</v>
      </c>
      <c r="B76" s="2">
        <v>1082559</v>
      </c>
      <c r="C76" s="96" t="e">
        <f>VLOOKUP(A76,'[1]00'!A$1:C$65536,2,0)</f>
        <v>#N/A</v>
      </c>
      <c r="D76" s="96" t="e">
        <f>VLOOKUP(A76,'[1]00'!A$1:C$65536,3,0)</f>
        <v>#N/A</v>
      </c>
    </row>
    <row r="77" spans="1:4" ht="15.75" thickTop="1" thickBot="1">
      <c r="A77" s="2">
        <v>270523</v>
      </c>
      <c r="B77" s="2">
        <v>1082560</v>
      </c>
      <c r="C77" s="96" t="e">
        <f>VLOOKUP(A77,'[1]00'!A$1:C$65536,2,0)</f>
        <v>#N/A</v>
      </c>
      <c r="D77" s="96" t="e">
        <f>VLOOKUP(A77,'[1]00'!A$1:C$65536,3,0)</f>
        <v>#N/A</v>
      </c>
    </row>
    <row r="78" spans="1:4" ht="15.75" thickTop="1" thickBot="1">
      <c r="A78" s="135"/>
      <c r="B78" s="135"/>
      <c r="C78" s="96" t="e">
        <f>VLOOKUP(A78,'[1]00'!A$1:C$65536,2,0)</f>
        <v>#N/A</v>
      </c>
      <c r="D78" s="96" t="e">
        <f>VLOOKUP(A78,'[1]00'!A$1:C$65536,3,0)</f>
        <v>#N/A</v>
      </c>
    </row>
    <row r="79" spans="1:4" ht="15.75" thickTop="1" thickBot="1">
      <c r="C79" s="96" t="e">
        <f>VLOOKUP(A79,'[1]00'!A$1:C$65536,2,0)</f>
        <v>#N/A</v>
      </c>
      <c r="D79" s="96" t="e">
        <f>VLOOKUP(A79,'[1]00'!A$1:C$65536,3,0)</f>
        <v>#N/A</v>
      </c>
    </row>
    <row r="80" spans="1:4" ht="15.75" thickTop="1" thickBot="1">
      <c r="C80" s="96" t="e">
        <f>VLOOKUP(A80,'[1]00'!A$1:C$65536,2,0)</f>
        <v>#N/A</v>
      </c>
      <c r="D80" s="96" t="e">
        <f>VLOOKUP(A80,'[1]00'!A$1:C$65536,3,0)</f>
        <v>#N/A</v>
      </c>
    </row>
    <row r="81" ht="12.75" thickTop="1"/>
  </sheetData>
  <phoneticPr fontId="2" type="noConversion"/>
  <printOptions horizontalCentered="1"/>
  <pageMargins left="0" right="0" top="0" bottom="0" header="0.23622047244094491" footer="0.23622047244094491"/>
  <pageSetup paperSize="9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A1:H151"/>
  <sheetViews>
    <sheetView showGridLines="0" showZeros="0" topLeftCell="A112" workbookViewId="0">
      <selection activeCell="H9" sqref="H9"/>
    </sheetView>
  </sheetViews>
  <sheetFormatPr defaultColWidth="10" defaultRowHeight="12"/>
  <cols>
    <col min="1" max="1" width="9.140625" style="2" bestFit="1" customWidth="1"/>
    <col min="2" max="2" width="25.140625" style="2" bestFit="1" customWidth="1"/>
    <col min="3" max="3" width="16.140625" style="2" customWidth="1"/>
    <col min="4" max="4" width="9.140625" style="2" customWidth="1"/>
    <col min="5" max="7" width="9.7109375" style="2" customWidth="1"/>
    <col min="8" max="8" width="9.7109375" style="4" customWidth="1"/>
    <col min="9" max="16384" width="10" style="4"/>
  </cols>
  <sheetData>
    <row r="1" spans="1:8">
      <c r="A1" s="1" t="s">
        <v>227</v>
      </c>
      <c r="B1" s="1" t="s">
        <v>222</v>
      </c>
      <c r="C1" s="1" t="s">
        <v>162</v>
      </c>
      <c r="D1" s="1" t="s">
        <v>228</v>
      </c>
      <c r="E1" s="168" t="s">
        <v>229</v>
      </c>
      <c r="F1" s="168" t="s">
        <v>230</v>
      </c>
      <c r="G1" s="169" t="s">
        <v>229</v>
      </c>
      <c r="H1" s="169" t="s">
        <v>230</v>
      </c>
    </row>
    <row r="2" spans="1:8">
      <c r="A2" s="150">
        <v>270049</v>
      </c>
      <c r="B2" s="151" t="s">
        <v>37</v>
      </c>
      <c r="C2" s="151" t="s">
        <v>37</v>
      </c>
      <c r="D2" s="150" t="e">
        <f>VLOOKUP(A2,[1]订单!A$1:C$65536,2,0)</f>
        <v>#N/A</v>
      </c>
      <c r="E2" s="170">
        <v>32</v>
      </c>
      <c r="F2" s="171">
        <v>30</v>
      </c>
      <c r="G2" s="172">
        <v>32.01</v>
      </c>
      <c r="H2" s="173">
        <v>30</v>
      </c>
    </row>
    <row r="3" spans="1:8">
      <c r="A3" s="150">
        <v>270050</v>
      </c>
      <c r="B3" s="151" t="s">
        <v>3</v>
      </c>
      <c r="C3" s="151" t="s">
        <v>3</v>
      </c>
      <c r="D3" s="150" t="e">
        <f>VLOOKUP(A3,[1]订单!A$1:C$65536,2,0)</f>
        <v>#N/A</v>
      </c>
      <c r="E3" s="170">
        <v>32.5</v>
      </c>
      <c r="F3" s="171">
        <v>30</v>
      </c>
      <c r="G3" s="172">
        <v>32.43</v>
      </c>
      <c r="H3" s="173">
        <v>30</v>
      </c>
    </row>
    <row r="4" spans="1:8">
      <c r="A4" s="152">
        <v>270051</v>
      </c>
      <c r="B4" s="153" t="s">
        <v>72</v>
      </c>
      <c r="C4" s="153" t="s">
        <v>72</v>
      </c>
      <c r="D4" s="152" t="e">
        <f>VLOOKUP(A4,[1]订单!A$1:C$65536,2,0)</f>
        <v>#N/A</v>
      </c>
      <c r="E4" s="170">
        <v>32</v>
      </c>
      <c r="F4" s="171">
        <v>30</v>
      </c>
      <c r="G4" s="174"/>
      <c r="H4" s="175">
        <v>30</v>
      </c>
    </row>
    <row r="5" spans="1:8">
      <c r="A5" s="152">
        <v>270052</v>
      </c>
      <c r="B5" s="153" t="s">
        <v>4</v>
      </c>
      <c r="C5" s="153" t="s">
        <v>4</v>
      </c>
      <c r="D5" s="152" t="e">
        <f>VLOOKUP(A5,[1]订单!A$1:C$65536,2,0)</f>
        <v>#N/A</v>
      </c>
      <c r="E5" s="170">
        <v>32</v>
      </c>
      <c r="F5" s="171">
        <v>30</v>
      </c>
      <c r="G5" s="174"/>
      <c r="H5" s="175">
        <v>30</v>
      </c>
    </row>
    <row r="6" spans="1:8">
      <c r="A6" s="152">
        <v>270053</v>
      </c>
      <c r="B6" s="153" t="s">
        <v>5</v>
      </c>
      <c r="C6" s="153" t="s">
        <v>5</v>
      </c>
      <c r="D6" s="152" t="e">
        <f>VLOOKUP(A6,[1]订单!A$1:C$65536,2,0)</f>
        <v>#N/A</v>
      </c>
      <c r="E6" s="170">
        <v>32</v>
      </c>
      <c r="F6" s="171">
        <v>30</v>
      </c>
      <c r="G6" s="174"/>
      <c r="H6" s="175">
        <v>30</v>
      </c>
    </row>
    <row r="7" spans="1:8">
      <c r="A7" s="152">
        <v>270054</v>
      </c>
      <c r="B7" s="153" t="s">
        <v>73</v>
      </c>
      <c r="C7" s="153" t="s">
        <v>73</v>
      </c>
      <c r="D7" s="152" t="e">
        <f>VLOOKUP(A7,[1]订单!A$1:C$65536,2,0)</f>
        <v>#N/A</v>
      </c>
      <c r="E7" s="170">
        <v>32</v>
      </c>
      <c r="F7" s="171">
        <v>30</v>
      </c>
      <c r="G7" s="174"/>
      <c r="H7" s="175">
        <v>30</v>
      </c>
    </row>
    <row r="8" spans="1:8">
      <c r="A8" s="152">
        <v>270056</v>
      </c>
      <c r="B8" s="153" t="s">
        <v>6</v>
      </c>
      <c r="C8" s="153" t="s">
        <v>6</v>
      </c>
      <c r="D8" s="152" t="e">
        <f>VLOOKUP(A8,[1]订单!A$1:C$65536,2,0)</f>
        <v>#N/A</v>
      </c>
      <c r="E8" s="170">
        <v>32</v>
      </c>
      <c r="F8" s="171">
        <v>30</v>
      </c>
      <c r="G8" s="174"/>
      <c r="H8" s="175">
        <v>30</v>
      </c>
    </row>
    <row r="9" spans="1:8">
      <c r="A9" s="150">
        <v>270057</v>
      </c>
      <c r="B9" s="151" t="s">
        <v>7</v>
      </c>
      <c r="C9" s="151" t="s">
        <v>7</v>
      </c>
      <c r="D9" s="150">
        <f>VLOOKUP(A9,[1]订单!A$1:C$65536,2,0)</f>
        <v>1082502</v>
      </c>
      <c r="E9" s="170">
        <v>32</v>
      </c>
      <c r="F9" s="171">
        <v>30</v>
      </c>
      <c r="G9" s="172">
        <v>32.06</v>
      </c>
      <c r="H9" s="173">
        <v>30</v>
      </c>
    </row>
    <row r="10" spans="1:8">
      <c r="A10" s="150">
        <v>270137</v>
      </c>
      <c r="B10" s="151" t="s">
        <v>74</v>
      </c>
      <c r="C10" s="151" t="s">
        <v>74</v>
      </c>
      <c r="D10" s="150" t="e">
        <f>VLOOKUP(A10,[1]订单!A$1:C$65536,2,0)</f>
        <v>#N/A</v>
      </c>
      <c r="E10" s="170">
        <v>32</v>
      </c>
      <c r="F10" s="171">
        <v>30</v>
      </c>
      <c r="G10" s="172">
        <v>32.04</v>
      </c>
      <c r="H10" s="173">
        <v>30</v>
      </c>
    </row>
    <row r="11" spans="1:8">
      <c r="A11" s="150">
        <v>270144</v>
      </c>
      <c r="B11" s="151" t="s">
        <v>75</v>
      </c>
      <c r="C11" s="151" t="s">
        <v>75</v>
      </c>
      <c r="D11" s="150" t="e">
        <f>VLOOKUP(A11,[1]订单!A$1:C$65536,2,0)</f>
        <v>#N/A</v>
      </c>
      <c r="E11" s="170">
        <v>33</v>
      </c>
      <c r="F11" s="171">
        <v>30</v>
      </c>
      <c r="G11" s="172">
        <v>32.869999999999997</v>
      </c>
      <c r="H11" s="173">
        <v>30</v>
      </c>
    </row>
    <row r="12" spans="1:8">
      <c r="A12" s="150">
        <v>270147</v>
      </c>
      <c r="B12" s="151" t="s">
        <v>76</v>
      </c>
      <c r="C12" s="151" t="s">
        <v>76</v>
      </c>
      <c r="D12" s="150" t="e">
        <f>VLOOKUP(A12,[1]订单!A$1:C$65536,2,0)</f>
        <v>#N/A</v>
      </c>
      <c r="E12" s="170">
        <v>32</v>
      </c>
      <c r="F12" s="171">
        <v>30</v>
      </c>
      <c r="G12" s="172">
        <v>32.01</v>
      </c>
      <c r="H12" s="173">
        <v>30</v>
      </c>
    </row>
    <row r="13" spans="1:8">
      <c r="A13" s="152">
        <v>270157</v>
      </c>
      <c r="B13" s="153" t="s">
        <v>77</v>
      </c>
      <c r="C13" s="153" t="s">
        <v>77</v>
      </c>
      <c r="D13" s="152" t="e">
        <f>VLOOKUP(A13,[1]订单!A$1:C$65536,2,0)</f>
        <v>#N/A</v>
      </c>
      <c r="E13" s="170">
        <v>32</v>
      </c>
      <c r="F13" s="171">
        <v>30</v>
      </c>
      <c r="G13" s="174"/>
      <c r="H13" s="175">
        <v>30</v>
      </c>
    </row>
    <row r="14" spans="1:8">
      <c r="A14" s="152">
        <v>270167</v>
      </c>
      <c r="B14" s="153" t="s">
        <v>78</v>
      </c>
      <c r="C14" s="153" t="s">
        <v>78</v>
      </c>
      <c r="D14" s="152" t="e">
        <f>VLOOKUP(A14,[1]订单!A$1:C$65536,2,0)</f>
        <v>#N/A</v>
      </c>
      <c r="E14" s="170">
        <v>32</v>
      </c>
      <c r="F14" s="171">
        <v>30</v>
      </c>
      <c r="G14" s="174"/>
      <c r="H14" s="175">
        <v>30</v>
      </c>
    </row>
    <row r="15" spans="1:8">
      <c r="A15" s="152">
        <v>270267</v>
      </c>
      <c r="B15" s="153" t="s">
        <v>79</v>
      </c>
      <c r="C15" s="153" t="s">
        <v>79</v>
      </c>
      <c r="D15" s="152" t="e">
        <f>VLOOKUP(A15,[1]订单!A$1:C$65536,2,0)</f>
        <v>#N/A</v>
      </c>
      <c r="E15" s="170">
        <v>32</v>
      </c>
      <c r="F15" s="171">
        <v>30</v>
      </c>
      <c r="G15" s="174"/>
      <c r="H15" s="175">
        <v>30</v>
      </c>
    </row>
    <row r="16" spans="1:8">
      <c r="A16" s="150">
        <v>270187</v>
      </c>
      <c r="B16" s="151" t="s">
        <v>80</v>
      </c>
      <c r="C16" s="151" t="s">
        <v>80</v>
      </c>
      <c r="D16" s="150" t="e">
        <f>VLOOKUP(A16,[1]订单!A$1:C$65536,2,0)</f>
        <v>#N/A</v>
      </c>
      <c r="E16" s="170">
        <v>33</v>
      </c>
      <c r="F16" s="171">
        <v>30</v>
      </c>
      <c r="G16" s="172">
        <v>32.82</v>
      </c>
      <c r="H16" s="173">
        <v>30</v>
      </c>
    </row>
    <row r="17" spans="1:8">
      <c r="A17" s="150">
        <v>270203</v>
      </c>
      <c r="B17" s="151" t="s">
        <v>81</v>
      </c>
      <c r="C17" s="151" t="s">
        <v>81</v>
      </c>
      <c r="D17" s="150" t="e">
        <f>VLOOKUP(A17,[1]订单!A$1:C$65536,2,0)</f>
        <v>#N/A</v>
      </c>
      <c r="E17" s="170">
        <v>32</v>
      </c>
      <c r="F17" s="171">
        <v>30</v>
      </c>
      <c r="G17" s="174"/>
      <c r="H17" s="175">
        <v>30</v>
      </c>
    </row>
    <row r="18" spans="1:8">
      <c r="A18" s="150">
        <v>270277</v>
      </c>
      <c r="B18" s="151" t="s">
        <v>82</v>
      </c>
      <c r="C18" s="151" t="s">
        <v>82</v>
      </c>
      <c r="D18" s="150" t="e">
        <f>VLOOKUP(A18,[1]订单!A$1:C$65536,2,0)</f>
        <v>#N/A</v>
      </c>
      <c r="E18" s="170">
        <v>32.5</v>
      </c>
      <c r="F18" s="171">
        <v>30</v>
      </c>
      <c r="G18" s="172">
        <v>32.67</v>
      </c>
      <c r="H18" s="173">
        <v>30</v>
      </c>
    </row>
    <row r="19" spans="1:8">
      <c r="A19" s="150">
        <v>270287</v>
      </c>
      <c r="B19" s="151" t="s">
        <v>83</v>
      </c>
      <c r="C19" s="151" t="s">
        <v>83</v>
      </c>
      <c r="D19" s="150" t="e">
        <f>VLOOKUP(A19,[1]订单!A$1:C$65536,2,0)</f>
        <v>#N/A</v>
      </c>
      <c r="E19" s="170">
        <v>33</v>
      </c>
      <c r="F19" s="171">
        <v>30</v>
      </c>
      <c r="G19" s="172">
        <v>33.28</v>
      </c>
      <c r="H19" s="173">
        <v>30</v>
      </c>
    </row>
    <row r="20" spans="1:8">
      <c r="A20" s="150">
        <v>270290</v>
      </c>
      <c r="B20" s="151" t="s">
        <v>84</v>
      </c>
      <c r="C20" s="151" t="s">
        <v>84</v>
      </c>
      <c r="D20" s="150" t="e">
        <f>VLOOKUP(A20,[1]订单!A$1:C$65536,2,0)</f>
        <v>#N/A</v>
      </c>
      <c r="E20" s="170">
        <v>32</v>
      </c>
      <c r="F20" s="171">
        <v>30</v>
      </c>
      <c r="G20" s="172">
        <v>32.03</v>
      </c>
      <c r="H20" s="173">
        <v>30</v>
      </c>
    </row>
    <row r="21" spans="1:8">
      <c r="A21" s="150">
        <v>270302</v>
      </c>
      <c r="B21" s="151" t="s">
        <v>85</v>
      </c>
      <c r="C21" s="151" t="s">
        <v>85</v>
      </c>
      <c r="D21" s="150" t="e">
        <f>VLOOKUP(A21,[1]订单!A$1:C$65536,2,0)</f>
        <v>#N/A</v>
      </c>
      <c r="E21" s="170">
        <v>32.5</v>
      </c>
      <c r="F21" s="171">
        <v>30</v>
      </c>
      <c r="G21" s="172">
        <v>32.75</v>
      </c>
      <c r="H21" s="173">
        <v>30</v>
      </c>
    </row>
    <row r="22" spans="1:8">
      <c r="A22" s="150">
        <v>270315</v>
      </c>
      <c r="B22" s="151" t="s">
        <v>70</v>
      </c>
      <c r="C22" s="151" t="s">
        <v>70</v>
      </c>
      <c r="D22" s="150" t="e">
        <f>VLOOKUP(A22,[1]订单!A$1:C$65536,2,0)</f>
        <v>#N/A</v>
      </c>
      <c r="E22" s="170">
        <v>32</v>
      </c>
      <c r="F22" s="171">
        <v>30</v>
      </c>
      <c r="G22" s="172">
        <v>31.88</v>
      </c>
      <c r="H22" s="173">
        <v>30</v>
      </c>
    </row>
    <row r="23" spans="1:8">
      <c r="A23" s="150">
        <v>270389</v>
      </c>
      <c r="B23" s="151" t="s">
        <v>86</v>
      </c>
      <c r="C23" s="151" t="s">
        <v>86</v>
      </c>
      <c r="D23" s="150" t="e">
        <f>VLOOKUP(A23,[1]订单!A$1:C$65536,2,0)</f>
        <v>#N/A</v>
      </c>
      <c r="E23" s="170">
        <v>32</v>
      </c>
      <c r="F23" s="171">
        <v>30</v>
      </c>
      <c r="G23" s="174"/>
      <c r="H23" s="175">
        <v>30</v>
      </c>
    </row>
    <row r="24" spans="1:8">
      <c r="A24" s="150">
        <v>270247</v>
      </c>
      <c r="B24" s="151" t="s">
        <v>87</v>
      </c>
      <c r="C24" s="151" t="s">
        <v>87</v>
      </c>
      <c r="D24" s="150">
        <f>VLOOKUP(A24,[1]订单!A$1:C$65536,2,0)</f>
        <v>1082544</v>
      </c>
      <c r="E24" s="170">
        <v>65</v>
      </c>
      <c r="F24" s="171">
        <v>25</v>
      </c>
      <c r="G24" s="172">
        <v>65.09</v>
      </c>
      <c r="H24" s="173">
        <v>30</v>
      </c>
    </row>
    <row r="25" spans="1:8">
      <c r="A25" s="150">
        <v>270069</v>
      </c>
      <c r="B25" s="151" t="s">
        <v>88</v>
      </c>
      <c r="C25" s="151" t="s">
        <v>88</v>
      </c>
      <c r="D25" s="150" t="e">
        <f>VLOOKUP(A25,[1]订单!A$1:C$65536,2,0)</f>
        <v>#N/A</v>
      </c>
      <c r="E25" s="170">
        <v>152</v>
      </c>
      <c r="F25" s="171">
        <v>6</v>
      </c>
      <c r="G25" s="172">
        <v>152</v>
      </c>
      <c r="H25" s="173">
        <v>6</v>
      </c>
    </row>
    <row r="26" spans="1:8">
      <c r="A26" s="150">
        <v>270070</v>
      </c>
      <c r="B26" s="151" t="s">
        <v>89</v>
      </c>
      <c r="C26" s="151" t="s">
        <v>89</v>
      </c>
      <c r="D26" s="150" t="e">
        <f>VLOOKUP(A26,[1]订单!A$1:C$65536,2,0)</f>
        <v>#N/A</v>
      </c>
      <c r="E26" s="170">
        <v>155</v>
      </c>
      <c r="F26" s="171">
        <v>6</v>
      </c>
      <c r="G26" s="172">
        <v>154.96</v>
      </c>
      <c r="H26" s="173">
        <v>6</v>
      </c>
    </row>
    <row r="27" spans="1:8">
      <c r="A27" s="150">
        <v>270061</v>
      </c>
      <c r="B27" s="151" t="s">
        <v>90</v>
      </c>
      <c r="C27" s="151" t="s">
        <v>163</v>
      </c>
      <c r="D27" s="150" t="e">
        <f>VLOOKUP(A27,[1]订单!A$1:C$65536,2,0)</f>
        <v>#N/A</v>
      </c>
      <c r="E27" s="170">
        <v>155</v>
      </c>
      <c r="F27" s="171">
        <v>5.2</v>
      </c>
      <c r="G27" s="172">
        <v>155.03</v>
      </c>
      <c r="H27" s="173">
        <v>5.5</v>
      </c>
    </row>
    <row r="28" spans="1:8">
      <c r="A28" s="150">
        <v>270018</v>
      </c>
      <c r="B28" s="151" t="s">
        <v>8</v>
      </c>
      <c r="C28" s="151" t="s">
        <v>164</v>
      </c>
      <c r="D28" s="150">
        <f>VLOOKUP(A28,[1]订单!A$1:C$65536,2,0)</f>
        <v>1082500</v>
      </c>
      <c r="E28" s="170">
        <v>165</v>
      </c>
      <c r="F28" s="171">
        <v>5.2</v>
      </c>
      <c r="G28" s="172">
        <v>164.85</v>
      </c>
      <c r="H28" s="173">
        <v>5.5</v>
      </c>
    </row>
    <row r="29" spans="1:8">
      <c r="A29" s="231">
        <v>270427</v>
      </c>
      <c r="B29" s="151" t="s">
        <v>71</v>
      </c>
      <c r="C29" s="151" t="s">
        <v>71</v>
      </c>
      <c r="D29" s="150">
        <f>VLOOKUP(A29,[1]订单!A$1:C$65536,2,0)</f>
        <v>1082546</v>
      </c>
      <c r="E29" s="170">
        <v>156</v>
      </c>
      <c r="F29" s="171">
        <v>6</v>
      </c>
      <c r="G29" s="174">
        <v>156</v>
      </c>
      <c r="H29" s="175">
        <v>5.5</v>
      </c>
    </row>
    <row r="30" spans="1:8">
      <c r="A30" s="150">
        <v>270062</v>
      </c>
      <c r="B30" s="151" t="s">
        <v>91</v>
      </c>
      <c r="C30" s="151" t="s">
        <v>91</v>
      </c>
      <c r="D30" s="150" t="e">
        <f>VLOOKUP(A30,[1]订单!A$1:C$65536,2,0)</f>
        <v>#N/A</v>
      </c>
      <c r="E30" s="170">
        <v>152</v>
      </c>
      <c r="F30" s="171">
        <v>5.5</v>
      </c>
      <c r="G30" s="172">
        <v>152.13999999999999</v>
      </c>
      <c r="H30" s="173">
        <v>5.5</v>
      </c>
    </row>
    <row r="31" spans="1:8">
      <c r="A31" s="150">
        <v>270020</v>
      </c>
      <c r="B31" s="151" t="s">
        <v>9</v>
      </c>
      <c r="C31" s="151" t="s">
        <v>165</v>
      </c>
      <c r="D31" s="150">
        <f>VLOOKUP(A31,[1]订单!A$1:C$65536,2,0)</f>
        <v>1082493</v>
      </c>
      <c r="E31" s="170">
        <v>160</v>
      </c>
      <c r="F31" s="171">
        <v>5.5</v>
      </c>
      <c r="G31" s="172">
        <v>159.96</v>
      </c>
      <c r="H31" s="173">
        <v>5.5</v>
      </c>
    </row>
    <row r="32" spans="1:8">
      <c r="A32" s="150">
        <v>270021</v>
      </c>
      <c r="B32" s="151" t="s">
        <v>10</v>
      </c>
      <c r="C32" s="151" t="s">
        <v>166</v>
      </c>
      <c r="D32" s="150" t="e">
        <f>VLOOKUP(A32,[1]订单!A$1:C$65536,2,0)</f>
        <v>#N/A</v>
      </c>
      <c r="E32" s="170">
        <v>155.5</v>
      </c>
      <c r="F32" s="171">
        <v>5.3</v>
      </c>
      <c r="G32" s="172">
        <v>155.56</v>
      </c>
      <c r="H32" s="173">
        <v>5.5</v>
      </c>
    </row>
    <row r="33" spans="1:8">
      <c r="A33" s="150">
        <v>270295</v>
      </c>
      <c r="B33" s="151" t="s">
        <v>92</v>
      </c>
      <c r="C33" s="151" t="s">
        <v>92</v>
      </c>
      <c r="D33" s="150">
        <f>VLOOKUP(A33,[1]订单!A$1:C$65536,2,0)</f>
        <v>1082495</v>
      </c>
      <c r="E33" s="170">
        <v>155.80000000000001</v>
      </c>
      <c r="F33" s="171">
        <v>5.5</v>
      </c>
      <c r="G33" s="172">
        <v>155.83000000000001</v>
      </c>
      <c r="H33" s="173">
        <v>5.5</v>
      </c>
    </row>
    <row r="34" spans="1:8">
      <c r="A34" s="150">
        <v>270292</v>
      </c>
      <c r="B34" s="151" t="s">
        <v>93</v>
      </c>
      <c r="C34" s="151" t="s">
        <v>93</v>
      </c>
      <c r="D34" s="150">
        <f>VLOOKUP(A34,[1]订单!A$1:C$65536,2,0)</f>
        <v>1082494</v>
      </c>
      <c r="E34" s="170">
        <v>156</v>
      </c>
      <c r="F34" s="171">
        <v>5.5</v>
      </c>
      <c r="G34" s="172">
        <v>156</v>
      </c>
      <c r="H34" s="173">
        <v>5.5</v>
      </c>
    </row>
    <row r="35" spans="1:8">
      <c r="A35" s="150">
        <v>270063</v>
      </c>
      <c r="B35" s="151" t="s">
        <v>94</v>
      </c>
      <c r="C35" s="151" t="s">
        <v>94</v>
      </c>
      <c r="D35" s="150" t="e">
        <f>VLOOKUP(A35,[1]订单!A$1:C$65536,2,0)</f>
        <v>#N/A</v>
      </c>
      <c r="E35" s="170">
        <v>150</v>
      </c>
      <c r="F35" s="171">
        <v>5.5</v>
      </c>
      <c r="G35" s="172">
        <v>149.94999999999999</v>
      </c>
      <c r="H35" s="173">
        <v>5.5</v>
      </c>
    </row>
    <row r="36" spans="1:8">
      <c r="A36" s="150">
        <v>270064</v>
      </c>
      <c r="B36" s="151" t="s">
        <v>95</v>
      </c>
      <c r="C36" s="151" t="s">
        <v>95</v>
      </c>
      <c r="D36" s="150" t="e">
        <f>VLOOKUP(A36,[1]订单!A$1:C$65536,2,0)</f>
        <v>#N/A</v>
      </c>
      <c r="E36" s="170">
        <v>150</v>
      </c>
      <c r="F36" s="171">
        <v>5.5</v>
      </c>
      <c r="G36" s="172">
        <v>150.13999999999999</v>
      </c>
      <c r="H36" s="173">
        <v>5.5</v>
      </c>
    </row>
    <row r="37" spans="1:8">
      <c r="A37" s="150">
        <v>270024</v>
      </c>
      <c r="B37" s="151" t="s">
        <v>11</v>
      </c>
      <c r="C37" s="151" t="s">
        <v>167</v>
      </c>
      <c r="D37" s="150">
        <f>VLOOKUP(A37,[1]订单!A$1:C$65536,2,0)</f>
        <v>1082491</v>
      </c>
      <c r="E37" s="170">
        <v>156</v>
      </c>
      <c r="F37" s="171">
        <v>5.5</v>
      </c>
      <c r="G37" s="172">
        <v>156.1</v>
      </c>
      <c r="H37" s="173">
        <v>5.5</v>
      </c>
    </row>
    <row r="38" spans="1:8">
      <c r="A38" s="150">
        <v>270312</v>
      </c>
      <c r="B38" s="151" t="s">
        <v>69</v>
      </c>
      <c r="C38" s="151" t="s">
        <v>69</v>
      </c>
      <c r="D38" s="150" t="e">
        <f>VLOOKUP(A38,[1]订单!A$1:C$65536,2,0)</f>
        <v>#N/A</v>
      </c>
      <c r="E38" s="170">
        <v>150</v>
      </c>
      <c r="F38" s="171">
        <v>5.3</v>
      </c>
      <c r="G38" s="172">
        <v>150.05000000000001</v>
      </c>
      <c r="H38" s="173">
        <v>5.5</v>
      </c>
    </row>
    <row r="39" spans="1:8">
      <c r="A39" s="150">
        <v>270025</v>
      </c>
      <c r="B39" s="151" t="s">
        <v>12</v>
      </c>
      <c r="C39" s="151" t="s">
        <v>168</v>
      </c>
      <c r="D39" s="150" t="e">
        <f>VLOOKUP(A39,[1]订单!A$1:C$65536,2,0)</f>
        <v>#N/A</v>
      </c>
      <c r="E39" s="170">
        <v>150</v>
      </c>
      <c r="F39" s="171">
        <v>5.3</v>
      </c>
      <c r="G39" s="172">
        <v>149.9</v>
      </c>
      <c r="H39" s="173">
        <v>5.5</v>
      </c>
    </row>
    <row r="40" spans="1:8">
      <c r="A40" s="150">
        <v>270027</v>
      </c>
      <c r="B40" s="151" t="s">
        <v>13</v>
      </c>
      <c r="C40" s="151" t="s">
        <v>169</v>
      </c>
      <c r="D40" s="150" t="e">
        <f>VLOOKUP(A40,[1]订单!A$1:C$65536,2,0)</f>
        <v>#N/A</v>
      </c>
      <c r="E40" s="170">
        <v>155</v>
      </c>
      <c r="F40" s="171">
        <v>5.3</v>
      </c>
      <c r="G40" s="172">
        <v>154.82</v>
      </c>
      <c r="H40" s="173">
        <v>6</v>
      </c>
    </row>
    <row r="41" spans="1:8">
      <c r="A41" s="150">
        <v>270000</v>
      </c>
      <c r="B41" s="151" t="s">
        <v>96</v>
      </c>
      <c r="C41" s="151" t="s">
        <v>170</v>
      </c>
      <c r="D41" s="150" t="e">
        <f>VLOOKUP(A41,[1]订单!A$1:C$65536,2,0)</f>
        <v>#N/A</v>
      </c>
      <c r="E41" s="170">
        <v>135</v>
      </c>
      <c r="F41" s="171">
        <v>5.5</v>
      </c>
      <c r="G41" s="172">
        <v>134.91999999999999</v>
      </c>
      <c r="H41" s="173">
        <v>5.5</v>
      </c>
    </row>
    <row r="42" spans="1:8">
      <c r="A42" s="150">
        <v>270029</v>
      </c>
      <c r="B42" s="151" t="s">
        <v>14</v>
      </c>
      <c r="C42" s="151" t="s">
        <v>171</v>
      </c>
      <c r="D42" s="150" t="e">
        <f>VLOOKUP(A42,[1]订单!A$1:C$65536,2,0)</f>
        <v>#N/A</v>
      </c>
      <c r="E42" s="170">
        <v>130</v>
      </c>
      <c r="F42" s="171">
        <v>4</v>
      </c>
      <c r="G42" s="172">
        <v>129.93</v>
      </c>
      <c r="H42" s="173">
        <v>4</v>
      </c>
    </row>
    <row r="43" spans="1:8">
      <c r="A43" s="150">
        <v>270377</v>
      </c>
      <c r="B43" s="151" t="s">
        <v>97</v>
      </c>
      <c r="C43" s="151" t="s">
        <v>97</v>
      </c>
      <c r="D43" s="150" t="e">
        <f>VLOOKUP(A43,[1]订单!A$1:C$65536,2,0)</f>
        <v>#N/A</v>
      </c>
      <c r="E43" s="170">
        <v>160</v>
      </c>
      <c r="F43" s="171">
        <v>5.5</v>
      </c>
      <c r="G43" s="172">
        <v>160</v>
      </c>
      <c r="H43" s="173">
        <v>5.5</v>
      </c>
    </row>
    <row r="44" spans="1:8">
      <c r="A44" s="152">
        <v>270022</v>
      </c>
      <c r="B44" s="153" t="s">
        <v>15</v>
      </c>
      <c r="C44" s="153" t="s">
        <v>172</v>
      </c>
      <c r="D44" s="152" t="e">
        <f>VLOOKUP(A44,[1]订单!A$1:C$65536,2,0)</f>
        <v>#N/A</v>
      </c>
      <c r="E44" s="170">
        <v>157</v>
      </c>
      <c r="F44" s="171">
        <v>5</v>
      </c>
      <c r="G44" s="172">
        <v>157.125</v>
      </c>
      <c r="H44" s="173">
        <v>6</v>
      </c>
    </row>
    <row r="45" spans="1:8">
      <c r="A45" s="150">
        <v>270071</v>
      </c>
      <c r="B45" s="151" t="s">
        <v>98</v>
      </c>
      <c r="C45" s="151" t="s">
        <v>173</v>
      </c>
      <c r="D45" s="150" t="e">
        <f>VLOOKUP(A45,[1]订单!A$1:C$65536,2,0)</f>
        <v>#N/A</v>
      </c>
      <c r="E45" s="176">
        <v>0</v>
      </c>
      <c r="F45" s="171">
        <v>5</v>
      </c>
      <c r="G45" s="174"/>
      <c r="H45" s="175">
        <v>5.5</v>
      </c>
    </row>
    <row r="46" spans="1:8">
      <c r="A46" s="152">
        <v>270129</v>
      </c>
      <c r="B46" s="153" t="s">
        <v>99</v>
      </c>
      <c r="C46" s="153" t="s">
        <v>99</v>
      </c>
      <c r="D46" s="152" t="e">
        <f>VLOOKUP(A46,[1]订单!A$1:C$65536,2,0)</f>
        <v>#N/A</v>
      </c>
      <c r="E46" s="176">
        <v>0</v>
      </c>
      <c r="F46" s="171">
        <v>5.5</v>
      </c>
      <c r="G46" s="174"/>
      <c r="H46" s="175">
        <v>5.5</v>
      </c>
    </row>
    <row r="47" spans="1:8">
      <c r="A47" s="150">
        <v>270130</v>
      </c>
      <c r="B47" s="151" t="s">
        <v>100</v>
      </c>
      <c r="C47" s="151" t="s">
        <v>100</v>
      </c>
      <c r="D47" s="150" t="e">
        <f>VLOOKUP(A47,[1]订单!A$1:C$65536,2,0)</f>
        <v>#N/A</v>
      </c>
      <c r="E47" s="170">
        <v>162.5</v>
      </c>
      <c r="F47" s="171">
        <v>5.5</v>
      </c>
      <c r="G47" s="172">
        <v>162.51</v>
      </c>
      <c r="H47" s="173">
        <v>6</v>
      </c>
    </row>
    <row r="48" spans="1:8">
      <c r="A48" s="152">
        <v>270316</v>
      </c>
      <c r="B48" s="153" t="s">
        <v>101</v>
      </c>
      <c r="C48" s="153" t="s">
        <v>101</v>
      </c>
      <c r="D48" s="152" t="e">
        <f>VLOOKUP(A48,[1]订单!A$1:C$65536,2,0)</f>
        <v>#N/A</v>
      </c>
      <c r="E48" s="176">
        <v>0</v>
      </c>
      <c r="F48" s="171">
        <v>5.5</v>
      </c>
      <c r="G48" s="174"/>
      <c r="H48" s="175">
        <v>5.5</v>
      </c>
    </row>
    <row r="49" spans="1:8">
      <c r="A49" s="152">
        <v>270317</v>
      </c>
      <c r="B49" s="153" t="s">
        <v>102</v>
      </c>
      <c r="C49" s="153" t="s">
        <v>102</v>
      </c>
      <c r="D49" s="152" t="e">
        <f>VLOOKUP(A49,[1]订单!A$1:C$65536,2,0)</f>
        <v>#N/A</v>
      </c>
      <c r="E49" s="170">
        <v>163</v>
      </c>
      <c r="F49" s="171">
        <v>5.5</v>
      </c>
      <c r="G49" s="172">
        <v>162.83000000000001</v>
      </c>
      <c r="H49" s="175">
        <v>4.5</v>
      </c>
    </row>
    <row r="50" spans="1:8">
      <c r="A50" s="150">
        <v>270017</v>
      </c>
      <c r="B50" s="151" t="s">
        <v>103</v>
      </c>
      <c r="C50" s="151" t="s">
        <v>174</v>
      </c>
      <c r="D50" s="150">
        <f>VLOOKUP(A50,[1]订单!A$1:C$65536,2,0)</f>
        <v>1082497</v>
      </c>
      <c r="E50" s="170">
        <v>160</v>
      </c>
      <c r="F50" s="171">
        <v>5.2</v>
      </c>
      <c r="G50" s="172">
        <v>160.05000000000001</v>
      </c>
      <c r="H50" s="173">
        <v>5.2</v>
      </c>
    </row>
    <row r="51" spans="1:8">
      <c r="A51" s="150">
        <v>270068</v>
      </c>
      <c r="B51" s="151" t="s">
        <v>104</v>
      </c>
      <c r="C51" s="151" t="s">
        <v>175</v>
      </c>
      <c r="D51" s="150">
        <f>VLOOKUP(A51,[1]订单!A$1:C$65536,2,0)</f>
        <v>1082532</v>
      </c>
      <c r="E51" s="170">
        <v>145</v>
      </c>
      <c r="F51" s="171">
        <v>5</v>
      </c>
      <c r="G51" s="172">
        <v>145.01</v>
      </c>
      <c r="H51" s="173">
        <v>5</v>
      </c>
    </row>
    <row r="52" spans="1:8">
      <c r="A52" s="150">
        <v>270019</v>
      </c>
      <c r="B52" s="151" t="s">
        <v>16</v>
      </c>
      <c r="C52" s="151" t="s">
        <v>176</v>
      </c>
      <c r="D52" s="150" t="e">
        <f>VLOOKUP(A52,[1]订单!A$1:C$65536,2,0)</f>
        <v>#N/A</v>
      </c>
      <c r="E52" s="170">
        <v>140</v>
      </c>
      <c r="F52" s="171">
        <v>4.5</v>
      </c>
      <c r="G52" s="172">
        <v>139.82</v>
      </c>
      <c r="H52" s="173">
        <v>4.5</v>
      </c>
    </row>
    <row r="53" spans="1:8">
      <c r="A53" s="154">
        <v>270186</v>
      </c>
      <c r="B53" s="155" t="s">
        <v>105</v>
      </c>
      <c r="C53" s="155" t="s">
        <v>177</v>
      </c>
      <c r="D53" s="154" t="e">
        <f>VLOOKUP(A53,[1]订单!A$1:C$65536,2,0)</f>
        <v>#N/A</v>
      </c>
      <c r="E53" s="177">
        <v>160.88</v>
      </c>
      <c r="F53" s="178">
        <v>5</v>
      </c>
      <c r="G53" s="174">
        <v>160.88</v>
      </c>
      <c r="H53" s="175">
        <v>5</v>
      </c>
    </row>
    <row r="54" spans="1:8">
      <c r="A54" s="150">
        <v>270082</v>
      </c>
      <c r="B54" s="151" t="s">
        <v>17</v>
      </c>
      <c r="C54" s="151" t="s">
        <v>178</v>
      </c>
      <c r="D54" s="150">
        <f>VLOOKUP(A54,[1]订单!A$1:C$65536,2,0)</f>
        <v>1082501</v>
      </c>
      <c r="E54" s="179">
        <v>159</v>
      </c>
      <c r="F54" s="171">
        <v>5</v>
      </c>
      <c r="G54" s="172">
        <v>158.91999999999999</v>
      </c>
      <c r="H54" s="173">
        <v>5</v>
      </c>
    </row>
    <row r="55" spans="1:8">
      <c r="A55" s="150">
        <v>270293</v>
      </c>
      <c r="B55" s="151" t="s">
        <v>106</v>
      </c>
      <c r="C55" s="151" t="s">
        <v>106</v>
      </c>
      <c r="D55" s="150">
        <f>VLOOKUP(A55,[1]订单!A$1:C$65536,2,0)</f>
        <v>1082499</v>
      </c>
      <c r="E55" s="179">
        <v>160</v>
      </c>
      <c r="F55" s="171">
        <v>5</v>
      </c>
      <c r="G55" s="172">
        <v>159.74</v>
      </c>
      <c r="H55" s="173">
        <v>5.5</v>
      </c>
    </row>
    <row r="56" spans="1:8">
      <c r="A56" s="150">
        <v>270067</v>
      </c>
      <c r="B56" s="151" t="s">
        <v>107</v>
      </c>
      <c r="C56" s="151" t="s">
        <v>152</v>
      </c>
      <c r="D56" s="150" t="e">
        <f>VLOOKUP(A56,[1]订单!A$1:C$65536,2,0)</f>
        <v>#N/A</v>
      </c>
      <c r="E56" s="179">
        <v>155</v>
      </c>
      <c r="F56" s="171">
        <v>5.3</v>
      </c>
      <c r="G56" s="172">
        <v>155.10499999999999</v>
      </c>
      <c r="H56" s="173">
        <v>5.5</v>
      </c>
    </row>
    <row r="57" spans="1:8">
      <c r="A57" s="150">
        <v>270023</v>
      </c>
      <c r="B57" s="151" t="s">
        <v>18</v>
      </c>
      <c r="C57" s="151" t="s">
        <v>179</v>
      </c>
      <c r="D57" s="150">
        <f>VLOOKUP(A57,[1]订单!A$1:C$65536,2,0)</f>
        <v>1082496</v>
      </c>
      <c r="E57" s="179">
        <v>160</v>
      </c>
      <c r="F57" s="171">
        <v>5.2</v>
      </c>
      <c r="G57" s="172">
        <v>160.08000000000001</v>
      </c>
      <c r="H57" s="173">
        <v>5</v>
      </c>
    </row>
    <row r="58" spans="1:8">
      <c r="A58" s="150">
        <v>270066</v>
      </c>
      <c r="B58" s="151" t="s">
        <v>108</v>
      </c>
      <c r="C58" s="151" t="s">
        <v>153</v>
      </c>
      <c r="D58" s="150" t="e">
        <f>VLOOKUP(A58,[1]订单!A$1:C$65536,2,0)</f>
        <v>#N/A</v>
      </c>
      <c r="E58" s="179">
        <v>150</v>
      </c>
      <c r="F58" s="171">
        <v>5.2</v>
      </c>
      <c r="G58" s="172">
        <v>150.01</v>
      </c>
      <c r="H58" s="173">
        <v>5.5</v>
      </c>
    </row>
    <row r="59" spans="1:8">
      <c r="A59" s="150">
        <v>270026</v>
      </c>
      <c r="B59" s="151" t="s">
        <v>19</v>
      </c>
      <c r="C59" s="151" t="s">
        <v>180</v>
      </c>
      <c r="D59" s="150">
        <f>VLOOKUP(A59,[1]订单!A$1:C$65536,2,0)</f>
        <v>1082490</v>
      </c>
      <c r="E59" s="179">
        <v>155</v>
      </c>
      <c r="F59" s="171">
        <v>5.2</v>
      </c>
      <c r="G59" s="172">
        <v>155.27500000000001</v>
      </c>
      <c r="H59" s="173">
        <v>5</v>
      </c>
    </row>
    <row r="60" spans="1:8">
      <c r="A60" s="152">
        <v>270190</v>
      </c>
      <c r="B60" s="153" t="s">
        <v>109</v>
      </c>
      <c r="C60" s="153" t="s">
        <v>109</v>
      </c>
      <c r="D60" s="152" t="e">
        <f>VLOOKUP(A60,[1]订单!A$1:C$65536,2,0)</f>
        <v>#N/A</v>
      </c>
      <c r="E60" s="177">
        <v>0</v>
      </c>
      <c r="F60" s="171">
        <v>5.3</v>
      </c>
      <c r="G60" s="174"/>
      <c r="H60" s="175">
        <v>5.5</v>
      </c>
    </row>
    <row r="61" spans="1:8">
      <c r="A61" s="150">
        <v>270028</v>
      </c>
      <c r="B61" s="151" t="s">
        <v>20</v>
      </c>
      <c r="C61" s="151" t="s">
        <v>181</v>
      </c>
      <c r="D61" s="150">
        <f>VLOOKUP(A61,[1]订单!A$1:C$65536,2,0)</f>
        <v>1082488</v>
      </c>
      <c r="E61" s="179">
        <v>155</v>
      </c>
      <c r="F61" s="171">
        <v>5.3</v>
      </c>
      <c r="G61" s="172">
        <v>155.13499999999999</v>
      </c>
      <c r="H61" s="173">
        <v>5.5</v>
      </c>
    </row>
    <row r="62" spans="1:8">
      <c r="A62" s="152">
        <v>270192</v>
      </c>
      <c r="B62" s="153" t="s">
        <v>110</v>
      </c>
      <c r="C62" s="153" t="s">
        <v>110</v>
      </c>
      <c r="D62" s="152" t="e">
        <f>VLOOKUP(A62,[1]订单!A$1:C$65536,2,0)</f>
        <v>#N/A</v>
      </c>
      <c r="E62" s="177"/>
      <c r="F62" s="171">
        <v>4</v>
      </c>
      <c r="G62" s="174"/>
      <c r="H62" s="175">
        <v>6</v>
      </c>
    </row>
    <row r="63" spans="1:8">
      <c r="A63" s="150">
        <v>270294</v>
      </c>
      <c r="B63" s="151" t="s">
        <v>111</v>
      </c>
      <c r="C63" s="151" t="s">
        <v>111</v>
      </c>
      <c r="D63" s="150">
        <f>VLOOKUP(A63,[1]订单!A$1:C$65536,2,0)</f>
        <v>1082489</v>
      </c>
      <c r="E63" s="179">
        <v>154</v>
      </c>
      <c r="F63" s="171">
        <v>5.3</v>
      </c>
      <c r="G63" s="172">
        <v>154.11000000000001</v>
      </c>
      <c r="H63" s="173">
        <v>5.5</v>
      </c>
    </row>
    <row r="64" spans="1:8">
      <c r="A64" s="150">
        <v>270001</v>
      </c>
      <c r="B64" s="151" t="s">
        <v>112</v>
      </c>
      <c r="C64" s="151" t="s">
        <v>182</v>
      </c>
      <c r="D64" s="150">
        <f>VLOOKUP(A64,[1]订单!A$1:C$65536,2,0)</f>
        <v>1082530</v>
      </c>
      <c r="E64" s="179">
        <v>139</v>
      </c>
      <c r="F64" s="171">
        <v>5.4</v>
      </c>
      <c r="G64" s="172">
        <v>139.08000000000001</v>
      </c>
      <c r="H64" s="173">
        <v>5</v>
      </c>
    </row>
    <row r="65" spans="1:8">
      <c r="A65" s="150">
        <v>270030</v>
      </c>
      <c r="B65" s="151" t="s">
        <v>21</v>
      </c>
      <c r="C65" s="151" t="s">
        <v>183</v>
      </c>
      <c r="D65" s="150">
        <f>VLOOKUP(A65,[1]订单!A$1:C$65536,2,0)</f>
        <v>1082487</v>
      </c>
      <c r="E65" s="179">
        <v>130</v>
      </c>
      <c r="F65" s="171">
        <v>4</v>
      </c>
      <c r="G65" s="172">
        <v>130.03</v>
      </c>
      <c r="H65" s="173">
        <v>5</v>
      </c>
    </row>
    <row r="66" spans="1:8">
      <c r="A66" s="150">
        <v>270002</v>
      </c>
      <c r="B66" s="151" t="s">
        <v>113</v>
      </c>
      <c r="C66" s="151" t="s">
        <v>184</v>
      </c>
      <c r="D66" s="150">
        <f>VLOOKUP(A66,[1]订单!A$1:C$65536,2,0)</f>
        <v>1082531</v>
      </c>
      <c r="E66" s="179">
        <v>142</v>
      </c>
      <c r="F66" s="171">
        <v>5.4</v>
      </c>
      <c r="G66" s="172">
        <v>142.04</v>
      </c>
      <c r="H66" s="173">
        <v>5</v>
      </c>
    </row>
    <row r="67" spans="1:8">
      <c r="A67" s="150">
        <v>270031</v>
      </c>
      <c r="B67" s="151" t="s">
        <v>22</v>
      </c>
      <c r="C67" s="151" t="s">
        <v>185</v>
      </c>
      <c r="D67" s="150">
        <f>VLOOKUP(A67,[1]订单!A$1:C$65536,2,0)</f>
        <v>1082486</v>
      </c>
      <c r="E67" s="179">
        <v>130</v>
      </c>
      <c r="F67" s="171">
        <v>5</v>
      </c>
      <c r="G67" s="172">
        <v>129.97999999999999</v>
      </c>
      <c r="H67" s="173">
        <v>4</v>
      </c>
    </row>
    <row r="68" spans="1:8">
      <c r="A68" s="150">
        <v>270012</v>
      </c>
      <c r="B68" s="151" t="s">
        <v>114</v>
      </c>
      <c r="C68" s="151" t="s">
        <v>186</v>
      </c>
      <c r="D68" s="150">
        <f>VLOOKUP(A68,[1]订单!A$1:C$65536,2,0)</f>
        <v>1082534</v>
      </c>
      <c r="E68" s="179">
        <v>157.5</v>
      </c>
      <c r="F68" s="171">
        <v>5.5</v>
      </c>
      <c r="G68" s="172">
        <v>157.5</v>
      </c>
      <c r="H68" s="173">
        <v>5</v>
      </c>
    </row>
    <row r="69" spans="1:8">
      <c r="A69" s="150">
        <v>270044</v>
      </c>
      <c r="B69" s="151" t="s">
        <v>231</v>
      </c>
      <c r="C69" s="151" t="s">
        <v>187</v>
      </c>
      <c r="D69" s="150">
        <f>VLOOKUP(A69,[1]订单!A$1:C$65536,2,0)</f>
        <v>1082517</v>
      </c>
      <c r="E69" s="179">
        <v>37</v>
      </c>
      <c r="F69" s="171">
        <v>15</v>
      </c>
      <c r="G69" s="172">
        <v>37.04</v>
      </c>
      <c r="H69" s="173">
        <v>15</v>
      </c>
    </row>
    <row r="70" spans="1:8">
      <c r="A70" s="150">
        <v>270128</v>
      </c>
      <c r="B70" s="151" t="s">
        <v>115</v>
      </c>
      <c r="C70" s="151" t="s">
        <v>115</v>
      </c>
      <c r="D70" s="150">
        <f>VLOOKUP(A70,[1]订单!A$1:C$65536,2,0)</f>
        <v>1082538</v>
      </c>
      <c r="E70" s="179">
        <v>155</v>
      </c>
      <c r="F70" s="171">
        <v>5.6</v>
      </c>
      <c r="G70" s="172">
        <v>155.19999999999999</v>
      </c>
      <c r="H70" s="173">
        <v>6</v>
      </c>
    </row>
    <row r="71" spans="1:8">
      <c r="A71" s="150">
        <v>270041</v>
      </c>
      <c r="B71" s="151" t="s">
        <v>28</v>
      </c>
      <c r="C71" s="151" t="s">
        <v>188</v>
      </c>
      <c r="D71" s="150">
        <f>VLOOKUP(A71,[1]订单!A$1:C$65536,2,0)</f>
        <v>1082520</v>
      </c>
      <c r="E71" s="179">
        <v>37</v>
      </c>
      <c r="F71" s="171">
        <v>15</v>
      </c>
      <c r="G71" s="172">
        <v>36.89</v>
      </c>
      <c r="H71" s="173">
        <v>15</v>
      </c>
    </row>
    <row r="72" spans="1:8">
      <c r="A72" s="150">
        <v>270010</v>
      </c>
      <c r="B72" s="151" t="s">
        <v>116</v>
      </c>
      <c r="C72" s="151" t="s">
        <v>189</v>
      </c>
      <c r="D72" s="150" t="e">
        <f>VLOOKUP(A72,[1]订单!A$1:C$65536,2,0)</f>
        <v>#N/A</v>
      </c>
      <c r="E72" s="179">
        <v>160</v>
      </c>
      <c r="F72" s="171">
        <v>5.5</v>
      </c>
      <c r="G72" s="172">
        <v>160.35</v>
      </c>
      <c r="H72" s="173">
        <v>6</v>
      </c>
    </row>
    <row r="73" spans="1:8">
      <c r="A73" s="150">
        <v>270042</v>
      </c>
      <c r="B73" s="151" t="s">
        <v>29</v>
      </c>
      <c r="C73" s="151" t="s">
        <v>190</v>
      </c>
      <c r="D73" s="150" t="e">
        <f>VLOOKUP(A73,[1]订单!A$1:C$65536,2,0)</f>
        <v>#N/A</v>
      </c>
      <c r="E73" s="179">
        <v>165</v>
      </c>
      <c r="F73" s="171">
        <v>15</v>
      </c>
      <c r="G73" s="172">
        <v>164.89</v>
      </c>
      <c r="H73" s="173">
        <v>15</v>
      </c>
    </row>
    <row r="74" spans="1:8">
      <c r="A74" s="150">
        <v>270148</v>
      </c>
      <c r="B74" s="151" t="s">
        <v>232</v>
      </c>
      <c r="C74" s="151" t="s">
        <v>191</v>
      </c>
      <c r="D74" s="150">
        <f>VLOOKUP(A74,[1]订单!A$1:C$65536,2,0)</f>
        <v>1082519</v>
      </c>
      <c r="E74" s="179">
        <v>160</v>
      </c>
      <c r="F74" s="171">
        <v>5.5</v>
      </c>
      <c r="G74" s="172">
        <v>40</v>
      </c>
      <c r="H74" s="173">
        <v>6</v>
      </c>
    </row>
    <row r="75" spans="1:8">
      <c r="A75" s="150">
        <v>270011</v>
      </c>
      <c r="B75" s="151" t="s">
        <v>118</v>
      </c>
      <c r="C75" s="151" t="s">
        <v>192</v>
      </c>
      <c r="D75" s="150">
        <f>VLOOKUP(A75,[1]订单!A$1:C$65536,2,0)</f>
        <v>1082533</v>
      </c>
      <c r="E75" s="179">
        <v>152</v>
      </c>
      <c r="F75" s="171">
        <v>5</v>
      </c>
      <c r="G75" s="172">
        <v>151.88499999999999</v>
      </c>
      <c r="H75" s="173">
        <v>5</v>
      </c>
    </row>
    <row r="76" spans="1:8">
      <c r="A76" s="150">
        <v>270043</v>
      </c>
      <c r="B76" s="151" t="s">
        <v>233</v>
      </c>
      <c r="C76" s="151" t="s">
        <v>193</v>
      </c>
      <c r="D76" s="150">
        <f>VLOOKUP(A76,[1]订单!A$1:C$65536,2,0)</f>
        <v>1082518</v>
      </c>
      <c r="E76" s="179">
        <v>172.51</v>
      </c>
      <c r="F76" s="171">
        <v>5.5</v>
      </c>
      <c r="G76" s="172">
        <v>172.51</v>
      </c>
      <c r="H76" s="173">
        <v>6</v>
      </c>
    </row>
    <row r="77" spans="1:8">
      <c r="A77" s="150">
        <v>270108</v>
      </c>
      <c r="B77" s="151" t="s">
        <v>38</v>
      </c>
      <c r="C77" s="151" t="s">
        <v>194</v>
      </c>
      <c r="D77" s="150" t="e">
        <f>VLOOKUP(A77,[1]订单!A$1:C$65536,2,0)</f>
        <v>#N/A</v>
      </c>
      <c r="E77" s="179">
        <v>160</v>
      </c>
      <c r="F77" s="171">
        <v>5.5</v>
      </c>
      <c r="G77" s="172">
        <v>160.04</v>
      </c>
      <c r="H77" s="173">
        <v>6</v>
      </c>
    </row>
    <row r="78" spans="1:8">
      <c r="A78" s="156">
        <v>270297</v>
      </c>
      <c r="B78" s="157" t="s">
        <v>119</v>
      </c>
      <c r="C78" s="157" t="s">
        <v>119</v>
      </c>
      <c r="D78" s="156" t="e">
        <f>VLOOKUP(A78,[1]订单!A$1:C$65536,2,0)</f>
        <v>#N/A</v>
      </c>
      <c r="E78" s="179">
        <v>40</v>
      </c>
      <c r="F78" s="171">
        <v>15</v>
      </c>
      <c r="G78" s="172">
        <v>40</v>
      </c>
      <c r="H78" s="173">
        <v>15</v>
      </c>
    </row>
    <row r="79" spans="1:8">
      <c r="A79" s="150">
        <v>270045</v>
      </c>
      <c r="B79" s="151" t="s">
        <v>31</v>
      </c>
      <c r="C79" s="151" t="s">
        <v>195</v>
      </c>
      <c r="D79" s="150">
        <f>VLOOKUP(A79,[1]订单!A$1:C$65536,2,0)</f>
        <v>1082515</v>
      </c>
      <c r="E79" s="179">
        <v>37</v>
      </c>
      <c r="F79" s="171">
        <v>15</v>
      </c>
      <c r="G79" s="172">
        <v>36.909999999999997</v>
      </c>
      <c r="H79" s="173">
        <v>15</v>
      </c>
    </row>
    <row r="80" spans="1:8">
      <c r="A80" s="150">
        <v>270142</v>
      </c>
      <c r="B80" s="151" t="s">
        <v>120</v>
      </c>
      <c r="C80" s="151" t="s">
        <v>120</v>
      </c>
      <c r="D80" s="150">
        <f>VLOOKUP(A80,[1]订单!A$1:C$65536,2,0)</f>
        <v>1082539</v>
      </c>
      <c r="E80" s="179">
        <v>152</v>
      </c>
      <c r="F80" s="171">
        <v>5.2</v>
      </c>
      <c r="G80" s="172">
        <v>152</v>
      </c>
      <c r="H80" s="173">
        <v>5</v>
      </c>
    </row>
    <row r="81" spans="1:8">
      <c r="A81" s="150">
        <v>270143</v>
      </c>
      <c r="B81" s="151" t="s">
        <v>121</v>
      </c>
      <c r="C81" s="151" t="s">
        <v>121</v>
      </c>
      <c r="D81" s="150">
        <f>VLOOKUP(A81,[1]订单!A$1:C$65536,2,0)</f>
        <v>1082516</v>
      </c>
      <c r="E81" s="179">
        <v>37</v>
      </c>
      <c r="F81" s="171">
        <v>15</v>
      </c>
      <c r="G81" s="172">
        <v>37.01</v>
      </c>
      <c r="H81" s="173">
        <v>15</v>
      </c>
    </row>
    <row r="82" spans="1:8">
      <c r="A82" s="150">
        <v>270310</v>
      </c>
      <c r="B82" s="151" t="s">
        <v>122</v>
      </c>
      <c r="C82" s="151" t="s">
        <v>122</v>
      </c>
      <c r="D82" s="150" t="e">
        <f>VLOOKUP(A82,[1]订单!A$1:C$65536,2,0)</f>
        <v>#N/A</v>
      </c>
      <c r="E82" s="179">
        <v>37</v>
      </c>
      <c r="F82" s="171">
        <v>15</v>
      </c>
      <c r="G82" s="172">
        <v>37.01</v>
      </c>
      <c r="H82" s="173">
        <v>15</v>
      </c>
    </row>
    <row r="83" spans="1:8">
      <c r="A83" s="150">
        <v>270014</v>
      </c>
      <c r="B83" s="151" t="s">
        <v>123</v>
      </c>
      <c r="C83" s="151" t="s">
        <v>196</v>
      </c>
      <c r="D83" s="150">
        <f>VLOOKUP(A83,[1]订单!A$1:C$65536,2,0)</f>
        <v>1082535</v>
      </c>
      <c r="E83" s="179">
        <v>158.5</v>
      </c>
      <c r="F83" s="171">
        <v>5.2</v>
      </c>
      <c r="G83" s="172">
        <v>158.62</v>
      </c>
      <c r="H83" s="173">
        <v>5</v>
      </c>
    </row>
    <row r="84" spans="1:8">
      <c r="A84" s="150">
        <v>270046</v>
      </c>
      <c r="B84" s="151" t="s">
        <v>32</v>
      </c>
      <c r="C84" s="151" t="s">
        <v>197</v>
      </c>
      <c r="D84" s="150">
        <f>VLOOKUP(A84,[1]订单!A$1:C$65536,2,0)</f>
        <v>1082514</v>
      </c>
      <c r="E84" s="179">
        <v>37</v>
      </c>
      <c r="F84" s="171">
        <v>15</v>
      </c>
      <c r="G84" s="172">
        <v>36.880000000000003</v>
      </c>
      <c r="H84" s="173">
        <v>15</v>
      </c>
    </row>
    <row r="85" spans="1:8">
      <c r="A85" s="150">
        <v>270015</v>
      </c>
      <c r="B85" s="151" t="s">
        <v>124</v>
      </c>
      <c r="C85" s="151" t="s">
        <v>198</v>
      </c>
      <c r="D85" s="150">
        <f>VLOOKUP(A85,[1]订单!A$1:C$65536,2,0)</f>
        <v>1082536</v>
      </c>
      <c r="E85" s="179">
        <v>152</v>
      </c>
      <c r="F85" s="171">
        <v>6.5</v>
      </c>
      <c r="G85" s="172">
        <v>152.13</v>
      </c>
      <c r="H85" s="173">
        <v>6.5</v>
      </c>
    </row>
    <row r="86" spans="1:8">
      <c r="A86" s="150">
        <v>270047</v>
      </c>
      <c r="B86" s="151" t="s">
        <v>33</v>
      </c>
      <c r="C86" s="151" t="s">
        <v>199</v>
      </c>
      <c r="D86" s="150">
        <f>VLOOKUP(A86,[1]订单!A$1:C$65536,2,0)</f>
        <v>1082512</v>
      </c>
      <c r="E86" s="179">
        <v>37</v>
      </c>
      <c r="F86" s="171">
        <v>15</v>
      </c>
      <c r="G86" s="172">
        <v>36.979999999999997</v>
      </c>
      <c r="H86" s="173">
        <v>15</v>
      </c>
    </row>
    <row r="87" spans="1:8">
      <c r="A87" s="150">
        <v>270016</v>
      </c>
      <c r="B87" s="151" t="s">
        <v>125</v>
      </c>
      <c r="C87" s="151" t="s">
        <v>200</v>
      </c>
      <c r="D87" s="150">
        <f>VLOOKUP(A87,[1]订单!A$1:C$65536,2,0)</f>
        <v>1082537</v>
      </c>
      <c r="E87" s="179">
        <v>157.5</v>
      </c>
      <c r="F87" s="171">
        <v>5.2</v>
      </c>
      <c r="G87" s="172">
        <v>157.5</v>
      </c>
      <c r="H87" s="173">
        <v>5</v>
      </c>
    </row>
    <row r="88" spans="1:8">
      <c r="A88" s="152">
        <v>270048</v>
      </c>
      <c r="B88" s="153" t="s">
        <v>34</v>
      </c>
      <c r="C88" s="153" t="s">
        <v>201</v>
      </c>
      <c r="D88" s="152" t="e">
        <f>VLOOKUP(A88,[1]订单!A$1:C$65536,2,0)</f>
        <v>#N/A</v>
      </c>
      <c r="E88" s="177"/>
      <c r="F88" s="171">
        <v>4</v>
      </c>
      <c r="G88" s="174"/>
      <c r="H88" s="175">
        <v>4</v>
      </c>
    </row>
    <row r="89" spans="1:8">
      <c r="A89" s="150">
        <v>270084</v>
      </c>
      <c r="B89" s="151" t="s">
        <v>35</v>
      </c>
      <c r="C89" s="151" t="s">
        <v>202</v>
      </c>
      <c r="D89" s="150">
        <f>VLOOKUP(A89,[1]订单!A$1:C$65536,2,0)</f>
        <v>1082513</v>
      </c>
      <c r="E89" s="179">
        <v>37</v>
      </c>
      <c r="F89" s="171">
        <v>15</v>
      </c>
      <c r="G89" s="172">
        <v>36.979999999999997</v>
      </c>
      <c r="H89" s="173">
        <v>15</v>
      </c>
    </row>
    <row r="90" spans="1:8">
      <c r="A90" s="150">
        <v>270065</v>
      </c>
      <c r="B90" s="151" t="s">
        <v>126</v>
      </c>
      <c r="C90" s="151" t="s">
        <v>203</v>
      </c>
      <c r="D90" s="150">
        <f>VLOOKUP(A90,[1]订单!A$1:C$65536,2,0)</f>
        <v>1082529</v>
      </c>
      <c r="E90" s="179">
        <v>154.5</v>
      </c>
      <c r="F90" s="171">
        <v>5.6</v>
      </c>
      <c r="G90" s="172">
        <v>154.5</v>
      </c>
      <c r="H90" s="173">
        <v>6</v>
      </c>
    </row>
    <row r="91" spans="1:8">
      <c r="A91" s="152">
        <v>270313</v>
      </c>
      <c r="B91" s="153" t="s">
        <v>127</v>
      </c>
      <c r="C91" s="153" t="s">
        <v>127</v>
      </c>
      <c r="D91" s="152" t="e">
        <f>VLOOKUP(A91,[1]订单!A$1:C$65536,2,0)</f>
        <v>#N/A</v>
      </c>
      <c r="E91" s="177"/>
      <c r="F91" s="171">
        <v>5.8</v>
      </c>
      <c r="G91" s="174"/>
      <c r="H91" s="175">
        <v>6</v>
      </c>
    </row>
    <row r="92" spans="1:8">
      <c r="A92" s="150">
        <v>270314</v>
      </c>
      <c r="B92" s="151" t="s">
        <v>128</v>
      </c>
      <c r="C92" s="151" t="s">
        <v>128</v>
      </c>
      <c r="D92" s="150">
        <f>VLOOKUP(A92,[1]订单!A$1:C$65536,2,0)</f>
        <v>1082498</v>
      </c>
      <c r="E92" s="179">
        <v>157</v>
      </c>
      <c r="F92" s="171">
        <v>4</v>
      </c>
      <c r="G92" s="172">
        <v>157.37</v>
      </c>
      <c r="H92" s="173">
        <v>4</v>
      </c>
    </row>
    <row r="93" spans="1:8">
      <c r="A93" s="150">
        <v>270138</v>
      </c>
      <c r="B93" s="151" t="s">
        <v>129</v>
      </c>
      <c r="C93" s="151" t="s">
        <v>129</v>
      </c>
      <c r="D93" s="150">
        <f>VLOOKUP(A93,[1]订单!A$1:C$65536,2,0)</f>
        <v>1082541</v>
      </c>
      <c r="E93" s="179">
        <v>156</v>
      </c>
      <c r="F93" s="171">
        <v>6</v>
      </c>
      <c r="G93" s="172">
        <v>156.01</v>
      </c>
      <c r="H93" s="173">
        <v>6</v>
      </c>
    </row>
    <row r="94" spans="1:8">
      <c r="A94" s="150">
        <v>270139</v>
      </c>
      <c r="B94" s="151" t="s">
        <v>130</v>
      </c>
      <c r="C94" s="151" t="s">
        <v>130</v>
      </c>
      <c r="D94" s="150" t="e">
        <f>VLOOKUP(A94,[1]订单!A$1:C$65536,2,0)</f>
        <v>#N/A</v>
      </c>
      <c r="E94" s="179">
        <v>38</v>
      </c>
      <c r="F94" s="171">
        <v>15</v>
      </c>
      <c r="G94" s="172">
        <v>38.130000000000003</v>
      </c>
      <c r="H94" s="173">
        <v>15</v>
      </c>
    </row>
    <row r="95" spans="1:8">
      <c r="A95" s="154">
        <v>270185</v>
      </c>
      <c r="B95" s="155" t="s">
        <v>131</v>
      </c>
      <c r="C95" s="155" t="s">
        <v>131</v>
      </c>
      <c r="D95" s="154" t="e">
        <f>VLOOKUP(A95,[1]订单!A$1:C$65536,2,0)</f>
        <v>#N/A</v>
      </c>
      <c r="E95" s="177"/>
      <c r="F95" s="178">
        <v>5.5</v>
      </c>
      <c r="G95" s="174"/>
      <c r="H95" s="175">
        <v>6</v>
      </c>
    </row>
    <row r="96" spans="1:8">
      <c r="A96" s="150">
        <v>270034</v>
      </c>
      <c r="B96" s="151" t="s">
        <v>23</v>
      </c>
      <c r="C96" s="151" t="s">
        <v>204</v>
      </c>
      <c r="D96" s="150" t="e">
        <f>VLOOKUP(A96,[1]订单!A$1:C$65536,2,0)</f>
        <v>#N/A</v>
      </c>
      <c r="E96" s="179">
        <v>169.5</v>
      </c>
      <c r="F96" s="171">
        <v>5.8</v>
      </c>
      <c r="G96" s="172">
        <v>169.59</v>
      </c>
      <c r="H96" s="173">
        <v>6</v>
      </c>
    </row>
    <row r="97" spans="1:8">
      <c r="A97" s="150">
        <v>270004</v>
      </c>
      <c r="B97" s="151" t="s">
        <v>47</v>
      </c>
      <c r="C97" s="151" t="s">
        <v>205</v>
      </c>
      <c r="D97" s="150">
        <f>VLOOKUP(A97,[1]订单!A$1:C$65536,2,0)</f>
        <v>1082543</v>
      </c>
      <c r="E97" s="179">
        <v>153</v>
      </c>
      <c r="F97" s="171">
        <v>6</v>
      </c>
      <c r="G97" s="172">
        <v>153.04</v>
      </c>
      <c r="H97" s="173">
        <v>6</v>
      </c>
    </row>
    <row r="98" spans="1:8">
      <c r="A98" s="150">
        <v>270036</v>
      </c>
      <c r="B98" s="151" t="s">
        <v>132</v>
      </c>
      <c r="C98" s="151" t="s">
        <v>206</v>
      </c>
      <c r="D98" s="150">
        <f>VLOOKUP(A98,[1]订单!A$1:C$65536,2,0)</f>
        <v>1082503</v>
      </c>
      <c r="E98" s="179">
        <v>175.5</v>
      </c>
      <c r="F98" s="171">
        <v>6</v>
      </c>
      <c r="G98" s="172">
        <v>175.88</v>
      </c>
      <c r="H98" s="173">
        <v>6</v>
      </c>
    </row>
    <row r="99" spans="1:8">
      <c r="A99" s="158">
        <v>270237</v>
      </c>
      <c r="B99" s="159" t="s">
        <v>54</v>
      </c>
      <c r="C99" s="159" t="s">
        <v>54</v>
      </c>
      <c r="D99" s="158" t="e">
        <f>VLOOKUP(A99,[1]订单!A$1:C$65536,2,0)</f>
        <v>#N/A</v>
      </c>
      <c r="E99" s="177"/>
      <c r="F99" s="180">
        <v>4</v>
      </c>
      <c r="G99" s="181"/>
      <c r="H99" s="182">
        <v>5</v>
      </c>
    </row>
    <row r="100" spans="1:8">
      <c r="A100" s="150">
        <v>270141</v>
      </c>
      <c r="B100" s="151" t="s">
        <v>39</v>
      </c>
      <c r="C100" s="151" t="s">
        <v>39</v>
      </c>
      <c r="D100" s="150">
        <f>VLOOKUP(A100,[1]订单!A$1:C$65536,2,0)</f>
        <v>1082526</v>
      </c>
      <c r="E100" s="179">
        <v>165</v>
      </c>
      <c r="F100" s="171">
        <v>5.5</v>
      </c>
      <c r="G100" s="172">
        <v>165.08</v>
      </c>
      <c r="H100" s="173">
        <v>6</v>
      </c>
    </row>
    <row r="101" spans="1:8">
      <c r="A101" s="150">
        <v>270033</v>
      </c>
      <c r="B101" s="151" t="s">
        <v>24</v>
      </c>
      <c r="C101" s="151" t="s">
        <v>207</v>
      </c>
      <c r="D101" s="150">
        <f>VLOOKUP(A101,[1]订单!A$1:C$65536,2,0)</f>
        <v>1082507</v>
      </c>
      <c r="E101" s="179">
        <v>169</v>
      </c>
      <c r="F101" s="171">
        <v>5.7</v>
      </c>
      <c r="G101" s="172">
        <v>169.07</v>
      </c>
      <c r="H101" s="173">
        <v>6</v>
      </c>
    </row>
    <row r="102" spans="1:8">
      <c r="A102" s="152">
        <v>270236</v>
      </c>
      <c r="B102" s="153" t="s">
        <v>53</v>
      </c>
      <c r="C102" s="153" t="s">
        <v>53</v>
      </c>
      <c r="D102" s="152" t="e">
        <f>VLOOKUP(A102,[1]订单!A$1:C$65536,2,0)</f>
        <v>#N/A</v>
      </c>
      <c r="E102" s="177"/>
      <c r="F102" s="171">
        <v>4</v>
      </c>
      <c r="G102" s="174"/>
      <c r="H102" s="175">
        <v>4</v>
      </c>
    </row>
    <row r="103" spans="1:8">
      <c r="A103" s="150">
        <v>270158</v>
      </c>
      <c r="B103" s="151" t="s">
        <v>133</v>
      </c>
      <c r="C103" s="151" t="s">
        <v>133</v>
      </c>
      <c r="D103" s="150" t="e">
        <f>VLOOKUP(A103,[1]订单!A$1:C$65536,2,0)</f>
        <v>#N/A</v>
      </c>
      <c r="E103" s="179">
        <v>160.5</v>
      </c>
      <c r="F103" s="171">
        <v>6</v>
      </c>
      <c r="G103" s="172">
        <v>160.58000000000001</v>
      </c>
      <c r="H103" s="173">
        <v>6</v>
      </c>
    </row>
    <row r="104" spans="1:8">
      <c r="A104" s="160">
        <v>270040</v>
      </c>
      <c r="B104" s="161" t="s">
        <v>25</v>
      </c>
      <c r="C104" s="161" t="s">
        <v>208</v>
      </c>
      <c r="D104" s="160" t="e">
        <f>VLOOKUP(A104,[1]订单!A$1:C$65536,2,0)</f>
        <v>#N/A</v>
      </c>
      <c r="E104" s="183">
        <v>164.5</v>
      </c>
      <c r="F104" s="184">
        <v>6</v>
      </c>
      <c r="G104" s="185">
        <v>164.78</v>
      </c>
      <c r="H104" s="186">
        <v>6</v>
      </c>
    </row>
    <row r="105" spans="1:8">
      <c r="A105" s="150">
        <v>270006</v>
      </c>
      <c r="B105" s="151" t="s">
        <v>45</v>
      </c>
      <c r="C105" s="151" t="s">
        <v>209</v>
      </c>
      <c r="D105" s="150">
        <f>VLOOKUP(A105,[1]订单!A$1:C$65536,2,0)</f>
        <v>1082542</v>
      </c>
      <c r="E105" s="179">
        <v>154.5</v>
      </c>
      <c r="F105" s="171">
        <v>5.5</v>
      </c>
      <c r="G105" s="172">
        <v>154.63999999999999</v>
      </c>
      <c r="H105" s="173">
        <v>6</v>
      </c>
    </row>
    <row r="106" spans="1:8">
      <c r="A106" s="150">
        <v>270038</v>
      </c>
      <c r="B106" s="151" t="s">
        <v>134</v>
      </c>
      <c r="C106" s="151" t="s">
        <v>210</v>
      </c>
      <c r="D106" s="150">
        <f>VLOOKUP(A106,[1]订单!A$1:C$65536,2,0)</f>
        <v>1082505</v>
      </c>
      <c r="E106" s="179">
        <v>169</v>
      </c>
      <c r="F106" s="171">
        <v>5.7</v>
      </c>
      <c r="G106" s="172">
        <v>169.49</v>
      </c>
      <c r="H106" s="173">
        <v>6</v>
      </c>
    </row>
    <row r="107" spans="1:8">
      <c r="A107" s="152">
        <v>270234</v>
      </c>
      <c r="B107" s="153" t="s">
        <v>51</v>
      </c>
      <c r="C107" s="153" t="s">
        <v>51</v>
      </c>
      <c r="D107" s="152" t="e">
        <f>VLOOKUP(A107,[1]订单!A$1:C$65536,2,0)</f>
        <v>#N/A</v>
      </c>
      <c r="E107" s="177">
        <v>0</v>
      </c>
      <c r="F107" s="171">
        <v>4</v>
      </c>
      <c r="G107" s="174"/>
      <c r="H107" s="175">
        <v>4</v>
      </c>
    </row>
    <row r="108" spans="1:8">
      <c r="A108" s="152">
        <v>270228</v>
      </c>
      <c r="B108" s="153" t="s">
        <v>46</v>
      </c>
      <c r="C108" s="153" t="s">
        <v>46</v>
      </c>
      <c r="D108" s="152" t="e">
        <f>VLOOKUP(A108,[1]订单!A$1:C$65536,2,0)</f>
        <v>#N/A</v>
      </c>
      <c r="E108" s="177">
        <v>0</v>
      </c>
      <c r="F108" s="171">
        <v>5.5</v>
      </c>
      <c r="G108" s="174"/>
      <c r="H108" s="175">
        <v>6</v>
      </c>
    </row>
    <row r="109" spans="1:8">
      <c r="A109" s="150">
        <v>270037</v>
      </c>
      <c r="B109" s="151" t="s">
        <v>135</v>
      </c>
      <c r="C109" s="151" t="s">
        <v>211</v>
      </c>
      <c r="D109" s="150">
        <f>VLOOKUP(A109,[1]订单!A$1:C$65536,2,0)</f>
        <v>1082506</v>
      </c>
      <c r="E109" s="179">
        <v>175.5</v>
      </c>
      <c r="F109" s="171">
        <v>5.7</v>
      </c>
      <c r="G109" s="172">
        <v>175.43</v>
      </c>
      <c r="H109" s="173">
        <v>6</v>
      </c>
    </row>
    <row r="110" spans="1:8">
      <c r="A110" s="152">
        <v>270235</v>
      </c>
      <c r="B110" s="153" t="s">
        <v>52</v>
      </c>
      <c r="C110" s="153" t="s">
        <v>52</v>
      </c>
      <c r="D110" s="152" t="e">
        <f>VLOOKUP(A110,[1]订单!A$1:C$65536,2,0)</f>
        <v>#N/A</v>
      </c>
      <c r="E110" s="177"/>
      <c r="F110" s="171">
        <v>4</v>
      </c>
      <c r="G110" s="174"/>
      <c r="H110" s="175">
        <v>4</v>
      </c>
    </row>
    <row r="111" spans="1:8">
      <c r="A111" s="150">
        <v>270107</v>
      </c>
      <c r="B111" s="151" t="s">
        <v>136</v>
      </c>
      <c r="C111" s="151" t="s">
        <v>136</v>
      </c>
      <c r="D111" s="150" t="e">
        <f>VLOOKUP(A111,[1]订单!A$1:C$65536,2,0)</f>
        <v>#N/A</v>
      </c>
      <c r="E111" s="179">
        <v>169.5</v>
      </c>
      <c r="F111" s="171">
        <v>6.5</v>
      </c>
      <c r="G111" s="172">
        <v>169.49</v>
      </c>
      <c r="H111" s="173">
        <v>7</v>
      </c>
    </row>
    <row r="112" spans="1:8">
      <c r="A112" s="150">
        <v>270005</v>
      </c>
      <c r="B112" s="151" t="s">
        <v>49</v>
      </c>
      <c r="C112" s="151" t="s">
        <v>49</v>
      </c>
      <c r="D112" s="150">
        <f>VLOOKUP(A112,[1]订单!A$1:C$65536,2,0)</f>
        <v>1082525</v>
      </c>
      <c r="E112" s="179">
        <v>157</v>
      </c>
      <c r="F112" s="171">
        <v>5.5</v>
      </c>
      <c r="G112" s="172">
        <v>157.06</v>
      </c>
      <c r="H112" s="173">
        <v>6</v>
      </c>
    </row>
    <row r="113" spans="1:8">
      <c r="A113" s="150">
        <v>270039</v>
      </c>
      <c r="B113" s="151" t="s">
        <v>26</v>
      </c>
      <c r="C113" s="151" t="s">
        <v>212</v>
      </c>
      <c r="D113" s="150">
        <f>VLOOKUP(A113,[1]订单!A$1:C$65536,2,0)</f>
        <v>1082504</v>
      </c>
      <c r="E113" s="179">
        <v>170</v>
      </c>
      <c r="F113" s="171">
        <v>5.5</v>
      </c>
      <c r="G113" s="172">
        <v>169.93</v>
      </c>
      <c r="H113" s="173">
        <v>6</v>
      </c>
    </row>
    <row r="114" spans="1:8">
      <c r="A114" s="152">
        <v>270239</v>
      </c>
      <c r="B114" s="153" t="s">
        <v>56</v>
      </c>
      <c r="C114" s="153" t="s">
        <v>56</v>
      </c>
      <c r="D114" s="152" t="e">
        <f>VLOOKUP(A114,[1]订单!A$1:C$65536,2,0)</f>
        <v>#N/A</v>
      </c>
      <c r="E114" s="177"/>
      <c r="F114" s="171">
        <v>4</v>
      </c>
      <c r="G114" s="174"/>
      <c r="H114" s="175">
        <v>6</v>
      </c>
    </row>
    <row r="115" spans="1:8">
      <c r="A115" s="150">
        <v>270278</v>
      </c>
      <c r="B115" s="151" t="s">
        <v>213</v>
      </c>
      <c r="C115" s="151" t="s">
        <v>213</v>
      </c>
      <c r="D115" s="150">
        <f>VLOOKUP(A115,[1]订单!A$1:C$65536,2,0)</f>
        <v>1082528</v>
      </c>
      <c r="E115" s="179">
        <v>153</v>
      </c>
      <c r="F115" s="171">
        <v>6</v>
      </c>
      <c r="G115" s="172">
        <v>153.18</v>
      </c>
      <c r="H115" s="173">
        <v>6</v>
      </c>
    </row>
    <row r="116" spans="1:8">
      <c r="A116" s="150">
        <v>270140</v>
      </c>
      <c r="B116" s="151" t="s">
        <v>234</v>
      </c>
      <c r="C116" s="151" t="s">
        <v>214</v>
      </c>
      <c r="D116" s="150">
        <f>VLOOKUP(A116,[1]订单!A$1:C$65536,2,0)</f>
        <v>1082527</v>
      </c>
      <c r="E116" s="179">
        <v>153.5</v>
      </c>
      <c r="F116" s="171">
        <v>5.7</v>
      </c>
      <c r="G116" s="172">
        <v>153.66999999999999</v>
      </c>
      <c r="H116" s="173">
        <v>6</v>
      </c>
    </row>
    <row r="117" spans="1:8">
      <c r="A117" s="150">
        <v>270232</v>
      </c>
      <c r="B117" s="151" t="s">
        <v>235</v>
      </c>
      <c r="C117" s="151" t="s">
        <v>215</v>
      </c>
      <c r="D117" s="150">
        <f>VLOOKUP(A117,[1]订单!A$1:C$65536,2,0)</f>
        <v>1082509</v>
      </c>
      <c r="E117" s="179">
        <v>144.5</v>
      </c>
      <c r="F117" s="171">
        <v>4</v>
      </c>
      <c r="G117" s="172">
        <v>144.66</v>
      </c>
      <c r="H117" s="173">
        <v>4</v>
      </c>
    </row>
    <row r="118" spans="1:8">
      <c r="A118" s="152">
        <v>270231</v>
      </c>
      <c r="B118" s="153" t="s">
        <v>44</v>
      </c>
      <c r="C118" s="153" t="s">
        <v>44</v>
      </c>
      <c r="D118" s="152" t="e">
        <f>VLOOKUP(A118,[1]订单!A$1:C$65536,2,0)</f>
        <v>#N/A</v>
      </c>
      <c r="E118" s="177"/>
      <c r="F118" s="171">
        <v>5.5</v>
      </c>
      <c r="G118" s="174"/>
      <c r="H118" s="175">
        <v>6</v>
      </c>
    </row>
    <row r="119" spans="1:8">
      <c r="A119" s="150">
        <v>270131</v>
      </c>
      <c r="B119" s="151" t="s">
        <v>137</v>
      </c>
      <c r="C119" s="151" t="s">
        <v>137</v>
      </c>
      <c r="D119" s="150">
        <f>VLOOKUP(A119,[1]订单!A$1:C$65536,2,0)</f>
        <v>1082510</v>
      </c>
      <c r="E119" s="179">
        <v>175.5</v>
      </c>
      <c r="F119" s="171">
        <v>6</v>
      </c>
      <c r="G119" s="172">
        <v>175.46</v>
      </c>
      <c r="H119" s="173">
        <v>6</v>
      </c>
    </row>
    <row r="120" spans="1:8">
      <c r="A120" s="152">
        <v>270233</v>
      </c>
      <c r="B120" s="153" t="s">
        <v>50</v>
      </c>
      <c r="C120" s="153" t="s">
        <v>50</v>
      </c>
      <c r="D120" s="152" t="e">
        <f>VLOOKUP(A120,[1]订单!A$1:C$65536,2,0)</f>
        <v>#N/A</v>
      </c>
      <c r="E120" s="177"/>
      <c r="F120" s="171">
        <v>4</v>
      </c>
      <c r="G120" s="174"/>
      <c r="H120" s="175">
        <v>4</v>
      </c>
    </row>
    <row r="121" spans="1:8">
      <c r="A121" s="152">
        <v>270168</v>
      </c>
      <c r="B121" s="153" t="s">
        <v>138</v>
      </c>
      <c r="C121" s="153" t="s">
        <v>138</v>
      </c>
      <c r="D121" s="152" t="e">
        <f>VLOOKUP(A121,[1]订单!A$1:C$65536,2,0)</f>
        <v>#N/A</v>
      </c>
      <c r="E121" s="177">
        <v>174</v>
      </c>
      <c r="F121" s="171">
        <v>5.5</v>
      </c>
      <c r="G121" s="174"/>
      <c r="H121" s="175">
        <v>6</v>
      </c>
    </row>
    <row r="122" spans="1:8">
      <c r="A122" s="150">
        <v>270309</v>
      </c>
      <c r="B122" s="151" t="s">
        <v>139</v>
      </c>
      <c r="C122" s="151" t="s">
        <v>139</v>
      </c>
      <c r="D122" s="150">
        <f>VLOOKUP(A122,[1]订单!A$1:C$65536,2,0)</f>
        <v>1082523</v>
      </c>
      <c r="E122" s="179">
        <v>155</v>
      </c>
      <c r="F122" s="171">
        <v>5.4</v>
      </c>
      <c r="G122" s="172">
        <v>155.06</v>
      </c>
      <c r="H122" s="173">
        <v>6</v>
      </c>
    </row>
    <row r="123" spans="1:8">
      <c r="A123" s="150">
        <v>270296</v>
      </c>
      <c r="B123" s="151" t="s">
        <v>140</v>
      </c>
      <c r="C123" s="151" t="s">
        <v>140</v>
      </c>
      <c r="D123" s="150">
        <f>VLOOKUP(A123,[1]订单!A$1:C$65536,2,0)</f>
        <v>1082511</v>
      </c>
      <c r="E123" s="179">
        <v>175</v>
      </c>
      <c r="F123" s="171">
        <v>5.5</v>
      </c>
      <c r="G123" s="172">
        <v>174.93</v>
      </c>
      <c r="H123" s="173">
        <v>4</v>
      </c>
    </row>
    <row r="124" spans="1:8">
      <c r="A124" s="150">
        <v>270008</v>
      </c>
      <c r="B124" s="151" t="s">
        <v>141</v>
      </c>
      <c r="C124" s="151" t="s">
        <v>141</v>
      </c>
      <c r="D124" s="150">
        <f>VLOOKUP(A124,[1]订单!A$1:C$65536,2,0)</f>
        <v>1082524</v>
      </c>
      <c r="E124" s="179">
        <v>154.5</v>
      </c>
      <c r="F124" s="171">
        <v>6</v>
      </c>
      <c r="G124" s="172">
        <v>154.76</v>
      </c>
      <c r="H124" s="173">
        <v>6</v>
      </c>
    </row>
    <row r="125" spans="1:8">
      <c r="A125" s="150">
        <v>270007</v>
      </c>
      <c r="B125" s="151" t="s">
        <v>48</v>
      </c>
      <c r="C125" s="151" t="s">
        <v>216</v>
      </c>
      <c r="D125" s="150" t="e">
        <f>VLOOKUP(A125,[1]订单!A$1:C$65536,2,0)</f>
        <v>#N/A</v>
      </c>
      <c r="E125" s="179">
        <v>160.5</v>
      </c>
      <c r="F125" s="171">
        <v>6</v>
      </c>
      <c r="G125" s="172">
        <v>160.59</v>
      </c>
      <c r="H125" s="173">
        <v>6</v>
      </c>
    </row>
    <row r="126" spans="1:8">
      <c r="A126" s="150">
        <v>270035</v>
      </c>
      <c r="B126" s="151" t="s">
        <v>27</v>
      </c>
      <c r="C126" s="151" t="s">
        <v>217</v>
      </c>
      <c r="D126" s="150">
        <f>VLOOKUP(A126,[1]订单!A$1:C$65536,2,0)</f>
        <v>1082508</v>
      </c>
      <c r="E126" s="179">
        <v>170</v>
      </c>
      <c r="F126" s="171">
        <v>6</v>
      </c>
      <c r="G126" s="172">
        <v>170.16</v>
      </c>
      <c r="H126" s="173">
        <v>6</v>
      </c>
    </row>
    <row r="127" spans="1:8">
      <c r="A127" s="152">
        <v>270238</v>
      </c>
      <c r="B127" s="153" t="s">
        <v>55</v>
      </c>
      <c r="C127" s="153" t="s">
        <v>55</v>
      </c>
      <c r="D127" s="152" t="e">
        <f>VLOOKUP(A127,[1]订单!A$1:C$65536,2,0)</f>
        <v>#N/A</v>
      </c>
      <c r="E127" s="177"/>
      <c r="F127" s="171">
        <v>4</v>
      </c>
      <c r="G127" s="174"/>
      <c r="H127" s="175">
        <v>4</v>
      </c>
    </row>
    <row r="128" spans="1:8">
      <c r="A128" s="150">
        <v>270258</v>
      </c>
      <c r="B128" s="151" t="s">
        <v>142</v>
      </c>
      <c r="C128" s="151" t="s">
        <v>142</v>
      </c>
      <c r="D128" s="150" t="e">
        <f>VLOOKUP(A128,[1]订单!A$1:C$65536,2,0)</f>
        <v>#N/A</v>
      </c>
      <c r="E128" s="179">
        <v>146.5</v>
      </c>
      <c r="F128" s="171">
        <v>6</v>
      </c>
      <c r="G128" s="172">
        <v>146.44999999999999</v>
      </c>
      <c r="H128" s="173">
        <v>6</v>
      </c>
    </row>
    <row r="129" spans="1:8">
      <c r="A129" s="150">
        <v>270257</v>
      </c>
      <c r="B129" s="151" t="s">
        <v>143</v>
      </c>
      <c r="C129" s="151" t="s">
        <v>143</v>
      </c>
      <c r="D129" s="150" t="e">
        <f>VLOOKUP(A129,[1]订单!A$1:C$65536,2,0)</f>
        <v>#N/A</v>
      </c>
      <c r="E129" s="179">
        <v>163</v>
      </c>
      <c r="F129" s="171">
        <v>6</v>
      </c>
      <c r="G129" s="172">
        <v>163.05000000000001</v>
      </c>
      <c r="H129" s="173">
        <v>4</v>
      </c>
    </row>
    <row r="130" spans="1:8">
      <c r="A130" s="150">
        <v>270127</v>
      </c>
      <c r="B130" s="151" t="s">
        <v>144</v>
      </c>
      <c r="C130" s="151" t="s">
        <v>218</v>
      </c>
      <c r="D130" s="150">
        <f>VLOOKUP(A130,[1]订单!A$1:C$65536,2,0)</f>
        <v>1082540</v>
      </c>
      <c r="E130" s="179">
        <v>40</v>
      </c>
      <c r="F130" s="171">
        <v>10</v>
      </c>
      <c r="G130" s="172">
        <v>40.26</v>
      </c>
      <c r="H130" s="173">
        <v>10</v>
      </c>
    </row>
    <row r="131" spans="1:8">
      <c r="A131" s="150">
        <v>270032</v>
      </c>
      <c r="B131" s="151" t="s">
        <v>36</v>
      </c>
      <c r="C131" s="151" t="s">
        <v>151</v>
      </c>
      <c r="D131" s="150">
        <f>VLOOKUP(A131,[1]订单!A$1:C$65536,2,0)</f>
        <v>1082521</v>
      </c>
      <c r="E131" s="179">
        <v>37</v>
      </c>
      <c r="F131" s="171">
        <v>15</v>
      </c>
      <c r="G131" s="172">
        <v>37</v>
      </c>
      <c r="H131" s="173">
        <v>15</v>
      </c>
    </row>
    <row r="132" spans="1:8">
      <c r="A132" s="150">
        <v>270098</v>
      </c>
      <c r="B132" s="151" t="s">
        <v>236</v>
      </c>
      <c r="C132" s="151" t="s">
        <v>145</v>
      </c>
      <c r="D132" s="150">
        <f>VLOOKUP(A132,[1]订单!A$1:C$65536,2,0)</f>
        <v>1082522</v>
      </c>
      <c r="E132" s="177"/>
      <c r="F132" s="171">
        <v>1.5</v>
      </c>
      <c r="G132" s="174"/>
      <c r="H132" s="175">
        <v>3</v>
      </c>
    </row>
    <row r="133" spans="1:8">
      <c r="A133" s="150">
        <v>270417</v>
      </c>
      <c r="B133" s="151" t="s">
        <v>237</v>
      </c>
      <c r="C133" s="151" t="s">
        <v>219</v>
      </c>
      <c r="D133" s="150" t="e">
        <f>VLOOKUP(A133,[1]订单!A$1:C$65536,2,0)</f>
        <v>#N/A</v>
      </c>
      <c r="E133" s="179">
        <v>155</v>
      </c>
      <c r="F133" s="171">
        <v>5.5</v>
      </c>
      <c r="G133" s="172"/>
      <c r="H133" s="173"/>
    </row>
    <row r="134" spans="1:8">
      <c r="A134" s="150">
        <v>270437</v>
      </c>
      <c r="B134" s="151" t="s">
        <v>220</v>
      </c>
      <c r="C134" s="151" t="s">
        <v>220</v>
      </c>
      <c r="D134" s="150" t="e">
        <f>VLOOKUP(A134,[1]订单!A$1:C$65536,2,0)</f>
        <v>#N/A</v>
      </c>
      <c r="E134" s="179">
        <v>160</v>
      </c>
      <c r="F134" s="171">
        <v>5.5</v>
      </c>
      <c r="G134" s="172"/>
      <c r="H134" s="173"/>
    </row>
    <row r="135" spans="1:8">
      <c r="A135" s="150">
        <v>270478</v>
      </c>
      <c r="B135" s="151" t="s">
        <v>221</v>
      </c>
      <c r="C135" s="151" t="s">
        <v>221</v>
      </c>
      <c r="D135" s="150" t="e">
        <f>VLOOKUP(A135,[1]订单!A$1:C$65536,2,0)</f>
        <v>#N/A</v>
      </c>
      <c r="E135" s="179">
        <v>160</v>
      </c>
      <c r="F135" s="171">
        <v>6</v>
      </c>
      <c r="G135" s="172">
        <v>160.06</v>
      </c>
      <c r="H135" s="173">
        <v>6</v>
      </c>
    </row>
    <row r="136" spans="1:8">
      <c r="A136" s="162" t="s">
        <v>238</v>
      </c>
      <c r="B136" s="163" t="s">
        <v>149</v>
      </c>
      <c r="C136" s="151" t="s">
        <v>149</v>
      </c>
      <c r="D136" s="162"/>
      <c r="E136" s="179"/>
      <c r="F136" s="171"/>
      <c r="G136" s="172"/>
      <c r="H136" s="173"/>
    </row>
    <row r="137" spans="1:8">
      <c r="A137" s="152" t="s">
        <v>66</v>
      </c>
      <c r="B137" s="153" t="s">
        <v>146</v>
      </c>
      <c r="C137" s="153" t="s">
        <v>146</v>
      </c>
      <c r="D137" s="152"/>
      <c r="E137" s="179"/>
      <c r="F137" s="171"/>
      <c r="G137" s="172"/>
      <c r="H137" s="173"/>
    </row>
    <row r="138" spans="1:8">
      <c r="A138" s="162" t="s">
        <v>239</v>
      </c>
      <c r="B138" s="153" t="s">
        <v>150</v>
      </c>
      <c r="C138" s="153" t="s">
        <v>150</v>
      </c>
      <c r="D138" s="162"/>
      <c r="E138" s="179">
        <v>40</v>
      </c>
      <c r="F138" s="171">
        <v>10</v>
      </c>
      <c r="G138" s="172">
        <v>40</v>
      </c>
      <c r="H138" s="173">
        <v>10</v>
      </c>
    </row>
    <row r="139" spans="1:8">
      <c r="A139" s="162">
        <v>270517</v>
      </c>
      <c r="B139" s="153" t="s">
        <v>240</v>
      </c>
      <c r="C139" s="153" t="s">
        <v>240</v>
      </c>
      <c r="D139" s="150" t="e">
        <f>VLOOKUP(A139,[1]订单!A$1:C$65536,2,0)</f>
        <v>#N/A</v>
      </c>
      <c r="E139" s="179">
        <v>155.74</v>
      </c>
      <c r="F139" s="171">
        <v>5.5</v>
      </c>
      <c r="G139" s="172">
        <v>155.74</v>
      </c>
      <c r="H139" s="173">
        <v>5.5</v>
      </c>
    </row>
    <row r="140" spans="1:8">
      <c r="A140" s="162">
        <v>270518</v>
      </c>
      <c r="B140" s="153" t="s">
        <v>241</v>
      </c>
      <c r="C140" s="153" t="s">
        <v>242</v>
      </c>
      <c r="D140" s="150">
        <f>VLOOKUP(A140,[1]订单!A$1:C$65536,2,0)</f>
        <v>1082492</v>
      </c>
      <c r="E140" s="179">
        <v>160</v>
      </c>
      <c r="F140" s="171">
        <v>5.5</v>
      </c>
      <c r="G140" s="172">
        <v>160.1</v>
      </c>
      <c r="H140" s="173">
        <v>5.5</v>
      </c>
    </row>
    <row r="141" spans="1:8">
      <c r="A141" s="152">
        <v>270508</v>
      </c>
      <c r="B141" s="153" t="s">
        <v>243</v>
      </c>
      <c r="C141" s="153" t="s">
        <v>243</v>
      </c>
      <c r="D141" s="150" t="e">
        <f>VLOOKUP(A141,[1]订单!A$1:C$65536,2,0)</f>
        <v>#N/A</v>
      </c>
      <c r="E141" s="179">
        <v>154.88</v>
      </c>
      <c r="F141" s="171">
        <v>6</v>
      </c>
      <c r="G141" s="172">
        <v>154.88</v>
      </c>
      <c r="H141" s="173">
        <v>6</v>
      </c>
    </row>
    <row r="142" spans="1:8">
      <c r="A142" s="162">
        <v>270507</v>
      </c>
      <c r="B142" s="153" t="s">
        <v>244</v>
      </c>
      <c r="C142" s="153" t="s">
        <v>244</v>
      </c>
      <c r="D142" s="150" t="e">
        <f>VLOOKUP(A142,[1]订单!A$1:C$65536,2,0)</f>
        <v>#N/A</v>
      </c>
      <c r="E142" s="179">
        <v>39.4</v>
      </c>
      <c r="F142" s="171">
        <v>15</v>
      </c>
      <c r="G142" s="172">
        <v>39.4</v>
      </c>
      <c r="H142" s="173">
        <v>15</v>
      </c>
    </row>
    <row r="143" spans="1:8">
      <c r="A143" s="162" t="s">
        <v>245</v>
      </c>
      <c r="B143" s="153" t="s">
        <v>147</v>
      </c>
      <c r="C143" s="153" t="s">
        <v>147</v>
      </c>
      <c r="D143" s="162" t="e">
        <f>VLOOKUP(A143,[1]订单!A$1:C$65536,2,0)</f>
        <v>#N/A</v>
      </c>
      <c r="E143" s="179">
        <v>40</v>
      </c>
      <c r="F143" s="171">
        <v>10</v>
      </c>
      <c r="G143" s="172">
        <v>40</v>
      </c>
      <c r="H143" s="173">
        <v>10</v>
      </c>
    </row>
    <row r="144" spans="1:8">
      <c r="A144" s="162" t="s">
        <v>246</v>
      </c>
      <c r="B144" s="153" t="s">
        <v>30</v>
      </c>
      <c r="C144" s="153" t="s">
        <v>148</v>
      </c>
      <c r="D144" s="164">
        <f>D76</f>
        <v>1082518</v>
      </c>
      <c r="E144" s="179">
        <v>40</v>
      </c>
      <c r="F144" s="171">
        <v>10</v>
      </c>
      <c r="G144" s="172"/>
      <c r="H144" s="173"/>
    </row>
    <row r="145" spans="1:8">
      <c r="A145" s="162">
        <v>270533</v>
      </c>
      <c r="B145" s="153" t="s">
        <v>247</v>
      </c>
      <c r="C145" s="153" t="s">
        <v>247</v>
      </c>
      <c r="D145" s="164">
        <f>VLOOKUP(A145,[1]订单!A$1:C$65536,2,0)</f>
        <v>1082545</v>
      </c>
      <c r="E145" s="179">
        <v>37.35</v>
      </c>
      <c r="F145" s="171">
        <v>15</v>
      </c>
      <c r="G145" s="172">
        <v>37.35</v>
      </c>
      <c r="H145" s="173">
        <v>15</v>
      </c>
    </row>
    <row r="146" spans="1:8">
      <c r="A146" s="162">
        <v>270532</v>
      </c>
      <c r="B146" s="153" t="s">
        <v>248</v>
      </c>
      <c r="C146" s="153" t="s">
        <v>248</v>
      </c>
      <c r="D146" s="164" t="e">
        <f>VLOOKUP(A146,[1]订单!A$1:C$65536,2,0)</f>
        <v>#N/A</v>
      </c>
      <c r="E146" s="179">
        <v>157.75</v>
      </c>
      <c r="F146" s="171">
        <v>5.5</v>
      </c>
      <c r="G146" s="172">
        <v>157.75</v>
      </c>
      <c r="H146" s="173">
        <v>5.5</v>
      </c>
    </row>
    <row r="147" spans="1:8">
      <c r="A147" s="162" t="s">
        <v>249</v>
      </c>
      <c r="B147" s="153" t="s">
        <v>117</v>
      </c>
      <c r="C147" s="153" t="s">
        <v>117</v>
      </c>
      <c r="D147" s="162">
        <f>D74</f>
        <v>1082519</v>
      </c>
      <c r="E147" s="179">
        <v>40</v>
      </c>
      <c r="F147" s="171">
        <v>10</v>
      </c>
      <c r="G147" s="172"/>
      <c r="H147" s="173"/>
    </row>
    <row r="148" spans="1:8">
      <c r="A148" s="162">
        <v>270547</v>
      </c>
      <c r="B148" s="153" t="s">
        <v>250</v>
      </c>
      <c r="C148" s="153" t="s">
        <v>250</v>
      </c>
      <c r="D148" s="162" t="e">
        <f>VLOOKUP(A148,[1]订单!A$1:C$65536,2,0)</f>
        <v>#N/A</v>
      </c>
      <c r="E148" s="179">
        <v>42.25</v>
      </c>
      <c r="F148" s="171">
        <v>15</v>
      </c>
      <c r="G148" s="172">
        <v>42.25</v>
      </c>
      <c r="H148" s="173">
        <v>15</v>
      </c>
    </row>
    <row r="149" spans="1:8">
      <c r="A149" s="162" t="s">
        <v>251</v>
      </c>
      <c r="B149" s="153" t="s">
        <v>154</v>
      </c>
      <c r="C149" s="153" t="s">
        <v>154</v>
      </c>
      <c r="D149" s="162">
        <f>D69</f>
        <v>1082517</v>
      </c>
      <c r="E149" s="179">
        <f>E69</f>
        <v>37</v>
      </c>
      <c r="F149" s="171">
        <f>F69</f>
        <v>15</v>
      </c>
      <c r="G149" s="172">
        <f>G69</f>
        <v>37.04</v>
      </c>
      <c r="H149" s="173">
        <f>H69</f>
        <v>15</v>
      </c>
    </row>
    <row r="150" spans="1:8">
      <c r="A150" s="152">
        <v>270487</v>
      </c>
      <c r="B150" s="153" t="s">
        <v>252</v>
      </c>
      <c r="C150" s="153" t="s">
        <v>252</v>
      </c>
      <c r="D150" s="162" t="e">
        <f>VLOOKUP(A150,[1]订单!A$1:C$65536,2,0)</f>
        <v>#N/A</v>
      </c>
      <c r="E150" s="179">
        <v>42.45</v>
      </c>
      <c r="F150" s="171">
        <v>10</v>
      </c>
      <c r="G150" s="172">
        <v>42.45</v>
      </c>
      <c r="H150" s="173">
        <v>10</v>
      </c>
    </row>
    <row r="151" spans="1:8" ht="12.75" thickBot="1">
      <c r="A151" s="165">
        <v>270489</v>
      </c>
      <c r="B151" s="166" t="s">
        <v>253</v>
      </c>
      <c r="C151" s="167" t="s">
        <v>253</v>
      </c>
      <c r="D151" s="165" t="e">
        <f>VLOOKUP(A151,[1]订单!A$1:C$65536,2,0)</f>
        <v>#N/A</v>
      </c>
      <c r="E151" s="187">
        <v>38.6</v>
      </c>
      <c r="F151" s="188">
        <v>15</v>
      </c>
      <c r="G151" s="189">
        <v>38.6</v>
      </c>
      <c r="H151" s="190">
        <v>15</v>
      </c>
    </row>
  </sheetData>
  <phoneticPr fontId="2" type="noConversion"/>
  <printOptions horizontalCentered="1"/>
  <pageMargins left="0" right="0" top="0" bottom="0" header="0.23622047244094491" footer="0.23622047244094491"/>
  <pageSetup paperSize="9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B27"/>
  <sheetViews>
    <sheetView showGridLines="0" showZeros="0" workbookViewId="0">
      <selection activeCell="D9" sqref="D9"/>
    </sheetView>
  </sheetViews>
  <sheetFormatPr defaultColWidth="10" defaultRowHeight="12"/>
  <cols>
    <col min="1" max="1" width="9.140625" style="2" bestFit="1" customWidth="1"/>
    <col min="2" max="2" width="7.28515625" style="2" bestFit="1" customWidth="1"/>
    <col min="3" max="16384" width="10" style="4"/>
  </cols>
  <sheetData>
    <row r="1" spans="1:2">
      <c r="A1" s="1" t="s">
        <v>254</v>
      </c>
      <c r="B1" s="1" t="s">
        <v>255</v>
      </c>
    </row>
    <row r="2" spans="1:2">
      <c r="A2" s="1">
        <v>1</v>
      </c>
      <c r="B2" s="1" t="s">
        <v>256</v>
      </c>
    </row>
    <row r="3" spans="1:2">
      <c r="A3" s="6">
        <v>2</v>
      </c>
      <c r="B3" s="6" t="s">
        <v>257</v>
      </c>
    </row>
    <row r="4" spans="1:2">
      <c r="A4" s="1">
        <v>3</v>
      </c>
      <c r="B4" s="1" t="s">
        <v>258</v>
      </c>
    </row>
    <row r="5" spans="1:2">
      <c r="A5" s="1">
        <v>4</v>
      </c>
      <c r="B5" s="1" t="s">
        <v>259</v>
      </c>
    </row>
    <row r="6" spans="1:2">
      <c r="A6" s="6">
        <v>5</v>
      </c>
      <c r="B6" s="1" t="s">
        <v>260</v>
      </c>
    </row>
    <row r="7" spans="1:2">
      <c r="A7" s="1">
        <v>6</v>
      </c>
      <c r="B7" s="1" t="s">
        <v>261</v>
      </c>
    </row>
    <row r="8" spans="1:2">
      <c r="A8" s="1">
        <v>7</v>
      </c>
      <c r="B8" s="1" t="s">
        <v>262</v>
      </c>
    </row>
    <row r="9" spans="1:2">
      <c r="A9" s="6">
        <v>8</v>
      </c>
      <c r="B9" s="1" t="s">
        <v>263</v>
      </c>
    </row>
    <row r="10" spans="1:2">
      <c r="A10" s="1">
        <v>9</v>
      </c>
      <c r="B10" s="1" t="s">
        <v>264</v>
      </c>
    </row>
    <row r="11" spans="1:2">
      <c r="A11" s="1">
        <v>10</v>
      </c>
      <c r="B11" s="1" t="s">
        <v>265</v>
      </c>
    </row>
    <row r="12" spans="1:2">
      <c r="A12" s="6">
        <v>11</v>
      </c>
      <c r="B12" s="1" t="s">
        <v>266</v>
      </c>
    </row>
    <row r="13" spans="1:2">
      <c r="A13" s="1">
        <v>12</v>
      </c>
      <c r="B13" s="1" t="s">
        <v>267</v>
      </c>
    </row>
    <row r="14" spans="1:2">
      <c r="A14" s="1">
        <v>13</v>
      </c>
      <c r="B14" s="1" t="s">
        <v>268</v>
      </c>
    </row>
    <row r="15" spans="1:2">
      <c r="A15" s="6">
        <v>14</v>
      </c>
      <c r="B15" s="1" t="s">
        <v>269</v>
      </c>
    </row>
    <row r="16" spans="1:2">
      <c r="A16" s="1">
        <v>15</v>
      </c>
      <c r="B16" s="1" t="s">
        <v>270</v>
      </c>
    </row>
    <row r="17" spans="1:2">
      <c r="A17" s="1">
        <v>16</v>
      </c>
      <c r="B17" s="1" t="s">
        <v>271</v>
      </c>
    </row>
    <row r="18" spans="1:2">
      <c r="A18" s="6">
        <v>17</v>
      </c>
      <c r="B18" s="1" t="s">
        <v>272</v>
      </c>
    </row>
    <row r="19" spans="1:2">
      <c r="A19" s="1">
        <v>18</v>
      </c>
      <c r="B19" s="1" t="s">
        <v>273</v>
      </c>
    </row>
    <row r="20" spans="1:2">
      <c r="A20" s="1">
        <v>19</v>
      </c>
      <c r="B20" s="1" t="s">
        <v>274</v>
      </c>
    </row>
    <row r="21" spans="1:2">
      <c r="A21" s="6">
        <v>20</v>
      </c>
      <c r="B21" s="1" t="s">
        <v>275</v>
      </c>
    </row>
    <row r="22" spans="1:2">
      <c r="A22" s="203">
        <v>21</v>
      </c>
      <c r="B22" s="1" t="s">
        <v>276</v>
      </c>
    </row>
    <row r="23" spans="1:2">
      <c r="A23" s="203">
        <v>22</v>
      </c>
      <c r="B23" s="1" t="s">
        <v>277</v>
      </c>
    </row>
    <row r="24" spans="1:2">
      <c r="A24" s="232">
        <v>23</v>
      </c>
      <c r="B24" s="1" t="s">
        <v>278</v>
      </c>
    </row>
    <row r="25" spans="1:2">
      <c r="A25" s="232">
        <v>24</v>
      </c>
      <c r="B25" s="1" t="s">
        <v>279</v>
      </c>
    </row>
    <row r="26" spans="1:2">
      <c r="A26" s="203">
        <v>25</v>
      </c>
      <c r="B26" s="1" t="s">
        <v>280</v>
      </c>
    </row>
    <row r="27" spans="1:2">
      <c r="A27" s="1">
        <v>26</v>
      </c>
      <c r="B27" s="203" t="s">
        <v>281</v>
      </c>
    </row>
  </sheetData>
  <phoneticPr fontId="2" type="noConversion"/>
  <printOptions horizontalCentered="1"/>
  <pageMargins left="0" right="0" top="0" bottom="0" header="0.23622047244094491" footer="0.23622047244094491"/>
  <pageSetup paperSize="9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1"/>
  <dimension ref="A1:AC233"/>
  <sheetViews>
    <sheetView showGridLines="0" showZeros="0" tabSelected="1" workbookViewId="0">
      <selection activeCell="F2" sqref="F1:H1048576"/>
    </sheetView>
  </sheetViews>
  <sheetFormatPr defaultRowHeight="20.25"/>
  <cols>
    <col min="1" max="1" width="6.7109375" style="74" customWidth="1"/>
    <col min="2" max="2" width="13.140625" style="74" customWidth="1"/>
    <col min="3" max="3" width="2.7109375" style="74" customWidth="1"/>
    <col min="4" max="4" width="5.28515625" style="74" customWidth="1"/>
    <col min="5" max="6" width="7.7109375" style="74" customWidth="1"/>
    <col min="7" max="7" width="10.7109375" style="74" hidden="1" customWidth="1"/>
    <col min="8" max="8" width="7.7109375" style="74" customWidth="1"/>
    <col min="9" max="9" width="6.7109375" style="74" customWidth="1"/>
    <col min="10" max="10" width="14.7109375" style="16" customWidth="1"/>
    <col min="11" max="11" width="2.7109375" style="16" customWidth="1"/>
    <col min="12" max="12" width="6.7109375" style="16" customWidth="1"/>
    <col min="13" max="13" width="6.28515625" style="16" customWidth="1"/>
    <col min="14" max="14" width="6.28515625" style="74" customWidth="1"/>
    <col min="15" max="15" width="12.28515625" style="75" hidden="1" customWidth="1"/>
    <col min="16" max="16" width="8.5703125" style="16" customWidth="1"/>
    <col min="17" max="17" width="8.5703125" style="14" bestFit="1" customWidth="1"/>
    <col min="18" max="18" width="8.5703125" style="15" bestFit="1" customWidth="1"/>
    <col min="19" max="19" width="4.7109375" style="16" customWidth="1"/>
    <col min="20" max="20" width="3.85546875" style="16" bestFit="1" customWidth="1"/>
    <col min="21" max="22" width="5.7109375" style="17" bestFit="1" customWidth="1"/>
    <col min="23" max="24" width="5.7109375" style="18" customWidth="1"/>
    <col min="25" max="25" width="5.7109375" style="17" hidden="1" customWidth="1"/>
    <col min="26" max="29" width="5.7109375" style="16" hidden="1" customWidth="1"/>
    <col min="30" max="30" width="5.7109375" style="17" customWidth="1"/>
    <col min="31" max="16384" width="9.140625" style="17"/>
  </cols>
  <sheetData>
    <row r="1" spans="1:29" ht="33.75">
      <c r="A1" s="303" t="s">
        <v>282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</row>
    <row r="2" spans="1:29" ht="31.5">
      <c r="A2" s="118"/>
      <c r="B2" s="118"/>
      <c r="C2" s="118"/>
      <c r="D2" s="118"/>
      <c r="E2" s="118"/>
      <c r="F2" s="118"/>
      <c r="G2" s="118"/>
      <c r="H2" s="118"/>
      <c r="J2" s="119"/>
      <c r="K2" s="119"/>
      <c r="L2" s="119"/>
      <c r="M2" s="119"/>
      <c r="N2" s="119"/>
      <c r="O2" s="119"/>
      <c r="P2" s="119"/>
    </row>
    <row r="3" spans="1:29" ht="23.25" thickBot="1">
      <c r="A3" s="304" t="s">
        <v>283</v>
      </c>
      <c r="B3" s="304"/>
      <c r="C3" s="208"/>
      <c r="D3" s="279">
        <v>41585</v>
      </c>
      <c r="E3" s="279"/>
      <c r="F3" s="279"/>
      <c r="G3" s="279"/>
      <c r="H3" s="279"/>
      <c r="I3" s="280" t="str">
        <f>IF(WEEKDAY(D3,2)=7,"星期日",IF(WEEKDAY(D3,2)=6,"星期六",IF(WEEKDAY(D3,2)=5,"星期五",IF(WEEKDAY(D3,2)=4,"星期四",IF(WEEKDAY(D3,2)=3,"星期三",IF(WEEKDAY(D3,2)=2,"星期二",IF(WEEKDAY(D3,2)=1,"星期一",WEEKDAY(D3,2))))))))</f>
        <v>星期四</v>
      </c>
      <c r="J3" s="280"/>
      <c r="K3" s="281">
        <f>D3-40908-366</f>
        <v>311</v>
      </c>
      <c r="L3" s="281"/>
      <c r="M3" s="281"/>
      <c r="N3" s="281"/>
      <c r="O3" s="281"/>
      <c r="P3" s="281"/>
      <c r="Q3" s="273" t="s">
        <v>284</v>
      </c>
      <c r="R3" s="273"/>
      <c r="S3" s="273"/>
      <c r="T3" s="273"/>
      <c r="U3" s="272" t="s">
        <v>285</v>
      </c>
      <c r="V3" s="272"/>
    </row>
    <row r="4" spans="1:29" s="31" customFormat="1" ht="13.5" thickTop="1" thickBot="1">
      <c r="A4" s="19" t="s">
        <v>286</v>
      </c>
      <c r="B4" s="20" t="s">
        <v>287</v>
      </c>
      <c r="C4" s="277" t="s">
        <v>288</v>
      </c>
      <c r="D4" s="278"/>
      <c r="E4" s="20" t="s">
        <v>289</v>
      </c>
      <c r="F4" s="20" t="s">
        <v>291</v>
      </c>
      <c r="G4" s="21"/>
      <c r="H4" s="214" t="s">
        <v>292</v>
      </c>
      <c r="I4" s="22" t="s">
        <v>286</v>
      </c>
      <c r="J4" s="23" t="s">
        <v>293</v>
      </c>
      <c r="K4" s="277" t="s">
        <v>288</v>
      </c>
      <c r="L4" s="278"/>
      <c r="M4" s="24" t="s">
        <v>289</v>
      </c>
      <c r="N4" s="23" t="s">
        <v>291</v>
      </c>
      <c r="O4" s="25"/>
      <c r="P4" s="26" t="s">
        <v>292</v>
      </c>
      <c r="Q4" s="27" t="s">
        <v>294</v>
      </c>
      <c r="R4" s="28" t="s">
        <v>295</v>
      </c>
      <c r="S4" s="29" t="s">
        <v>296</v>
      </c>
      <c r="T4" s="29" t="s">
        <v>298</v>
      </c>
      <c r="U4" s="27" t="s">
        <v>294</v>
      </c>
      <c r="V4" s="28" t="s">
        <v>295</v>
      </c>
      <c r="W4" s="30"/>
      <c r="X4" s="30"/>
      <c r="Z4" s="71"/>
      <c r="AA4" s="71"/>
      <c r="AB4" s="71"/>
      <c r="AC4" s="71"/>
    </row>
    <row r="5" spans="1:29" s="31" customFormat="1" ht="13.5" thickTop="1" thickBot="1">
      <c r="A5" s="162">
        <v>270035</v>
      </c>
      <c r="B5" s="199" t="str">
        <f>IF(A5=0,0,VLOOKUP(A5,'00'!$A$1:$F$65536,2,0))</f>
        <v>SES471(1)</v>
      </c>
      <c r="C5" s="5">
        <v>2</v>
      </c>
      <c r="D5" s="3" t="str">
        <f>IF(C5=0,0,VLOOKUP(C5,'01'!$A$2:$B$98,2,0))</f>
        <v>挤出</v>
      </c>
      <c r="E5" s="12">
        <v>5</v>
      </c>
      <c r="F5" s="33" t="s">
        <v>299</v>
      </c>
      <c r="G5" s="34">
        <f t="shared" ref="G5:G37" si="0">IF(F5="中",1,IF(F5="夜",1000000,IF(F5="早",1000000000000,0)))</f>
        <v>1000000000000</v>
      </c>
      <c r="H5" s="206">
        <f>IF(A5=0,0,VLOOKUP(A5,'00'!$A:$F,4,0))</f>
        <v>1082508</v>
      </c>
      <c r="I5" s="9">
        <v>270098</v>
      </c>
      <c r="J5" s="34" t="str">
        <f>IF(I5=0,0,VLOOKUP(I5,'00'!$A$1:$F$65536,2,0))</f>
        <v>DJS601薄片</v>
      </c>
      <c r="K5" s="10">
        <v>20</v>
      </c>
      <c r="L5" s="11" t="str">
        <f>IF(K5=0,0,VLOOKUP(K5,'01'!$A$2:$B$98,2,0))</f>
        <v>约定</v>
      </c>
      <c r="M5" s="13">
        <v>0</v>
      </c>
      <c r="N5" s="33" t="s">
        <v>299</v>
      </c>
      <c r="O5" s="35">
        <f t="shared" ref="O5:O37" si="1">IF(N5="中",1,IF(N5="夜",10000,IF(N5="日",100000000,0)))</f>
        <v>0</v>
      </c>
      <c r="P5" s="36">
        <f>IF(I5=0,0,VLOOKUP(I5,'00'!$A:$F,4,0))</f>
        <v>1082522</v>
      </c>
      <c r="Q5" s="37">
        <f>IF(A5=0,0,VLOOKUP(A5,'00'!$A$1:$F$65536,5,0))</f>
        <v>170</v>
      </c>
      <c r="R5" s="37">
        <f>IF(A5=0,0,VLOOKUP(A5,'00'!$A$1:$G$65536,6,0))</f>
        <v>6</v>
      </c>
      <c r="S5" s="38">
        <f t="shared" ref="S5:S37" si="2">IF(A5=270278,1,IF(RIGHT(B5,3)="(0)",1,0))</f>
        <v>0</v>
      </c>
      <c r="T5" s="38">
        <f t="shared" ref="T5:T37" si="3">IF(G5=0,1,0)</f>
        <v>0</v>
      </c>
      <c r="U5" s="37">
        <f>IF(I5=0,0,VLOOKUP(I5,'00'!$A:$F,5,0))+X5</f>
        <v>0</v>
      </c>
      <c r="V5" s="37">
        <f>IF(I5=0,0,VLOOKUP(I5,'00'!$A$1:$F$65536,6,0))</f>
        <v>1.5</v>
      </c>
      <c r="W5" s="37"/>
      <c r="X5" s="30">
        <f t="shared" ref="X5:X37" si="4">IF(K5=9,125,0)</f>
        <v>0</v>
      </c>
      <c r="Y5" s="31">
        <f t="shared" ref="Y5:Y37" si="5">E5*R5</f>
        <v>30</v>
      </c>
      <c r="Z5" s="71">
        <f t="shared" ref="Z5:Z37" si="6">+E5*Q5</f>
        <v>850</v>
      </c>
      <c r="AA5" s="71">
        <f>+S5*Z5</f>
        <v>0</v>
      </c>
      <c r="AB5" s="71">
        <f>+Z5-AA5</f>
        <v>850</v>
      </c>
      <c r="AC5" s="71"/>
    </row>
    <row r="6" spans="1:29" s="31" customFormat="1" ht="13.5" thickTop="1" thickBot="1">
      <c r="A6" s="32">
        <v>270036</v>
      </c>
      <c r="B6" s="199" t="str">
        <f>IF(A6=0,0,VLOOKUP(A6,'00'!$A$1:$F$65536,2,0))</f>
        <v>SES311(1)</v>
      </c>
      <c r="C6" s="5">
        <v>2</v>
      </c>
      <c r="D6" s="3" t="str">
        <f>IF(C6=0,0,VLOOKUP(C6,'01'!$A$2:$B$98,2,0))</f>
        <v>挤出</v>
      </c>
      <c r="E6" s="12">
        <v>10</v>
      </c>
      <c r="F6" s="33" t="s">
        <v>299</v>
      </c>
      <c r="G6" s="34">
        <f t="shared" si="0"/>
        <v>1000000000000</v>
      </c>
      <c r="H6" s="206">
        <f>IF(A6=0,0,VLOOKUP(A6,'00'!$A:$F,4,0))</f>
        <v>1082503</v>
      </c>
      <c r="I6" s="162">
        <v>270143</v>
      </c>
      <c r="J6" s="34" t="str">
        <f>IF(I6=0,0,VLOOKUP(I6,'00'!$A$1:$F$65536,2,0))</f>
        <v>DJS702(1)</v>
      </c>
      <c r="K6" s="34">
        <v>12</v>
      </c>
      <c r="L6" s="7" t="str">
        <f>IF(K6=0,0,VLOOKUP(K6,'01'!$A$2:$B$98,2,0))</f>
        <v>申舒窄</v>
      </c>
      <c r="M6" s="39">
        <v>3</v>
      </c>
      <c r="N6" s="40" t="s">
        <v>57</v>
      </c>
      <c r="O6" s="41">
        <f t="shared" si="1"/>
        <v>0</v>
      </c>
      <c r="P6" s="42">
        <f>IF(I6=0,0,VLOOKUP(I6,'00'!$A:$F,4,0))</f>
        <v>1082516</v>
      </c>
      <c r="Q6" s="37">
        <f>IF(A6=0,0,VLOOKUP(A6,'00'!$A$1:$F$65536,5,0))</f>
        <v>175.5</v>
      </c>
      <c r="R6" s="37">
        <f>IF(A6=0,0,VLOOKUP(A6,'00'!$A$1:$G$65536,6,0))</f>
        <v>6</v>
      </c>
      <c r="S6" s="38">
        <f t="shared" si="2"/>
        <v>0</v>
      </c>
      <c r="T6" s="38">
        <f t="shared" si="3"/>
        <v>0</v>
      </c>
      <c r="U6" s="37">
        <f>IF(I6=0,0,VLOOKUP(I6,'00'!$A:$F,5,0))+X6</f>
        <v>37</v>
      </c>
      <c r="V6" s="37">
        <f>IF(I6=0,0,VLOOKUP(I6,'00'!$A$1:$F$65536,6,0))</f>
        <v>15</v>
      </c>
      <c r="W6" s="30"/>
      <c r="X6" s="30">
        <f t="shared" si="4"/>
        <v>0</v>
      </c>
      <c r="Y6" s="31">
        <f t="shared" si="5"/>
        <v>60</v>
      </c>
      <c r="Z6" s="71">
        <f t="shared" si="6"/>
        <v>1755</v>
      </c>
      <c r="AA6" s="71">
        <f t="shared" ref="AA6:AA37" si="7">+S6*Z6</f>
        <v>0</v>
      </c>
      <c r="AB6" s="71">
        <f t="shared" ref="AB6:AB37" si="8">+Z6-AA6</f>
        <v>1755</v>
      </c>
      <c r="AC6" s="71">
        <f>+U6*M6</f>
        <v>111</v>
      </c>
    </row>
    <row r="7" spans="1:29" s="31" customFormat="1" ht="13.5" thickTop="1" thickBot="1">
      <c r="A7" s="32">
        <v>270296</v>
      </c>
      <c r="B7" s="199" t="str">
        <f>IF(A7=0,0,VLOOKUP(A7,'00'!$A$1:$F$65536,2,0))</f>
        <v>SES404(1)</v>
      </c>
      <c r="C7" s="5">
        <v>2</v>
      </c>
      <c r="D7" s="3" t="str">
        <f>IF(C7=0,0,VLOOKUP(C7,'01'!$A$2:$B$98,2,0))</f>
        <v>挤出</v>
      </c>
      <c r="E7" s="12">
        <v>12</v>
      </c>
      <c r="F7" s="33" t="s">
        <v>299</v>
      </c>
      <c r="G7" s="34">
        <f t="shared" si="0"/>
        <v>1000000000000</v>
      </c>
      <c r="H7" s="206">
        <f>IF(A7=0,0,VLOOKUP(A7,'00'!$A:$F,4,0))</f>
        <v>1082511</v>
      </c>
      <c r="I7" s="162">
        <v>270143</v>
      </c>
      <c r="J7" s="34" t="str">
        <f>IF(I7=0,0,VLOOKUP(I7,'00'!$A$1:$F$65536,2,0))</f>
        <v>DJS702(1)</v>
      </c>
      <c r="K7" s="34">
        <v>10</v>
      </c>
      <c r="L7" s="7" t="str">
        <f>IF(K7=0,0,VLOOKUP(K7,'01'!$A$2:$B$98,2,0))</f>
        <v>申舒</v>
      </c>
      <c r="M7" s="39">
        <v>18</v>
      </c>
      <c r="N7" s="40" t="s">
        <v>57</v>
      </c>
      <c r="O7" s="41">
        <f t="shared" si="1"/>
        <v>0</v>
      </c>
      <c r="P7" s="42">
        <f>IF(I7=0,0,VLOOKUP(I7,'00'!$A:$F,4,0))</f>
        <v>1082516</v>
      </c>
      <c r="Q7" s="37">
        <f>IF(A7=0,0,VLOOKUP(A7,'00'!$A$1:$F$65536,5,0))</f>
        <v>175</v>
      </c>
      <c r="R7" s="37">
        <f>IF(A7=0,0,VLOOKUP(A7,'00'!$A$1:$G$65536,6,0))</f>
        <v>5.5</v>
      </c>
      <c r="S7" s="38">
        <f t="shared" si="2"/>
        <v>0</v>
      </c>
      <c r="T7" s="38">
        <f t="shared" si="3"/>
        <v>0</v>
      </c>
      <c r="U7" s="37">
        <f>IF(I7=0,0,VLOOKUP(I7,'00'!$A:$F,5,0))+X7</f>
        <v>37</v>
      </c>
      <c r="V7" s="37">
        <f>IF(I7=0,0,VLOOKUP(I7,'00'!$A$1:$F$65536,6,0))</f>
        <v>15</v>
      </c>
      <c r="W7" s="30"/>
      <c r="X7" s="30">
        <f t="shared" si="4"/>
        <v>0</v>
      </c>
      <c r="Y7" s="31">
        <f t="shared" si="5"/>
        <v>66</v>
      </c>
      <c r="Z7" s="71">
        <f t="shared" si="6"/>
        <v>2100</v>
      </c>
      <c r="AA7" s="71">
        <f t="shared" si="7"/>
        <v>0</v>
      </c>
      <c r="AB7" s="71">
        <f t="shared" si="8"/>
        <v>2100</v>
      </c>
      <c r="AC7" s="71">
        <f t="shared" ref="AC7:AC26" si="9">+U7*M7</f>
        <v>666</v>
      </c>
    </row>
    <row r="8" spans="1:29" s="31" customFormat="1" ht="13.5" thickTop="1" thickBot="1">
      <c r="A8" s="32">
        <v>270232</v>
      </c>
      <c r="B8" s="199" t="str">
        <f>IF(A8=0,0,VLOOKUP(A8,'00'!$A$1:$F$65536,2,0))</f>
        <v>SES401(1)二段</v>
      </c>
      <c r="C8" s="5">
        <v>2</v>
      </c>
      <c r="D8" s="3" t="str">
        <f>IF(C8=0,0,VLOOKUP(C8,'01'!$A$2:$B$98,2,0))</f>
        <v>挤出</v>
      </c>
      <c r="E8" s="12">
        <v>30</v>
      </c>
      <c r="F8" s="33" t="s">
        <v>299</v>
      </c>
      <c r="G8" s="34">
        <f t="shared" si="0"/>
        <v>1000000000000</v>
      </c>
      <c r="H8" s="206">
        <f>IF(A8=0,0,VLOOKUP(A8,'00'!$A:$F,4,0))</f>
        <v>1082509</v>
      </c>
      <c r="I8" s="162">
        <v>270047</v>
      </c>
      <c r="J8" s="34" t="str">
        <f>IF(I8=0,0,VLOOKUP(I8,'00'!$A$1:$F$65536,2,0))</f>
        <v>DJS801(1)</v>
      </c>
      <c r="K8" s="34">
        <v>7</v>
      </c>
      <c r="L8" s="7" t="str">
        <f>IF(K8=0,0,VLOOKUP(K8,'01'!$A$2:$B$98,2,0))</f>
        <v>申翔</v>
      </c>
      <c r="M8" s="39">
        <v>1</v>
      </c>
      <c r="N8" s="40" t="s">
        <v>57</v>
      </c>
      <c r="O8" s="35">
        <f t="shared" si="1"/>
        <v>0</v>
      </c>
      <c r="P8" s="43">
        <f>IF(I8=0,0,VLOOKUP(I8,'00'!$A:$F,4,0))</f>
        <v>1082512</v>
      </c>
      <c r="Q8" s="37">
        <f>IF(A8=0,0,VLOOKUP(A8,'00'!$A$1:$F$65536,5,0))</f>
        <v>144.5</v>
      </c>
      <c r="R8" s="37">
        <f>IF(A8=0,0,VLOOKUP(A8,'00'!$A$1:$G$65536,6,0))</f>
        <v>4</v>
      </c>
      <c r="S8" s="38">
        <f t="shared" si="2"/>
        <v>0</v>
      </c>
      <c r="T8" s="38">
        <f t="shared" si="3"/>
        <v>0</v>
      </c>
      <c r="U8" s="37">
        <f>IF(I8=0,0,VLOOKUP(I8,'00'!$A:$F,5,0))+X8</f>
        <v>37</v>
      </c>
      <c r="V8" s="37">
        <f>IF(I8=0,0,VLOOKUP(I8,'00'!$A$1:$F$65536,6,0))</f>
        <v>15</v>
      </c>
      <c r="W8" s="30"/>
      <c r="X8" s="30">
        <f t="shared" si="4"/>
        <v>0</v>
      </c>
      <c r="Y8" s="31">
        <f t="shared" si="5"/>
        <v>120</v>
      </c>
      <c r="Z8" s="71">
        <f t="shared" si="6"/>
        <v>4335</v>
      </c>
      <c r="AA8" s="71">
        <f t="shared" si="7"/>
        <v>0</v>
      </c>
      <c r="AB8" s="71">
        <f t="shared" si="8"/>
        <v>4335</v>
      </c>
      <c r="AC8" s="71">
        <f t="shared" si="9"/>
        <v>37</v>
      </c>
    </row>
    <row r="9" spans="1:29" s="31" customFormat="1" ht="13.5" thickTop="1" thickBot="1">
      <c r="A9" s="152" t="s">
        <v>66</v>
      </c>
      <c r="B9" s="199" t="str">
        <f>IF(A9=0,0,VLOOKUP(A9,'00'!$A$1:$F$65536,2,0))</f>
        <v>CLEAN</v>
      </c>
      <c r="C9" s="5">
        <v>1</v>
      </c>
      <c r="D9" s="3" t="str">
        <f>IF(C9=0,0,VLOOKUP(C9,'01'!$A$2:$B$98,2,0))</f>
        <v>炼胶</v>
      </c>
      <c r="E9" s="12">
        <v>1</v>
      </c>
      <c r="F9" s="33" t="s">
        <v>299</v>
      </c>
      <c r="G9" s="34">
        <f t="shared" si="0"/>
        <v>1000000000000</v>
      </c>
      <c r="H9" s="206">
        <f>IF(A9=0,0,VLOOKUP(A9,'00'!$A:$F,4,0))</f>
        <v>0</v>
      </c>
      <c r="I9" s="55">
        <v>270032</v>
      </c>
      <c r="J9" s="34" t="str">
        <f>IF(I9=0,0,VLOOKUP(I9,'00'!$A$1:$F$65536,2,0))</f>
        <v>SJS191(1)</v>
      </c>
      <c r="K9" s="56">
        <v>7</v>
      </c>
      <c r="L9" s="8" t="str">
        <f>IF(K9=0,0,VLOOKUP(K9,'01'!$A$2:$B$98,2,0))</f>
        <v>申翔</v>
      </c>
      <c r="M9" s="76">
        <v>2</v>
      </c>
      <c r="N9" s="40" t="s">
        <v>57</v>
      </c>
      <c r="O9" s="35">
        <f t="shared" si="1"/>
        <v>0</v>
      </c>
      <c r="P9" s="43">
        <f>IF(I9=0,0,VLOOKUP(I9,'00'!$A:$F,4,0))</f>
        <v>1082521</v>
      </c>
      <c r="Q9" s="37">
        <f>IF(A9=0,0,VLOOKUP(A9,'00'!$A$1:$F$65536,5,0))</f>
        <v>0</v>
      </c>
      <c r="R9" s="37">
        <f>IF(A9=0,0,VLOOKUP(A9,'00'!$A$1:$G$65536,6,0))</f>
        <v>0</v>
      </c>
      <c r="S9" s="38">
        <f t="shared" si="2"/>
        <v>0</v>
      </c>
      <c r="T9" s="38">
        <f t="shared" si="3"/>
        <v>0</v>
      </c>
      <c r="U9" s="37">
        <f>IF(I9=0,0,VLOOKUP(I9,'00'!$A:$F,5,0))+X9</f>
        <v>37</v>
      </c>
      <c r="V9" s="37">
        <f>IF(I9=0,0,VLOOKUP(I9,'00'!$A$1:$F$65536,6,0))</f>
        <v>15</v>
      </c>
      <c r="W9" s="30"/>
      <c r="X9" s="30">
        <f t="shared" si="4"/>
        <v>0</v>
      </c>
      <c r="Y9" s="31">
        <f t="shared" si="5"/>
        <v>0</v>
      </c>
      <c r="Z9" s="71">
        <f t="shared" si="6"/>
        <v>0</v>
      </c>
      <c r="AA9" s="71">
        <f t="shared" si="7"/>
        <v>0</v>
      </c>
      <c r="AB9" s="71">
        <f t="shared" si="8"/>
        <v>0</v>
      </c>
      <c r="AC9" s="71">
        <f t="shared" si="9"/>
        <v>74</v>
      </c>
    </row>
    <row r="10" spans="1:29" s="31" customFormat="1" ht="13.5" thickTop="1" thickBot="1">
      <c r="A10" s="32">
        <v>270018</v>
      </c>
      <c r="B10" s="199" t="str">
        <f>IF(A10=0,0,VLOOKUP(A10,'00'!$A$1:$F$65536,2,0))</f>
        <v>DEC601(1)</v>
      </c>
      <c r="C10" s="5">
        <v>2</v>
      </c>
      <c r="D10" s="3" t="str">
        <f>IF(C10=0,0,VLOOKUP(C10,'01'!$A$2:$B$98,2,0))</f>
        <v>挤出</v>
      </c>
      <c r="E10" s="12">
        <v>33</v>
      </c>
      <c r="F10" s="33" t="s">
        <v>299</v>
      </c>
      <c r="G10" s="34">
        <f t="shared" si="0"/>
        <v>1000000000000</v>
      </c>
      <c r="H10" s="206">
        <f>IF(A10=0,0,VLOOKUP(A10,'00'!$A:$F,4,0))</f>
        <v>1082500</v>
      </c>
      <c r="I10" s="162"/>
      <c r="J10" s="34">
        <f>IF(I10=0,0,VLOOKUP(I10,'00'!$A$1:$F$65536,2,0))</f>
        <v>0</v>
      </c>
      <c r="K10" s="34"/>
      <c r="L10" s="7">
        <f>IF(K10=0,0,VLOOKUP(K10,'01'!$A$2:$B$98,2,0))</f>
        <v>0</v>
      </c>
      <c r="M10" s="39"/>
      <c r="N10" s="44" t="s">
        <v>57</v>
      </c>
      <c r="O10" s="35">
        <f t="shared" si="1"/>
        <v>0</v>
      </c>
      <c r="P10" s="45">
        <f>IF(I10=0,0,VLOOKUP(I10,'00'!$A:$F,4,0))</f>
        <v>0</v>
      </c>
      <c r="Q10" s="37">
        <f>IF(A10=0,0,VLOOKUP(A10,'00'!$A$1:$F$65536,5,0))</f>
        <v>165</v>
      </c>
      <c r="R10" s="37">
        <f>IF(A10=0,0,VLOOKUP(A10,'00'!$A$1:$G$65536,6,0))</f>
        <v>5.2</v>
      </c>
      <c r="S10" s="38">
        <f t="shared" si="2"/>
        <v>0</v>
      </c>
      <c r="T10" s="38">
        <f t="shared" si="3"/>
        <v>0</v>
      </c>
      <c r="U10" s="37">
        <f>IF(I10=0,0,VLOOKUP(I10,'00'!$A:$F,5,0))+X10</f>
        <v>0</v>
      </c>
      <c r="V10" s="37">
        <f>IF(I10=0,0,VLOOKUP(I10,'00'!$A$1:$F$65536,6,0))</f>
        <v>0</v>
      </c>
      <c r="W10" s="30"/>
      <c r="X10" s="30">
        <f t="shared" si="4"/>
        <v>0</v>
      </c>
      <c r="Y10" s="31">
        <f t="shared" si="5"/>
        <v>171.6</v>
      </c>
      <c r="Z10" s="71">
        <f t="shared" si="6"/>
        <v>5445</v>
      </c>
      <c r="AA10" s="71">
        <f t="shared" si="7"/>
        <v>0</v>
      </c>
      <c r="AB10" s="71">
        <f t="shared" si="8"/>
        <v>5445</v>
      </c>
      <c r="AC10" s="71">
        <f t="shared" si="9"/>
        <v>0</v>
      </c>
    </row>
    <row r="11" spans="1:29" s="31" customFormat="1" ht="13.5" thickTop="1" thickBot="1">
      <c r="A11" s="32">
        <v>270018</v>
      </c>
      <c r="B11" s="199" t="str">
        <f>IF(A11=0,0,VLOOKUP(A11,'00'!$A$1:$F$65536,2,0))</f>
        <v>DEC601(1)</v>
      </c>
      <c r="C11" s="5">
        <v>2</v>
      </c>
      <c r="D11" s="3" t="str">
        <f>IF(C11=0,0,VLOOKUP(C11,'01'!$A$2:$B$98,2,0))</f>
        <v>挤出</v>
      </c>
      <c r="E11" s="12">
        <v>3</v>
      </c>
      <c r="F11" s="33" t="s">
        <v>301</v>
      </c>
      <c r="G11" s="34">
        <f t="shared" si="0"/>
        <v>1</v>
      </c>
      <c r="H11" s="206">
        <f>IF(A11=0,0,VLOOKUP(A11,'00'!$A:$F,4,0))</f>
        <v>1082500</v>
      </c>
      <c r="I11" s="162"/>
      <c r="J11" s="34">
        <f>IF(I11=0,0,VLOOKUP(I11,'00'!$A$1:$F$65536,2,0))</f>
        <v>0</v>
      </c>
      <c r="K11" s="34"/>
      <c r="L11" s="7">
        <f>IF(K11=0,0,VLOOKUP(K11,'01'!$A$2:$B$98,2,0))</f>
        <v>0</v>
      </c>
      <c r="M11" s="39"/>
      <c r="N11" s="46" t="s">
        <v>57</v>
      </c>
      <c r="O11" s="47">
        <f t="shared" si="1"/>
        <v>0</v>
      </c>
      <c r="P11" s="48">
        <f>IF(I11=0,0,VLOOKUP(I11,'00'!$A:$F,4,0))</f>
        <v>0</v>
      </c>
      <c r="Q11" s="37">
        <f>IF(A11=0,0,VLOOKUP(A11,'00'!$A$1:$F$65536,5,0))</f>
        <v>165</v>
      </c>
      <c r="R11" s="37">
        <f>IF(A11=0,0,VLOOKUP(A11,'00'!$A$1:$G$65536,6,0))</f>
        <v>5.2</v>
      </c>
      <c r="S11" s="38">
        <f t="shared" si="2"/>
        <v>0</v>
      </c>
      <c r="T11" s="38">
        <f t="shared" si="3"/>
        <v>0</v>
      </c>
      <c r="U11" s="37">
        <f>IF(I11=0,0,VLOOKUP(I11,'00'!$A:$F,5,0))+X11</f>
        <v>0</v>
      </c>
      <c r="V11" s="37">
        <f>IF(I11=0,0,VLOOKUP(I11,'00'!$A$1:$F$65536,6,0))</f>
        <v>0</v>
      </c>
      <c r="W11" s="30"/>
      <c r="X11" s="30">
        <f>IF(K11=9,125,0)</f>
        <v>0</v>
      </c>
      <c r="Y11" s="31">
        <f t="shared" si="5"/>
        <v>15.600000000000001</v>
      </c>
      <c r="Z11" s="71">
        <f t="shared" si="6"/>
        <v>495</v>
      </c>
      <c r="AA11" s="71">
        <f t="shared" si="7"/>
        <v>0</v>
      </c>
      <c r="AB11" s="71">
        <f t="shared" si="8"/>
        <v>495</v>
      </c>
      <c r="AC11" s="71">
        <f>+U11*M11</f>
        <v>0</v>
      </c>
    </row>
    <row r="12" spans="1:29" s="31" customFormat="1" ht="13.5" thickTop="1" thickBot="1">
      <c r="A12" s="32">
        <v>270427</v>
      </c>
      <c r="B12" s="233" t="str">
        <f>IF(A12=0,0,VLOOKUP(A12,'00'!$A$1:$F$65536,2,0))</f>
        <v>DEC651(1)</v>
      </c>
      <c r="C12" s="5">
        <v>18</v>
      </c>
      <c r="D12" s="3" t="str">
        <f>IF(C12=0,0,VLOOKUP(C12,'01'!$A$2:$B$98,2,0))</f>
        <v>三产</v>
      </c>
      <c r="E12" s="12">
        <v>4</v>
      </c>
      <c r="F12" s="33" t="s">
        <v>301</v>
      </c>
      <c r="G12" s="34">
        <f t="shared" si="0"/>
        <v>1</v>
      </c>
      <c r="H12" s="206">
        <f>IF(A12=0,0,VLOOKUP(A12,'00'!$A:$F,4,0))</f>
        <v>1082546</v>
      </c>
      <c r="I12" s="162"/>
      <c r="J12" s="34">
        <f>IF(I12=0,0,VLOOKUP(I12,'00'!$A$1:$F$65536,2,0))</f>
        <v>0</v>
      </c>
      <c r="K12" s="34"/>
      <c r="L12" s="7">
        <f>IF(K12=0,0,VLOOKUP(K12,'01'!$A$2:$B$98,2,0))</f>
        <v>0</v>
      </c>
      <c r="M12" s="39"/>
      <c r="N12" s="49" t="s">
        <v>57</v>
      </c>
      <c r="O12" s="50">
        <f t="shared" si="1"/>
        <v>0</v>
      </c>
      <c r="P12" s="51">
        <f>IF(I12=0,0,VLOOKUP(I12,'00'!$A:$F,4,0))</f>
        <v>0</v>
      </c>
      <c r="Q12" s="37">
        <f>IF(A12=0,0,VLOOKUP(A12,'00'!$A$1:$F$65536,5,0))</f>
        <v>156</v>
      </c>
      <c r="R12" s="37">
        <f>IF(A12=0,0,VLOOKUP(A12,'00'!$A$1:$G$65536,6,0))</f>
        <v>6</v>
      </c>
      <c r="S12" s="38">
        <f t="shared" si="2"/>
        <v>0</v>
      </c>
      <c r="T12" s="38">
        <f t="shared" si="3"/>
        <v>0</v>
      </c>
      <c r="U12" s="37">
        <f>IF(I12=0,0,VLOOKUP(I12,'00'!$A:$F,5,0))+X12</f>
        <v>0</v>
      </c>
      <c r="V12" s="37">
        <f>IF(I12=0,0,VLOOKUP(I12,'00'!$A$1:$F$65536,6,0))</f>
        <v>0</v>
      </c>
      <c r="W12" s="30"/>
      <c r="X12" s="30">
        <f t="shared" si="4"/>
        <v>0</v>
      </c>
      <c r="Y12" s="31">
        <f t="shared" si="5"/>
        <v>24</v>
      </c>
      <c r="Z12" s="71">
        <f t="shared" si="6"/>
        <v>624</v>
      </c>
      <c r="AA12" s="71">
        <f t="shared" si="7"/>
        <v>0</v>
      </c>
      <c r="AB12" s="71">
        <f t="shared" si="8"/>
        <v>624</v>
      </c>
      <c r="AC12" s="71">
        <f t="shared" si="9"/>
        <v>0</v>
      </c>
    </row>
    <row r="13" spans="1:29" s="31" customFormat="1" ht="13.5" thickTop="1" thickBot="1">
      <c r="A13" s="32">
        <v>270293</v>
      </c>
      <c r="B13" s="199" t="str">
        <f>IF(A13=0,0,VLOOKUP(A13,'00'!$A$1:$F$65536,2,0))</f>
        <v>DES604(1)</v>
      </c>
      <c r="C13" s="5">
        <v>2</v>
      </c>
      <c r="D13" s="3" t="str">
        <f>IF(C13=0,0,VLOOKUP(C13,'01'!$A$2:$B$98,2,0))</f>
        <v>挤出</v>
      </c>
      <c r="E13" s="12">
        <v>18</v>
      </c>
      <c r="F13" s="33" t="s">
        <v>301</v>
      </c>
      <c r="G13" s="34">
        <f t="shared" si="0"/>
        <v>1</v>
      </c>
      <c r="H13" s="206">
        <f>IF(A13=0,0,VLOOKUP(A13,'00'!$A:$F,4,0))</f>
        <v>1082499</v>
      </c>
      <c r="I13" s="162"/>
      <c r="J13" s="34">
        <f>IF(I13=0,0,VLOOKUP(I13,'00'!$A$1:$F$65536,2,0))</f>
        <v>0</v>
      </c>
      <c r="K13" s="34"/>
      <c r="L13" s="7">
        <f>IF(K13=0,0,VLOOKUP(K13,'01'!$A$2:$B$98,2,0))</f>
        <v>0</v>
      </c>
      <c r="M13" s="39"/>
      <c r="N13" s="46" t="s">
        <v>57</v>
      </c>
      <c r="O13" s="47">
        <f t="shared" si="1"/>
        <v>0</v>
      </c>
      <c r="P13" s="48">
        <f>IF(I13=0,0,VLOOKUP(I13,'00'!$A:$F,4,0))</f>
        <v>0</v>
      </c>
      <c r="Q13" s="37">
        <f>IF(A13=0,0,VLOOKUP(A13,'00'!$A$1:$F$65536,5,0))</f>
        <v>160</v>
      </c>
      <c r="R13" s="37">
        <f>IF(A13=0,0,VLOOKUP(A13,'00'!$A$1:$G$65536,6,0))</f>
        <v>5</v>
      </c>
      <c r="S13" s="38">
        <f t="shared" si="2"/>
        <v>0</v>
      </c>
      <c r="T13" s="38">
        <f t="shared" si="3"/>
        <v>0</v>
      </c>
      <c r="U13" s="37">
        <f>IF(I13=0,0,VLOOKUP(I13,'00'!$A:$F,5,0))+X13</f>
        <v>0</v>
      </c>
      <c r="V13" s="37">
        <f>IF(I13=0,0,VLOOKUP(I13,'00'!$A$1:$F$65536,6,0))</f>
        <v>0</v>
      </c>
      <c r="W13" s="30"/>
      <c r="X13" s="30">
        <f t="shared" si="4"/>
        <v>0</v>
      </c>
      <c r="Y13" s="31">
        <f t="shared" si="5"/>
        <v>90</v>
      </c>
      <c r="Z13" s="71">
        <f t="shared" si="6"/>
        <v>2880</v>
      </c>
      <c r="AA13" s="71">
        <f t="shared" si="7"/>
        <v>0</v>
      </c>
      <c r="AB13" s="71">
        <f t="shared" si="8"/>
        <v>2880</v>
      </c>
      <c r="AC13" s="71">
        <f t="shared" si="9"/>
        <v>0</v>
      </c>
    </row>
    <row r="14" spans="1:29" s="31" customFormat="1" ht="13.5" thickTop="1" thickBot="1">
      <c r="A14" s="32">
        <v>270292</v>
      </c>
      <c r="B14" s="233" t="str">
        <f>IF(A14=0,0,VLOOKUP(A14,'00'!$A$1:$F$65536,2,0))</f>
        <v>DEC705(1)</v>
      </c>
      <c r="C14" s="5">
        <v>2</v>
      </c>
      <c r="D14" s="3" t="str">
        <f>IF(C14=0,0,VLOOKUP(C14,'01'!$A$2:$B$98,2,0))</f>
        <v>挤出</v>
      </c>
      <c r="E14" s="12">
        <v>12</v>
      </c>
      <c r="F14" s="33" t="s">
        <v>301</v>
      </c>
      <c r="G14" s="34">
        <f t="shared" si="0"/>
        <v>1</v>
      </c>
      <c r="H14" s="206">
        <f>IF(A14=0,0,VLOOKUP(A14,'00'!$A:$F,4,0))</f>
        <v>1082494</v>
      </c>
      <c r="I14" s="32"/>
      <c r="J14" s="34">
        <f>IF(I14=0,0,VLOOKUP(I14,'00'!$A$1:$F$65536,2,0))</f>
        <v>0</v>
      </c>
      <c r="K14" s="34"/>
      <c r="L14" s="7">
        <f>IF(K14=0,0,VLOOKUP(K14,'01'!$A$2:$B$98,2,0))</f>
        <v>0</v>
      </c>
      <c r="M14" s="39"/>
      <c r="N14" s="46" t="s">
        <v>57</v>
      </c>
      <c r="O14" s="47">
        <f t="shared" si="1"/>
        <v>0</v>
      </c>
      <c r="P14" s="48">
        <f>IF(I14=0,0,VLOOKUP(I14,'00'!$A:$F,4,0))</f>
        <v>0</v>
      </c>
      <c r="Q14" s="37">
        <f>IF(A14=0,0,VLOOKUP(A14,'00'!$A$1:$F$65536,5,0))</f>
        <v>156</v>
      </c>
      <c r="R14" s="37">
        <f>IF(A14=0,0,VLOOKUP(A14,'00'!$A$1:$G$65536,6,0))</f>
        <v>5.5</v>
      </c>
      <c r="S14" s="38">
        <f t="shared" si="2"/>
        <v>0</v>
      </c>
      <c r="T14" s="38">
        <f t="shared" si="3"/>
        <v>0</v>
      </c>
      <c r="U14" s="37">
        <f>IF(I14=0,0,VLOOKUP(I14,'00'!$A:$F,5,0))+X14</f>
        <v>0</v>
      </c>
      <c r="V14" s="37">
        <f>IF(I14=0,0,VLOOKUP(I14,'00'!$A$1:$F$65536,6,0))</f>
        <v>0</v>
      </c>
      <c r="W14" s="30"/>
      <c r="X14" s="30">
        <f t="shared" si="4"/>
        <v>0</v>
      </c>
      <c r="Y14" s="31">
        <f t="shared" si="5"/>
        <v>66</v>
      </c>
      <c r="Z14" s="71">
        <f t="shared" si="6"/>
        <v>1872</v>
      </c>
      <c r="AA14" s="71">
        <f t="shared" si="7"/>
        <v>0</v>
      </c>
      <c r="AB14" s="71">
        <f t="shared" si="8"/>
        <v>1872</v>
      </c>
      <c r="AC14" s="71">
        <f t="shared" si="9"/>
        <v>0</v>
      </c>
    </row>
    <row r="15" spans="1:29" s="31" customFormat="1" ht="13.5" thickTop="1" thickBot="1">
      <c r="A15" s="32">
        <v>270023</v>
      </c>
      <c r="B15" s="199" t="str">
        <f>IF(A15=0,0,VLOOKUP(A15,'00'!$A$1:$F$65536,2,0))</f>
        <v>DES701(1)</v>
      </c>
      <c r="C15" s="5">
        <v>2</v>
      </c>
      <c r="D15" s="3" t="str">
        <f>IF(C15=0,0,VLOOKUP(C15,'01'!$A$2:$B$98,2,0))</f>
        <v>挤出</v>
      </c>
      <c r="E15" s="12">
        <v>6</v>
      </c>
      <c r="F15" s="33" t="s">
        <v>301</v>
      </c>
      <c r="G15" s="34">
        <f t="shared" si="0"/>
        <v>1</v>
      </c>
      <c r="H15" s="206">
        <f>IF(A15=0,0,VLOOKUP(A15,'00'!$A:$F,4,0))</f>
        <v>1082496</v>
      </c>
      <c r="I15" s="92"/>
      <c r="J15" s="234">
        <f>IF(I15=0,0,VLOOKUP(I15,'00'!$A$1:$F$65536,2,0))</f>
        <v>0</v>
      </c>
      <c r="K15" s="87"/>
      <c r="L15" s="88">
        <f>IF(K15=0,0,VLOOKUP(K15,'01'!$A$2:$B$98,2,0))</f>
        <v>0</v>
      </c>
      <c r="M15" s="93"/>
      <c r="N15" s="198" t="s">
        <v>57</v>
      </c>
      <c r="O15" s="90">
        <f t="shared" si="1"/>
        <v>0</v>
      </c>
      <c r="P15" s="91">
        <f>IF(I15=0,0,VLOOKUP(I15,'00'!$A:$F,4,0))</f>
        <v>0</v>
      </c>
      <c r="Q15" s="37">
        <f>IF(A15=0,0,VLOOKUP(A15,'00'!$A$1:$F$65536,5,0))</f>
        <v>160</v>
      </c>
      <c r="R15" s="37">
        <f>IF(A15=0,0,VLOOKUP(A15,'00'!$A$1:$G$65536,6,0))</f>
        <v>5.2</v>
      </c>
      <c r="S15" s="38">
        <f t="shared" si="2"/>
        <v>0</v>
      </c>
      <c r="T15" s="38">
        <f t="shared" si="3"/>
        <v>0</v>
      </c>
      <c r="U15" s="37">
        <f>IF(I15=0,0,VLOOKUP(I15,'00'!$A:$F,5,0))+X15</f>
        <v>0</v>
      </c>
      <c r="V15" s="37">
        <f>IF(I15=0,0,VLOOKUP(I15,'00'!$A$1:$F$65536,6,0))</f>
        <v>0</v>
      </c>
      <c r="W15" s="30">
        <v>0</v>
      </c>
      <c r="X15" s="30">
        <f t="shared" si="4"/>
        <v>0</v>
      </c>
      <c r="Y15" s="31">
        <f t="shared" si="5"/>
        <v>31.200000000000003</v>
      </c>
      <c r="Z15" s="71">
        <f t="shared" si="6"/>
        <v>960</v>
      </c>
      <c r="AA15" s="71">
        <f t="shared" si="7"/>
        <v>0</v>
      </c>
      <c r="AB15" s="71">
        <f t="shared" si="8"/>
        <v>960</v>
      </c>
      <c r="AC15" s="71">
        <f t="shared" si="9"/>
        <v>0</v>
      </c>
    </row>
    <row r="16" spans="1:29" s="31" customFormat="1" ht="13.5" thickTop="1" thickBot="1">
      <c r="A16" s="32">
        <v>270023</v>
      </c>
      <c r="B16" s="199" t="str">
        <f>IF(A16=0,0,VLOOKUP(A16,'00'!$A$1:$F$65536,2,0))</f>
        <v>DES701(1)</v>
      </c>
      <c r="C16" s="5">
        <v>2</v>
      </c>
      <c r="D16" s="3" t="str">
        <f>IF(C16=0,0,VLOOKUP(C16,'01'!$A$2:$B$98,2,0))</f>
        <v>挤出</v>
      </c>
      <c r="E16" s="12">
        <v>12</v>
      </c>
      <c r="F16" s="33" t="s">
        <v>301</v>
      </c>
      <c r="G16" s="34">
        <f t="shared" si="0"/>
        <v>1</v>
      </c>
      <c r="H16" s="206">
        <f>IF(A16=0,0,VLOOKUP(A16,'00'!$A:$F,4,0))</f>
        <v>1082496</v>
      </c>
      <c r="I16" s="9">
        <v>270098</v>
      </c>
      <c r="J16" s="52" t="str">
        <f>IF(I16=0,0,VLOOKUP(I16,'00'!$A$1:$F$65536,2,0))</f>
        <v>DJS601薄片</v>
      </c>
      <c r="K16" s="10">
        <v>20</v>
      </c>
      <c r="L16" s="11" t="str">
        <f>IF(K16=0,0,VLOOKUP(K16,'01'!$A$2:$B$98,2,0))</f>
        <v>约定</v>
      </c>
      <c r="M16" s="13">
        <v>0</v>
      </c>
      <c r="N16" s="40" t="s">
        <v>0</v>
      </c>
      <c r="O16" s="41">
        <f t="shared" si="1"/>
        <v>1</v>
      </c>
      <c r="P16" s="42">
        <f>IF(I16=0,0,VLOOKUP(I16,'00'!$A:$F,4,0))</f>
        <v>1082522</v>
      </c>
      <c r="Q16" s="37">
        <f>IF(A16=0,0,VLOOKUP(A16,'00'!$A$1:$F$65536,5,0))</f>
        <v>160</v>
      </c>
      <c r="R16" s="37">
        <f>IF(A16=0,0,VLOOKUP(A16,'00'!$A$1:$G$65536,6,0))</f>
        <v>5.2</v>
      </c>
      <c r="S16" s="38">
        <f>IF(A16=270278,1,IF(RIGHT(B16,3)="(0)",1,0))</f>
        <v>0</v>
      </c>
      <c r="T16" s="38">
        <f t="shared" si="3"/>
        <v>0</v>
      </c>
      <c r="U16" s="37">
        <f>IF(I16=0,0,VLOOKUP(I16,'00'!$A:$F,5,0))+X16</f>
        <v>0</v>
      </c>
      <c r="V16" s="37">
        <f>IF(I16=0,0,VLOOKUP(I16,'00'!$A$1:$F$65536,6,0))</f>
        <v>1.5</v>
      </c>
      <c r="W16" s="37"/>
      <c r="X16" s="30">
        <f t="shared" si="4"/>
        <v>0</v>
      </c>
      <c r="Y16" s="31">
        <f>E16*R16</f>
        <v>62.400000000000006</v>
      </c>
      <c r="Z16" s="71">
        <f>+E16*Q16</f>
        <v>1920</v>
      </c>
      <c r="AA16" s="71">
        <f t="shared" si="7"/>
        <v>0</v>
      </c>
      <c r="AB16" s="71">
        <f t="shared" si="8"/>
        <v>1920</v>
      </c>
      <c r="AC16" s="71"/>
    </row>
    <row r="17" spans="1:29" s="31" customFormat="1" ht="13.5" thickTop="1" thickBot="1">
      <c r="A17" s="32">
        <v>270026</v>
      </c>
      <c r="B17" s="233" t="str">
        <f>IF(A17=0,0,VLOOKUP(A17,'00'!$A$1:$F$65536,2,0))</f>
        <v>DES801(1)</v>
      </c>
      <c r="C17" s="5">
        <v>2</v>
      </c>
      <c r="D17" s="3" t="str">
        <f>IF(C17=0,0,VLOOKUP(C17,'01'!$A$2:$B$98,2,0))</f>
        <v>挤出</v>
      </c>
      <c r="E17" s="12">
        <v>21</v>
      </c>
      <c r="F17" s="33" t="s">
        <v>301</v>
      </c>
      <c r="G17" s="34">
        <f t="shared" si="0"/>
        <v>1</v>
      </c>
      <c r="H17" s="206">
        <f>IF(A17=0,0,VLOOKUP(A17,'00'!$A:$F,4,0))</f>
        <v>1082490</v>
      </c>
      <c r="I17" s="162">
        <v>270247</v>
      </c>
      <c r="J17" s="34" t="str">
        <f>IF(I17=0,0,VLOOKUP(I17,'00'!$A$1:$F$65536,2,0))</f>
        <v>CES300(0)</v>
      </c>
      <c r="K17" s="34">
        <v>1</v>
      </c>
      <c r="L17" s="7" t="str">
        <f>IF(K17=0,0,VLOOKUP(K17,'01'!$A$2:$B$98,2,0))</f>
        <v>炼胶</v>
      </c>
      <c r="M17" s="39">
        <v>20</v>
      </c>
      <c r="N17" s="40" t="s">
        <v>0</v>
      </c>
      <c r="O17" s="41">
        <f t="shared" si="1"/>
        <v>1</v>
      </c>
      <c r="P17" s="42">
        <f>IF(I17=0,0,VLOOKUP(I17,'00'!$A:$F,4,0))</f>
        <v>1082544</v>
      </c>
      <c r="Q17" s="37">
        <f>IF(A17=0,0,VLOOKUP(A17,'00'!$A$1:$F$65536,5,0))</f>
        <v>155</v>
      </c>
      <c r="R17" s="37">
        <f>IF(A17=0,0,VLOOKUP(A17,'00'!$A$1:$G$65536,6,0))</f>
        <v>5.2</v>
      </c>
      <c r="S17" s="38">
        <f>IF(A17=270278,1,IF(RIGHT(B17,3)="(0)",1,0))</f>
        <v>0</v>
      </c>
      <c r="T17" s="38">
        <f t="shared" si="3"/>
        <v>0</v>
      </c>
      <c r="U17" s="37">
        <f>IF(I17=0,0,VLOOKUP(I17,'00'!$A:$F,5,0))+X17</f>
        <v>65</v>
      </c>
      <c r="V17" s="37">
        <f>IF(I17=0,0,VLOOKUP(I17,'00'!$A$1:$F$65536,6,0))</f>
        <v>25</v>
      </c>
      <c r="W17" s="30"/>
      <c r="X17" s="30">
        <f t="shared" si="4"/>
        <v>0</v>
      </c>
      <c r="Y17" s="31">
        <f>E17*R17</f>
        <v>109.2</v>
      </c>
      <c r="Z17" s="71">
        <f>+E17*Q17</f>
        <v>3255</v>
      </c>
      <c r="AA17" s="71">
        <f t="shared" si="7"/>
        <v>0</v>
      </c>
      <c r="AB17" s="71">
        <f t="shared" si="8"/>
        <v>3255</v>
      </c>
      <c r="AC17" s="71">
        <f t="shared" si="9"/>
        <v>1300</v>
      </c>
    </row>
    <row r="18" spans="1:29" s="31" customFormat="1" ht="13.5" thickTop="1" thickBot="1">
      <c r="A18" s="152">
        <v>270518</v>
      </c>
      <c r="B18" s="199" t="str">
        <f>IF(A18=0,0,VLOOKUP(A18,'00'!$A$1:$F$65536,2,0))</f>
        <v>DEC852(1)</v>
      </c>
      <c r="C18" s="5">
        <v>2</v>
      </c>
      <c r="D18" s="3" t="str">
        <f>IF(C18=0,0,VLOOKUP(C18,'01'!$A$2:$B$98,2,0))</f>
        <v>挤出</v>
      </c>
      <c r="E18" s="12">
        <v>12</v>
      </c>
      <c r="F18" s="33" t="s">
        <v>301</v>
      </c>
      <c r="G18" s="34">
        <f t="shared" si="0"/>
        <v>1</v>
      </c>
      <c r="H18" s="206">
        <f>IF(A18=0,0,VLOOKUP(A18,'00'!$A:$F,4,0))</f>
        <v>1082492</v>
      </c>
      <c r="I18" s="162"/>
      <c r="J18" s="34">
        <f>IF(I18=0,0,VLOOKUP(I18,'00'!$A$1:$F$65536,2,0))</f>
        <v>0</v>
      </c>
      <c r="K18" s="34"/>
      <c r="L18" s="7">
        <f>IF(K18=0,0,VLOOKUP(K18,'01'!$A$2:$B$98,2,0))</f>
        <v>0</v>
      </c>
      <c r="M18" s="39"/>
      <c r="N18" s="33" t="s">
        <v>0</v>
      </c>
      <c r="O18" s="35">
        <f t="shared" si="1"/>
        <v>1</v>
      </c>
      <c r="P18" s="43">
        <f>IF(I18=0,0,VLOOKUP(I18,'00'!$A:$F,4,0))</f>
        <v>0</v>
      </c>
      <c r="Q18" s="37">
        <f>IF(A18=0,0,VLOOKUP(A18,'00'!$A$1:$F$65536,5,0))</f>
        <v>160</v>
      </c>
      <c r="R18" s="37">
        <f>IF(A18=0,0,VLOOKUP(A18,'00'!$A$1:$G$65536,6,0))</f>
        <v>5.5</v>
      </c>
      <c r="S18" s="38">
        <f>IF(A18=270278,1,IF(RIGHT(B18,3)="(0)",1,0))</f>
        <v>0</v>
      </c>
      <c r="T18" s="38">
        <f t="shared" si="3"/>
        <v>0</v>
      </c>
      <c r="U18" s="37">
        <f>IF(I18=0,0,VLOOKUP(I18,'00'!$A:$F,5,0))+X18</f>
        <v>0</v>
      </c>
      <c r="V18" s="37">
        <f>IF(I18=0,0,VLOOKUP(I18,'00'!$A$1:$F$65536,6,0))</f>
        <v>0</v>
      </c>
      <c r="W18" s="30"/>
      <c r="X18" s="30">
        <f t="shared" si="4"/>
        <v>0</v>
      </c>
      <c r="Y18" s="31">
        <f>E18*R18</f>
        <v>66</v>
      </c>
      <c r="Z18" s="71">
        <f>+E18*Q18</f>
        <v>1920</v>
      </c>
      <c r="AA18" s="71">
        <f t="shared" si="7"/>
        <v>0</v>
      </c>
      <c r="AB18" s="71">
        <f t="shared" si="8"/>
        <v>1920</v>
      </c>
      <c r="AC18" s="71">
        <f t="shared" si="9"/>
        <v>0</v>
      </c>
    </row>
    <row r="19" spans="1:29" s="31" customFormat="1" ht="13.5" thickTop="1" thickBot="1">
      <c r="A19" s="152">
        <v>270028</v>
      </c>
      <c r="B19" s="233" t="str">
        <f>IF(A19=0,0,VLOOKUP(A19,'00'!$A$1:$F$65536,2,0))</f>
        <v>DES851(1)</v>
      </c>
      <c r="C19" s="5">
        <v>2</v>
      </c>
      <c r="D19" s="3" t="str">
        <f>IF(C19=0,0,VLOOKUP(C19,'01'!$A$2:$B$98,2,0))</f>
        <v>挤出</v>
      </c>
      <c r="E19" s="12">
        <v>2</v>
      </c>
      <c r="F19" s="33" t="s">
        <v>301</v>
      </c>
      <c r="G19" s="34">
        <f t="shared" si="0"/>
        <v>1</v>
      </c>
      <c r="H19" s="206">
        <f>IF(A19=0,0,VLOOKUP(A19,'00'!$A:$F,4,0))</f>
        <v>1082488</v>
      </c>
      <c r="I19" s="55"/>
      <c r="J19" s="34">
        <f>IF(I19=0,0,VLOOKUP(I19,'00'!$A$1:$F$65536,2,0))</f>
        <v>0</v>
      </c>
      <c r="K19" s="56"/>
      <c r="L19" s="8">
        <f>IF(K19=0,0,VLOOKUP(K19,'01'!$A$2:$B$98,2,0))</f>
        <v>0</v>
      </c>
      <c r="M19" s="76"/>
      <c r="N19" s="33" t="s">
        <v>0</v>
      </c>
      <c r="O19" s="35">
        <f t="shared" si="1"/>
        <v>1</v>
      </c>
      <c r="P19" s="43">
        <f>IF(I19=0,0,VLOOKUP(I19,'00'!$A:$F,4,0))</f>
        <v>0</v>
      </c>
      <c r="Q19" s="37">
        <f>IF(A19=0,0,VLOOKUP(A19,'00'!$A$1:$F$65536,5,0))</f>
        <v>155</v>
      </c>
      <c r="R19" s="37">
        <f>IF(A19=0,0,VLOOKUP(A19,'00'!$A$1:$G$65536,6,0))</f>
        <v>5.3</v>
      </c>
      <c r="S19" s="38">
        <f>IF(A19=270278,1,IF(RIGHT(B19,3)="(0)",1,0))</f>
        <v>0</v>
      </c>
      <c r="T19" s="38">
        <f t="shared" si="3"/>
        <v>0</v>
      </c>
      <c r="U19" s="37">
        <f>IF(I19=0,0,VLOOKUP(I19,'00'!$A:$F,5,0))+X19</f>
        <v>0</v>
      </c>
      <c r="V19" s="37">
        <f>IF(I19=0,0,VLOOKUP(I19,'00'!$A$1:$F$65536,6,0))</f>
        <v>0</v>
      </c>
      <c r="W19" s="30"/>
      <c r="X19" s="30">
        <f t="shared" si="4"/>
        <v>0</v>
      </c>
      <c r="Y19" s="31">
        <f>E19*R19</f>
        <v>10.6</v>
      </c>
      <c r="Z19" s="71">
        <f>+E19*Q19</f>
        <v>310</v>
      </c>
      <c r="AA19" s="71">
        <f t="shared" si="7"/>
        <v>0</v>
      </c>
      <c r="AB19" s="71">
        <f t="shared" si="8"/>
        <v>310</v>
      </c>
      <c r="AC19" s="71">
        <f t="shared" si="9"/>
        <v>0</v>
      </c>
    </row>
    <row r="20" spans="1:29" s="31" customFormat="1" ht="13.5" thickTop="1" thickBot="1">
      <c r="A20" s="152">
        <v>270028</v>
      </c>
      <c r="B20" s="233" t="str">
        <f>IF(A20=0,0,VLOOKUP(A20,'00'!$A$1:$F$65536,2,0))</f>
        <v>DES851(1)</v>
      </c>
      <c r="C20" s="5">
        <v>2</v>
      </c>
      <c r="D20" s="3" t="str">
        <f>IF(C20=0,0,VLOOKUP(C20,'01'!$A$2:$B$98,2,0))</f>
        <v>挤出</v>
      </c>
      <c r="E20" s="12">
        <v>19</v>
      </c>
      <c r="F20" s="33" t="s">
        <v>302</v>
      </c>
      <c r="G20" s="34">
        <f t="shared" si="0"/>
        <v>1000000</v>
      </c>
      <c r="H20" s="206">
        <f>IF(A20=0,0,VLOOKUP(A20,'00'!$A:$F,4,0))</f>
        <v>1082488</v>
      </c>
      <c r="I20" s="55"/>
      <c r="J20" s="34">
        <f>IF(I20=0,0,VLOOKUP(I20,'00'!$A$1:$F$65536,2,0))</f>
        <v>0</v>
      </c>
      <c r="K20" s="56"/>
      <c r="L20" s="8">
        <f>IF(K20=0,0,VLOOKUP(K20,'01'!$A$2:$B$98,2,0))</f>
        <v>0</v>
      </c>
      <c r="M20" s="76"/>
      <c r="N20" s="40" t="s">
        <v>0</v>
      </c>
      <c r="O20" s="35">
        <f t="shared" si="1"/>
        <v>1</v>
      </c>
      <c r="P20" s="43">
        <f>IF(I20=0,0,VLOOKUP(I20,'00'!$A:$F,4,0))</f>
        <v>0</v>
      </c>
      <c r="Q20" s="37">
        <f>IF(A20=0,0,VLOOKUP(A20,'00'!$A$1:$F$65536,5,0))</f>
        <v>155</v>
      </c>
      <c r="R20" s="37">
        <f>IF(A20=0,0,VLOOKUP(A20,'00'!$A$1:$G$65536,6,0))</f>
        <v>5.3</v>
      </c>
      <c r="S20" s="38">
        <f t="shared" si="2"/>
        <v>0</v>
      </c>
      <c r="T20" s="38">
        <f t="shared" si="3"/>
        <v>0</v>
      </c>
      <c r="U20" s="37">
        <f>IF(I20=0,0,VLOOKUP(I20,'00'!$A:$F,5,0))+X20</f>
        <v>0</v>
      </c>
      <c r="V20" s="37">
        <f>IF(I20=0,0,VLOOKUP(I20,'00'!$A$1:$F$65536,6,0))</f>
        <v>0</v>
      </c>
      <c r="W20" s="30"/>
      <c r="X20" s="30">
        <f t="shared" si="4"/>
        <v>0</v>
      </c>
      <c r="Y20" s="31">
        <f t="shared" si="5"/>
        <v>100.7</v>
      </c>
      <c r="Z20" s="71">
        <f t="shared" si="6"/>
        <v>2945</v>
      </c>
      <c r="AA20" s="71">
        <f t="shared" si="7"/>
        <v>0</v>
      </c>
      <c r="AB20" s="71">
        <f t="shared" si="8"/>
        <v>2945</v>
      </c>
      <c r="AC20" s="71">
        <f t="shared" si="9"/>
        <v>0</v>
      </c>
    </row>
    <row r="21" spans="1:29" s="31" customFormat="1" ht="13.5" thickTop="1" thickBot="1">
      <c r="A21" s="32">
        <v>270278</v>
      </c>
      <c r="B21" s="199" t="str">
        <f>IF(A21=0,0,VLOOKUP(A21,'00'!$A$1:$F$65536,2,0))</f>
        <v>SES401(0)二段</v>
      </c>
      <c r="C21" s="5">
        <v>1</v>
      </c>
      <c r="D21" s="3" t="str">
        <f>IF(C21=0,0,VLOOKUP(C21,'01'!$A$2:$B$98,2,0))</f>
        <v>炼胶</v>
      </c>
      <c r="E21" s="12">
        <v>32</v>
      </c>
      <c r="F21" s="33" t="s">
        <v>302</v>
      </c>
      <c r="G21" s="34">
        <f t="shared" si="0"/>
        <v>1000000</v>
      </c>
      <c r="H21" s="206">
        <f>IF(A21=0,0,VLOOKUP(A21,'00'!$A:$F,4,0))</f>
        <v>1082528</v>
      </c>
      <c r="I21" s="162"/>
      <c r="J21" s="34">
        <f>IF(I21=0,0,VLOOKUP(I21,'00'!$A$1:$F$65536,2,0))</f>
        <v>0</v>
      </c>
      <c r="K21" s="34"/>
      <c r="L21" s="7">
        <f>IF(K21=0,0,VLOOKUP(K21,'01'!$A$2:$B$98,2,0))</f>
        <v>0</v>
      </c>
      <c r="M21" s="39"/>
      <c r="N21" s="40" t="s">
        <v>0</v>
      </c>
      <c r="O21" s="41">
        <f t="shared" si="1"/>
        <v>1</v>
      </c>
      <c r="P21" s="42">
        <f>IF(I21=0,0,VLOOKUP(I21,'00'!$A:$F,4,0))</f>
        <v>0</v>
      </c>
      <c r="Q21" s="37">
        <f>IF(A21=0,0,VLOOKUP(A21,'00'!$A$1:$F$65536,5,0))</f>
        <v>153</v>
      </c>
      <c r="R21" s="37">
        <f>IF(A21=0,0,VLOOKUP(A21,'00'!$A$1:$G$65536,6,0))</f>
        <v>6</v>
      </c>
      <c r="S21" s="38">
        <f t="shared" si="2"/>
        <v>1</v>
      </c>
      <c r="T21" s="38">
        <f t="shared" si="3"/>
        <v>0</v>
      </c>
      <c r="U21" s="37">
        <f>IF(I21=0,0,VLOOKUP(I21,'00'!$A:$F,5,0))+X21</f>
        <v>0</v>
      </c>
      <c r="V21" s="37">
        <f>IF(I21=0,0,VLOOKUP(I21,'00'!$A$1:$F$65536,6,0))</f>
        <v>0</v>
      </c>
      <c r="W21" s="30"/>
      <c r="X21" s="30">
        <f t="shared" si="4"/>
        <v>0</v>
      </c>
      <c r="Y21" s="31">
        <f t="shared" si="5"/>
        <v>192</v>
      </c>
      <c r="Z21" s="71">
        <f t="shared" si="6"/>
        <v>4896</v>
      </c>
      <c r="AA21" s="71">
        <f t="shared" si="7"/>
        <v>4896</v>
      </c>
      <c r="AB21" s="71">
        <f t="shared" si="8"/>
        <v>0</v>
      </c>
      <c r="AC21" s="71">
        <f t="shared" si="9"/>
        <v>0</v>
      </c>
    </row>
    <row r="22" spans="1:29" s="31" customFormat="1" ht="13.5" thickTop="1" thickBot="1">
      <c r="A22" s="32">
        <v>270142</v>
      </c>
      <c r="B22" s="199" t="str">
        <f>IF(A22=0,0,VLOOKUP(A22,'00'!$A$1:$F$65536,2,0))</f>
        <v>DJS702(0)</v>
      </c>
      <c r="C22" s="5">
        <v>1</v>
      </c>
      <c r="D22" s="3" t="str">
        <f>IF(C22=0,0,VLOOKUP(C22,'01'!$A$2:$B$98,2,0))</f>
        <v>炼胶</v>
      </c>
      <c r="E22" s="12">
        <v>6</v>
      </c>
      <c r="F22" s="33" t="s">
        <v>302</v>
      </c>
      <c r="G22" s="34">
        <f t="shared" si="0"/>
        <v>1000000</v>
      </c>
      <c r="H22" s="206">
        <f>IF(A22=0,0,VLOOKUP(A22,'00'!$A:$F,4,0))</f>
        <v>1082539</v>
      </c>
      <c r="I22" s="55"/>
      <c r="J22" s="34">
        <f>IF(I22=0,0,VLOOKUP(I22,'00'!$A$1:$F$65536,2,0))</f>
        <v>0</v>
      </c>
      <c r="K22" s="56"/>
      <c r="L22" s="8">
        <f>IF(K22=0,0,VLOOKUP(K22,'01'!$A$2:$B$98,2,0))</f>
        <v>0</v>
      </c>
      <c r="M22" s="76"/>
      <c r="N22" s="33" t="s">
        <v>0</v>
      </c>
      <c r="O22" s="35">
        <f t="shared" si="1"/>
        <v>1</v>
      </c>
      <c r="P22" s="43">
        <f>IF(I22=0,0,VLOOKUP(I22,'00'!$A:$F,4,0))</f>
        <v>0</v>
      </c>
      <c r="Q22" s="37">
        <f>IF(A22=0,0,VLOOKUP(A22,'00'!$A$1:$F$65536,5,0))</f>
        <v>152</v>
      </c>
      <c r="R22" s="37">
        <f>IF(A22=0,0,VLOOKUP(A22,'00'!$A$1:$G$65536,6,0))</f>
        <v>5.2</v>
      </c>
      <c r="S22" s="38">
        <f t="shared" si="2"/>
        <v>1</v>
      </c>
      <c r="T22" s="38">
        <f t="shared" si="3"/>
        <v>0</v>
      </c>
      <c r="U22" s="37">
        <f>IF(I22=0,0,VLOOKUP(I22,'00'!$A:$F,5,0))+X22</f>
        <v>0</v>
      </c>
      <c r="V22" s="37">
        <f>IF(I22=0,0,VLOOKUP(I22,'00'!$A$1:$F$65536,6,0))</f>
        <v>0</v>
      </c>
      <c r="W22" s="30"/>
      <c r="X22" s="30">
        <f>IF(K22=9,125,0)</f>
        <v>0</v>
      </c>
      <c r="Y22" s="31">
        <f t="shared" si="5"/>
        <v>31.200000000000003</v>
      </c>
      <c r="Z22" s="71">
        <f t="shared" si="6"/>
        <v>912</v>
      </c>
      <c r="AA22" s="71">
        <f t="shared" si="7"/>
        <v>912</v>
      </c>
      <c r="AB22" s="71">
        <f t="shared" si="8"/>
        <v>0</v>
      </c>
      <c r="AC22" s="71">
        <f>+U22*M22</f>
        <v>0</v>
      </c>
    </row>
    <row r="23" spans="1:29" s="31" customFormat="1" ht="13.5" thickTop="1" thickBot="1">
      <c r="A23" s="32">
        <v>270012</v>
      </c>
      <c r="B23" s="199" t="str">
        <f>IF(A23=0,0,VLOOKUP(A23,'00'!$A$1:$F$65536,2,0))</f>
        <v>DJM601(0)</v>
      </c>
      <c r="C23" s="5">
        <v>1</v>
      </c>
      <c r="D23" s="3" t="str">
        <f>IF(C23=0,0,VLOOKUP(C23,'01'!$A$2:$B$98,2,0))</f>
        <v>炼胶</v>
      </c>
      <c r="E23" s="12">
        <v>6</v>
      </c>
      <c r="F23" s="33" t="s">
        <v>302</v>
      </c>
      <c r="G23" s="34">
        <f t="shared" si="0"/>
        <v>1000000</v>
      </c>
      <c r="H23" s="206">
        <f>IF(A23=0,0,VLOOKUP(A23,'00'!$A:$F,4,0))</f>
        <v>1082534</v>
      </c>
      <c r="I23" s="162"/>
      <c r="J23" s="34">
        <f>IF(I23=0,0,VLOOKUP(I23,'00'!$A$1:$F$65536,2,0))</f>
        <v>0</v>
      </c>
      <c r="K23" s="34"/>
      <c r="L23" s="7">
        <f>IF(K23=0,0,VLOOKUP(K23,'01'!$A$2:$B$98,2,0))</f>
        <v>0</v>
      </c>
      <c r="M23" s="39"/>
      <c r="N23" s="33" t="s">
        <v>0</v>
      </c>
      <c r="O23" s="35">
        <f t="shared" si="1"/>
        <v>1</v>
      </c>
      <c r="P23" s="43">
        <f>IF(I23=0,0,VLOOKUP(I23,'00'!$A:$F,4,0))</f>
        <v>0</v>
      </c>
      <c r="Q23" s="37">
        <f>IF(A23=0,0,VLOOKUP(A23,'00'!$A$1:$F$65536,5,0))</f>
        <v>157.5</v>
      </c>
      <c r="R23" s="37">
        <f>IF(A23=0,0,VLOOKUP(A23,'00'!$A$1:$G$65536,6,0))</f>
        <v>5.5</v>
      </c>
      <c r="S23" s="38">
        <f t="shared" si="2"/>
        <v>1</v>
      </c>
      <c r="T23" s="38">
        <f t="shared" si="3"/>
        <v>0</v>
      </c>
      <c r="U23" s="37">
        <f>IF(I23=0,0,VLOOKUP(I23,'00'!$A:$F,5,0))+X23</f>
        <v>0</v>
      </c>
      <c r="V23" s="37">
        <f>IF(I23=0,0,VLOOKUP(I23,'00'!$A$1:$F$65536,6,0))</f>
        <v>0</v>
      </c>
      <c r="W23" s="30"/>
      <c r="X23" s="30">
        <f t="shared" si="4"/>
        <v>0</v>
      </c>
      <c r="Y23" s="31">
        <f t="shared" si="5"/>
        <v>33</v>
      </c>
      <c r="Z23" s="71">
        <f t="shared" si="6"/>
        <v>945</v>
      </c>
      <c r="AA23" s="71">
        <f t="shared" si="7"/>
        <v>945</v>
      </c>
      <c r="AB23" s="71">
        <f t="shared" si="8"/>
        <v>0</v>
      </c>
      <c r="AC23" s="71">
        <f t="shared" si="9"/>
        <v>0</v>
      </c>
    </row>
    <row r="24" spans="1:29" s="31" customFormat="1" ht="13.5" thickTop="1" thickBot="1">
      <c r="A24" s="32">
        <v>270024</v>
      </c>
      <c r="B24" s="199" t="str">
        <f>IF(A24=0,0,VLOOKUP(A24,'00'!$A$1:$F$65536,2,0))</f>
        <v>DEC801(1)</v>
      </c>
      <c r="C24" s="5">
        <v>2</v>
      </c>
      <c r="D24" s="3" t="str">
        <f>IF(C24=0,0,VLOOKUP(C24,'01'!$A$2:$B$98,2,0))</f>
        <v>挤出</v>
      </c>
      <c r="E24" s="12">
        <v>18</v>
      </c>
      <c r="F24" s="33" t="s">
        <v>302</v>
      </c>
      <c r="G24" s="34">
        <f t="shared" si="0"/>
        <v>1000000</v>
      </c>
      <c r="H24" s="206">
        <f>IF(A24=0,0,VLOOKUP(A24,'00'!$A:$F,4,0))</f>
        <v>1082491</v>
      </c>
      <c r="I24" s="162"/>
      <c r="J24" s="34">
        <f>IF(I24=0,0,VLOOKUP(I24,'00'!$A$1:$F$65536,2,0))</f>
        <v>0</v>
      </c>
      <c r="K24" s="34"/>
      <c r="L24" s="7">
        <f>IF(K24=0,0,VLOOKUP(K24,'01'!$A$2:$B$98,2,0))</f>
        <v>0</v>
      </c>
      <c r="M24" s="39"/>
      <c r="N24" s="78" t="s">
        <v>0</v>
      </c>
      <c r="O24" s="47">
        <f t="shared" si="1"/>
        <v>1</v>
      </c>
      <c r="P24" s="79">
        <f>IF(I24=0,0,VLOOKUP(I24,'00'!$A:$F,4,0))</f>
        <v>0</v>
      </c>
      <c r="Q24" s="37">
        <f>IF(A24=0,0,VLOOKUP(A24,'00'!$A$1:$F$65536,5,0))</f>
        <v>156</v>
      </c>
      <c r="R24" s="37">
        <f>IF(A24=0,0,VLOOKUP(A24,'00'!$A$1:$G$65536,6,0))</f>
        <v>5.5</v>
      </c>
      <c r="S24" s="38">
        <f t="shared" si="2"/>
        <v>0</v>
      </c>
      <c r="T24" s="38">
        <f t="shared" si="3"/>
        <v>0</v>
      </c>
      <c r="U24" s="37">
        <f>IF(I24=0,0,VLOOKUP(I24,'00'!$A:$F,5,0))+X24</f>
        <v>0</v>
      </c>
      <c r="V24" s="37">
        <f>IF(I24=0,0,VLOOKUP(I24,'00'!$A$1:$F$65536,6,0))</f>
        <v>0</v>
      </c>
      <c r="W24" s="30"/>
      <c r="X24" s="30">
        <f t="shared" si="4"/>
        <v>0</v>
      </c>
      <c r="Y24" s="31">
        <f t="shared" si="5"/>
        <v>99</v>
      </c>
      <c r="Z24" s="71">
        <f t="shared" si="6"/>
        <v>2808</v>
      </c>
      <c r="AA24" s="71">
        <f t="shared" si="7"/>
        <v>0</v>
      </c>
      <c r="AB24" s="71">
        <f t="shared" si="8"/>
        <v>2808</v>
      </c>
      <c r="AC24" s="71">
        <f t="shared" si="9"/>
        <v>0</v>
      </c>
    </row>
    <row r="25" spans="1:29" s="31" customFormat="1" ht="13.5" thickTop="1" thickBot="1">
      <c r="A25" s="32"/>
      <c r="B25" s="199">
        <f>IF(A25=0,0,VLOOKUP(A25,'00'!$A$1:$F$65536,2,0))</f>
        <v>0</v>
      </c>
      <c r="C25" s="5"/>
      <c r="D25" s="3">
        <f>IF(C25=0,0,VLOOKUP(C25,'01'!$A$2:$B$98,2,0))</f>
        <v>0</v>
      </c>
      <c r="E25" s="12"/>
      <c r="F25" s="33" t="s">
        <v>302</v>
      </c>
      <c r="G25" s="34">
        <f t="shared" si="0"/>
        <v>1000000</v>
      </c>
      <c r="H25" s="206">
        <f>IF(A25=0,0,VLOOKUP(A25,'00'!$A:$F,4,0))</f>
        <v>0</v>
      </c>
      <c r="I25" s="162"/>
      <c r="J25" s="34">
        <f>IF(I25=0,0,VLOOKUP(I25,'00'!$A$1:$F$65536,2,0))</f>
        <v>0</v>
      </c>
      <c r="K25" s="34"/>
      <c r="L25" s="7">
        <f>IF(K25=0,0,VLOOKUP(K25,'01'!$A$2:$B$98,2,0))</f>
        <v>0</v>
      </c>
      <c r="M25" s="39"/>
      <c r="N25" s="33" t="s">
        <v>0</v>
      </c>
      <c r="O25" s="35">
        <f t="shared" si="1"/>
        <v>1</v>
      </c>
      <c r="P25" s="43">
        <f>IF(I25=0,0,VLOOKUP(I25,'00'!$A:$F,4,0))</f>
        <v>0</v>
      </c>
      <c r="Q25" s="37">
        <f>IF(A25=0,0,VLOOKUP(A25,'00'!$A$1:$F$65536,5,0))</f>
        <v>0</v>
      </c>
      <c r="R25" s="37">
        <f>IF(A25=0,0,VLOOKUP(A25,'00'!$A$1:$G$65536,6,0))</f>
        <v>0</v>
      </c>
      <c r="S25" s="38">
        <f t="shared" si="2"/>
        <v>0</v>
      </c>
      <c r="T25" s="38">
        <f t="shared" si="3"/>
        <v>0</v>
      </c>
      <c r="U25" s="37">
        <f>IF(I25=0,0,VLOOKUP(I25,'00'!$A:$F,5,0))+X25</f>
        <v>0</v>
      </c>
      <c r="V25" s="37">
        <f>IF(I25=0,0,VLOOKUP(I25,'00'!$A$1:$F$65536,6,0))</f>
        <v>0</v>
      </c>
      <c r="W25" s="30">
        <v>0</v>
      </c>
      <c r="X25" s="30">
        <f t="shared" si="4"/>
        <v>0</v>
      </c>
      <c r="Y25" s="31">
        <f t="shared" si="5"/>
        <v>0</v>
      </c>
      <c r="Z25" s="71">
        <f t="shared" si="6"/>
        <v>0</v>
      </c>
      <c r="AA25" s="71">
        <f t="shared" si="7"/>
        <v>0</v>
      </c>
      <c r="AB25" s="71">
        <f t="shared" si="8"/>
        <v>0</v>
      </c>
      <c r="AC25" s="71">
        <f t="shared" si="9"/>
        <v>0</v>
      </c>
    </row>
    <row r="26" spans="1:29" s="31" customFormat="1" ht="13.5" thickTop="1" thickBot="1">
      <c r="A26" s="32"/>
      <c r="B26" s="199">
        <f>IF(A26=0,0,VLOOKUP(A26,'00'!$A$1:$F$65536,2,0))</f>
        <v>0</v>
      </c>
      <c r="C26" s="5"/>
      <c r="D26" s="3">
        <f>IF(C26=0,0,VLOOKUP(C26,'01'!$A$2:$B$98,2,0))</f>
        <v>0</v>
      </c>
      <c r="E26" s="12"/>
      <c r="F26" s="33" t="s">
        <v>302</v>
      </c>
      <c r="G26" s="34">
        <f t="shared" si="0"/>
        <v>1000000</v>
      </c>
      <c r="H26" s="206">
        <f>IF(A26=0,0,VLOOKUP(A26,'00'!$A:$F,4,0))</f>
        <v>0</v>
      </c>
      <c r="I26" s="92"/>
      <c r="J26" s="87">
        <f>IF(I26=0,0,VLOOKUP(I26,'00'!$A$1:$F$65536,2,0))</f>
        <v>0</v>
      </c>
      <c r="K26" s="87"/>
      <c r="L26" s="88">
        <f>IF(K26=0,0,VLOOKUP(K26,'01'!$A$2:$B$98,2,0))</f>
        <v>0</v>
      </c>
      <c r="M26" s="93"/>
      <c r="N26" s="33" t="s">
        <v>0</v>
      </c>
      <c r="O26" s="47">
        <f t="shared" si="1"/>
        <v>1</v>
      </c>
      <c r="P26" s="79">
        <f>IF(I26=0,0,VLOOKUP(I26,'00'!$A:$F,4,0))</f>
        <v>0</v>
      </c>
      <c r="Q26" s="37">
        <f>IF(A26=0,0,VLOOKUP(A26,'00'!$A$1:$F$65536,5,0))</f>
        <v>0</v>
      </c>
      <c r="R26" s="37">
        <f>IF(A26=0,0,VLOOKUP(A26,'00'!$A$1:$G$65536,6,0))</f>
        <v>0</v>
      </c>
      <c r="S26" s="38">
        <f t="shared" si="2"/>
        <v>0</v>
      </c>
      <c r="T26" s="38">
        <f t="shared" si="3"/>
        <v>0</v>
      </c>
      <c r="U26" s="37">
        <f>IF(I26=0,0,VLOOKUP(I26,'00'!$A:$F,5,0))+X26</f>
        <v>0</v>
      </c>
      <c r="V26" s="37">
        <f>IF(I26=0,0,VLOOKUP(I26,'00'!$A$1:$F$65536,6,0))</f>
        <v>0</v>
      </c>
      <c r="W26" s="30"/>
      <c r="X26" s="30">
        <f t="shared" si="4"/>
        <v>0</v>
      </c>
      <c r="Y26" s="31">
        <f t="shared" si="5"/>
        <v>0</v>
      </c>
      <c r="Z26" s="71">
        <f t="shared" si="6"/>
        <v>0</v>
      </c>
      <c r="AA26" s="71">
        <f t="shared" si="7"/>
        <v>0</v>
      </c>
      <c r="AB26" s="71">
        <f t="shared" si="8"/>
        <v>0</v>
      </c>
      <c r="AC26" s="71">
        <f t="shared" si="9"/>
        <v>0</v>
      </c>
    </row>
    <row r="27" spans="1:29" s="31" customFormat="1" ht="13.5" thickTop="1" thickBot="1">
      <c r="A27" s="32"/>
      <c r="B27" s="199">
        <f>IF(A27=0,0,VLOOKUP(A27,'00'!$A$1:$F$65536,2,0))</f>
        <v>0</v>
      </c>
      <c r="C27" s="5"/>
      <c r="D27" s="3">
        <f>IF(C27=0,0,VLOOKUP(C27,'01'!$A$2:$B$98,2,0))</f>
        <v>0</v>
      </c>
      <c r="E27" s="12"/>
      <c r="F27" s="33" t="s">
        <v>302</v>
      </c>
      <c r="G27" s="34">
        <f t="shared" si="0"/>
        <v>1000000</v>
      </c>
      <c r="H27" s="206">
        <f>IF(A27=0,0,VLOOKUP(A27,'00'!$A:$F,4,0))</f>
        <v>0</v>
      </c>
      <c r="I27" s="126">
        <v>270098</v>
      </c>
      <c r="J27" s="52" t="str">
        <f>IF(I27=0,0,VLOOKUP(I27,'00'!$A$1:$F$65536,2,0))</f>
        <v>DJS601薄片</v>
      </c>
      <c r="K27" s="128">
        <v>20</v>
      </c>
      <c r="L27" s="129" t="str">
        <f>IF(K27=0,0,VLOOKUP(K27,'01'!$A$2:$B$98,2,0))</f>
        <v>约定</v>
      </c>
      <c r="M27" s="130">
        <v>120</v>
      </c>
      <c r="N27" s="131" t="s">
        <v>1</v>
      </c>
      <c r="O27" s="132">
        <f t="shared" si="1"/>
        <v>10000</v>
      </c>
      <c r="P27" s="133">
        <f>IF(I27=0,0,VLOOKUP(I27,'00'!$A:$F,4,0))</f>
        <v>1082522</v>
      </c>
      <c r="Q27" s="37">
        <f>IF(A27=0,0,VLOOKUP(A27,'00'!$A$1:$F$65536,5,0))</f>
        <v>0</v>
      </c>
      <c r="R27" s="37">
        <f>IF(A27=0,0,VLOOKUP(A27,'00'!$A$1:$G$65536,6,0))</f>
        <v>0</v>
      </c>
      <c r="S27" s="38">
        <f t="shared" si="2"/>
        <v>0</v>
      </c>
      <c r="T27" s="38">
        <f t="shared" si="3"/>
        <v>0</v>
      </c>
      <c r="U27" s="37">
        <f>IF(I27=0,0,VLOOKUP(I27,'00'!$A:$F,5,0))+X27</f>
        <v>0</v>
      </c>
      <c r="V27" s="37">
        <f>IF(I27=0,0,VLOOKUP(I27,'00'!$A$1:$F$65536,6,0))</f>
        <v>1.5</v>
      </c>
      <c r="W27" s="37">
        <v>128</v>
      </c>
      <c r="X27" s="30">
        <f t="shared" si="4"/>
        <v>0</v>
      </c>
      <c r="Y27" s="31">
        <f t="shared" si="5"/>
        <v>0</v>
      </c>
      <c r="Z27" s="71">
        <f t="shared" si="6"/>
        <v>0</v>
      </c>
      <c r="AA27" s="71">
        <f t="shared" si="7"/>
        <v>0</v>
      </c>
      <c r="AB27" s="71">
        <f t="shared" si="8"/>
        <v>0</v>
      </c>
      <c r="AC27" s="71"/>
    </row>
    <row r="28" spans="1:29" s="31" customFormat="1" ht="13.5" thickTop="1" thickBot="1">
      <c r="A28" s="32"/>
      <c r="B28" s="199">
        <f>IF(A28=0,0,VLOOKUP(A28,'00'!$A$1:$F$65536,2,0))</f>
        <v>0</v>
      </c>
      <c r="C28" s="5"/>
      <c r="D28" s="3">
        <f>IF(C28=0,0,VLOOKUP(C28,'01'!$A$2:$B$98,2,0))</f>
        <v>0</v>
      </c>
      <c r="E28" s="12"/>
      <c r="F28" s="33" t="s">
        <v>302</v>
      </c>
      <c r="G28" s="34">
        <f t="shared" si="0"/>
        <v>1000000</v>
      </c>
      <c r="H28" s="206">
        <f>IF(A28=0,0,VLOOKUP(A28,'00'!$A:$F,4,0))</f>
        <v>0</v>
      </c>
      <c r="I28" s="162" t="s">
        <v>246</v>
      </c>
      <c r="J28" s="34" t="str">
        <f>IF(I28=0,0,VLOOKUP(I28,'00'!$A$1:$F$65536,2,0))</f>
        <v>DJS601(1)</v>
      </c>
      <c r="K28" s="34">
        <v>23</v>
      </c>
      <c r="L28" s="7" t="str">
        <f>IF(K28=0,0,VLOOKUP(K28,'01'!$A$2:$B$98,2,0))</f>
        <v>三区</v>
      </c>
      <c r="M28" s="39">
        <v>2</v>
      </c>
      <c r="N28" s="33" t="s">
        <v>1</v>
      </c>
      <c r="O28" s="35">
        <f t="shared" si="1"/>
        <v>10000</v>
      </c>
      <c r="P28" s="43">
        <f>IF(I28=0,0,VLOOKUP(I28,'00'!$A:$F,4,0))</f>
        <v>1082518</v>
      </c>
      <c r="Q28" s="37">
        <f>IF(A28=0,0,VLOOKUP(A28,'00'!$A$1:$F$65536,5,0))</f>
        <v>0</v>
      </c>
      <c r="R28" s="37">
        <f>IF(A28=0,0,VLOOKUP(A28,'00'!$A$1:$G$65536,6,0))</f>
        <v>0</v>
      </c>
      <c r="S28" s="38">
        <f t="shared" si="2"/>
        <v>0</v>
      </c>
      <c r="T28" s="38">
        <f t="shared" si="3"/>
        <v>0</v>
      </c>
      <c r="U28" s="37">
        <f>IF(I28=0,0,VLOOKUP(I28,'00'!$A:$F,5,0))+X28</f>
        <v>40</v>
      </c>
      <c r="V28" s="37">
        <f>IF(I28=0,0,VLOOKUP(I28,'00'!$A$1:$F$65536,6,0))</f>
        <v>10</v>
      </c>
      <c r="W28" s="30"/>
      <c r="X28" s="30">
        <f>IF(K28=9,125,0)</f>
        <v>0</v>
      </c>
      <c r="Y28" s="31">
        <f t="shared" si="5"/>
        <v>0</v>
      </c>
      <c r="Z28" s="71">
        <f t="shared" si="6"/>
        <v>0</v>
      </c>
      <c r="AA28" s="71">
        <f t="shared" si="7"/>
        <v>0</v>
      </c>
      <c r="AB28" s="71">
        <f t="shared" si="8"/>
        <v>0</v>
      </c>
      <c r="AC28" s="71">
        <f>+U28*M28</f>
        <v>80</v>
      </c>
    </row>
    <row r="29" spans="1:29" s="31" customFormat="1" ht="13.5" thickTop="1" thickBot="1">
      <c r="A29" s="32"/>
      <c r="B29" s="199">
        <f>IF(A29=0,0,VLOOKUP(A29,'00'!$A$1:$F$65536,2,0))</f>
        <v>0</v>
      </c>
      <c r="C29" s="5"/>
      <c r="D29" s="3">
        <f>IF(C29=0,0,VLOOKUP(C29,'01'!$A$2:$B$98,2,0))</f>
        <v>0</v>
      </c>
      <c r="E29" s="12"/>
      <c r="F29" s="33" t="s">
        <v>302</v>
      </c>
      <c r="G29" s="34">
        <f t="shared" si="0"/>
        <v>1000000</v>
      </c>
      <c r="H29" s="206">
        <f>IF(A29=0,0,VLOOKUP(A29,'00'!$A:$F,4,0))</f>
        <v>0</v>
      </c>
      <c r="I29" s="162" t="s">
        <v>251</v>
      </c>
      <c r="J29" s="34" t="str">
        <f>IF(I29=0,0,VLOOKUP(I29,'00'!$A$1:$F$65536,2,0))</f>
        <v>DJM604(1)</v>
      </c>
      <c r="K29" s="34">
        <v>23</v>
      </c>
      <c r="L29" s="7" t="str">
        <f>IF(K29=0,0,VLOOKUP(K29,'01'!$A$2:$B$98,2,0))</f>
        <v>三区</v>
      </c>
      <c r="M29" s="39">
        <v>4</v>
      </c>
      <c r="N29" s="33" t="s">
        <v>1</v>
      </c>
      <c r="O29" s="35">
        <f t="shared" si="1"/>
        <v>10000</v>
      </c>
      <c r="P29" s="43">
        <f>IF(I29=0,0,VLOOKUP(I29,'00'!$A:$F,4,0))</f>
        <v>1082517</v>
      </c>
      <c r="Q29" s="37">
        <f>IF(A29=0,0,VLOOKUP(A29,'00'!$A$1:$F$65536,5,0))</f>
        <v>0</v>
      </c>
      <c r="R29" s="37">
        <f>IF(A29=0,0,VLOOKUP(A29,'00'!$A$1:$G$65536,6,0))</f>
        <v>0</v>
      </c>
      <c r="S29" s="38">
        <f t="shared" si="2"/>
        <v>0</v>
      </c>
      <c r="T29" s="38">
        <f t="shared" si="3"/>
        <v>0</v>
      </c>
      <c r="U29" s="37">
        <f>IF(I29=0,0,VLOOKUP(I29,'00'!$A:$F,5,0))+X29</f>
        <v>37</v>
      </c>
      <c r="V29" s="37">
        <f>IF(I29=0,0,VLOOKUP(I29,'00'!$A$1:$F$65536,6,0))</f>
        <v>15</v>
      </c>
      <c r="W29" s="30"/>
      <c r="X29" s="30">
        <f>IF(K29=9,125,0)</f>
        <v>0</v>
      </c>
      <c r="Y29" s="31">
        <f t="shared" si="5"/>
        <v>0</v>
      </c>
      <c r="Z29" s="71">
        <f t="shared" si="6"/>
        <v>0</v>
      </c>
      <c r="AA29" s="71">
        <f t="shared" si="7"/>
        <v>0</v>
      </c>
      <c r="AB29" s="71">
        <f t="shared" si="8"/>
        <v>0</v>
      </c>
      <c r="AC29" s="71">
        <f>+U29*M29</f>
        <v>148</v>
      </c>
    </row>
    <row r="30" spans="1:29" s="31" customFormat="1" ht="13.5" thickTop="1" thickBot="1">
      <c r="A30" s="32"/>
      <c r="B30" s="199">
        <f>IF(A30=0,0,VLOOKUP(A30,'00'!$A$1:$F$65536,2,0))</f>
        <v>0</v>
      </c>
      <c r="C30" s="5"/>
      <c r="D30" s="3">
        <f>IF(C30=0,0,VLOOKUP(C30,'01'!$A$2:$B$98,2,0))</f>
        <v>0</v>
      </c>
      <c r="E30" s="12"/>
      <c r="F30" s="33" t="s">
        <v>302</v>
      </c>
      <c r="G30" s="34">
        <f t="shared" si="0"/>
        <v>1000000</v>
      </c>
      <c r="H30" s="206">
        <f>IF(A30=0,0,VLOOKUP(A30,'00'!$A:$F,4,0))</f>
        <v>0</v>
      </c>
      <c r="I30" s="162">
        <v>270143</v>
      </c>
      <c r="J30" s="34" t="str">
        <f>IF(I30=0,0,VLOOKUP(I30,'00'!$A$1:$F$65536,2,0))</f>
        <v>DJS702(1)</v>
      </c>
      <c r="K30" s="34">
        <v>25</v>
      </c>
      <c r="L30" s="7" t="str">
        <f>IF(K30=0,0,VLOOKUP(K30,'01'!$A$2:$B$98,2,0))</f>
        <v>三区宽</v>
      </c>
      <c r="M30" s="39">
        <v>3</v>
      </c>
      <c r="N30" s="33" t="s">
        <v>1</v>
      </c>
      <c r="O30" s="35">
        <f t="shared" si="1"/>
        <v>10000</v>
      </c>
      <c r="P30" s="43">
        <f>IF(I30=0,0,VLOOKUP(I30,'00'!$A:$F,4,0))</f>
        <v>1082516</v>
      </c>
      <c r="Q30" s="37">
        <f>IF(A30=0,0,VLOOKUP(A30,'00'!$A$1:$F$65536,5,0))</f>
        <v>0</v>
      </c>
      <c r="R30" s="37">
        <f>IF(A30=0,0,VLOOKUP(A30,'00'!$A$1:$G$65536,6,0))</f>
        <v>0</v>
      </c>
      <c r="S30" s="38">
        <f t="shared" si="2"/>
        <v>0</v>
      </c>
      <c r="T30" s="38">
        <f t="shared" si="3"/>
        <v>0</v>
      </c>
      <c r="U30" s="37">
        <f>IF(I30=0,0,VLOOKUP(I30,'00'!$A:$F,5,0))+X30</f>
        <v>37</v>
      </c>
      <c r="V30" s="37">
        <f>IF(I30=0,0,VLOOKUP(I30,'00'!$A$1:$F$65536,6,0))</f>
        <v>15</v>
      </c>
      <c r="W30" s="30"/>
      <c r="X30" s="30">
        <f>IF(K30=9,125,0)</f>
        <v>0</v>
      </c>
      <c r="Y30" s="31">
        <f t="shared" si="5"/>
        <v>0</v>
      </c>
      <c r="Z30" s="71">
        <f t="shared" si="6"/>
        <v>0</v>
      </c>
      <c r="AA30" s="71">
        <f t="shared" si="7"/>
        <v>0</v>
      </c>
      <c r="AB30" s="71">
        <f t="shared" si="8"/>
        <v>0</v>
      </c>
      <c r="AC30" s="71">
        <f>+U30*M30</f>
        <v>111</v>
      </c>
    </row>
    <row r="31" spans="1:29" s="31" customFormat="1" ht="13.5" thickTop="1" thickBot="1">
      <c r="A31" s="32"/>
      <c r="B31" s="199">
        <f>IF(A31=0,0,VLOOKUP(A31,'00'!$A$1:$F$65536,2,0))</f>
        <v>0</v>
      </c>
      <c r="C31" s="5"/>
      <c r="D31" s="3">
        <f>IF(C31=0,0,VLOOKUP(C31,'01'!$A$2:$B$98,2,0))</f>
        <v>0</v>
      </c>
      <c r="E31" s="12"/>
      <c r="F31" s="33" t="s">
        <v>302</v>
      </c>
      <c r="G31" s="34">
        <f t="shared" si="0"/>
        <v>1000000</v>
      </c>
      <c r="H31" s="206">
        <f>IF(A31=0,0,VLOOKUP(A31,'00'!$A:$F,4,0))</f>
        <v>0</v>
      </c>
      <c r="I31" s="55">
        <v>270143</v>
      </c>
      <c r="J31" s="34" t="str">
        <f>IF(I31=0,0,VLOOKUP(I31,'00'!$A$1:$F$65536,2,0))</f>
        <v>DJS702(1)</v>
      </c>
      <c r="K31" s="56">
        <v>10</v>
      </c>
      <c r="L31" s="8" t="str">
        <f>IF(K31=0,0,VLOOKUP(K31,'01'!$A$2:$B$98,2,0))</f>
        <v>申舒</v>
      </c>
      <c r="M31" s="76">
        <v>3</v>
      </c>
      <c r="N31" s="33" t="s">
        <v>1</v>
      </c>
      <c r="O31" s="35">
        <f t="shared" si="1"/>
        <v>10000</v>
      </c>
      <c r="P31" s="43">
        <f>IF(I31=0,0,VLOOKUP(I31,'00'!$A:$F,4,0))</f>
        <v>1082516</v>
      </c>
      <c r="Q31" s="37">
        <f>IF(A31=0,0,VLOOKUP(A31,'00'!$A$1:$F$65536,5,0))</f>
        <v>0</v>
      </c>
      <c r="R31" s="37">
        <f>IF(A31=0,0,VLOOKUP(A31,'00'!$A$1:$G$65536,6,0))</f>
        <v>0</v>
      </c>
      <c r="S31" s="38">
        <f t="shared" si="2"/>
        <v>0</v>
      </c>
      <c r="T31" s="38">
        <f t="shared" si="3"/>
        <v>0</v>
      </c>
      <c r="U31" s="37">
        <f>IF(I31=0,0,VLOOKUP(I31,'00'!$A:$F,5,0))+X31</f>
        <v>37</v>
      </c>
      <c r="V31" s="37">
        <f>IF(I31=0,0,VLOOKUP(I31,'00'!$A$1:$F$65536,6,0))</f>
        <v>15</v>
      </c>
      <c r="W31" s="30"/>
      <c r="X31" s="30">
        <f>IF(K31=9,125,0)</f>
        <v>0</v>
      </c>
      <c r="Y31" s="31">
        <f t="shared" si="5"/>
        <v>0</v>
      </c>
      <c r="Z31" s="71">
        <f t="shared" si="6"/>
        <v>0</v>
      </c>
      <c r="AA31" s="71">
        <f t="shared" si="7"/>
        <v>0</v>
      </c>
      <c r="AB31" s="71">
        <f t="shared" si="8"/>
        <v>0</v>
      </c>
      <c r="AC31" s="71">
        <f>+U31*M31</f>
        <v>111</v>
      </c>
    </row>
    <row r="32" spans="1:29" s="31" customFormat="1" ht="13.5" thickTop="1" thickBot="1">
      <c r="A32" s="32"/>
      <c r="B32" s="199">
        <f>IF(A32=0,0,VLOOKUP(A32,'00'!$A$1:$F$65536,2,0))</f>
        <v>0</v>
      </c>
      <c r="C32" s="5"/>
      <c r="D32" s="3">
        <f>IF(C32=0,0,VLOOKUP(C32,'01'!$A$2:$B$98,2,0))</f>
        <v>0</v>
      </c>
      <c r="E32" s="12"/>
      <c r="F32" s="33" t="s">
        <v>302</v>
      </c>
      <c r="G32" s="34">
        <f t="shared" si="0"/>
        <v>1000000</v>
      </c>
      <c r="H32" s="206">
        <f>IF(A32=0,0,VLOOKUP(A32,'00'!$A:$F,4,0))</f>
        <v>0</v>
      </c>
      <c r="I32" s="55"/>
      <c r="J32" s="34">
        <f>IF(I32=0,0,VLOOKUP(I32,'00'!$A$1:$F$65536,2,0))</f>
        <v>0</v>
      </c>
      <c r="K32" s="56"/>
      <c r="L32" s="8">
        <f>IF(K32=0,0,VLOOKUP(K32,'01'!$A$2:$B$98,2,0))</f>
        <v>0</v>
      </c>
      <c r="M32" s="76"/>
      <c r="N32" s="33" t="s">
        <v>1</v>
      </c>
      <c r="O32" s="35">
        <f t="shared" si="1"/>
        <v>10000</v>
      </c>
      <c r="P32" s="43">
        <f>IF(I32=0,0,VLOOKUP(I32,'00'!$A:$F,4,0))</f>
        <v>0</v>
      </c>
      <c r="Q32" s="37">
        <f>IF(A32=0,0,VLOOKUP(A32,'00'!$A$1:$F$65536,5,0))</f>
        <v>0</v>
      </c>
      <c r="R32" s="37">
        <f>IF(A32=0,0,VLOOKUP(A32,'00'!$A$1:$G$65536,6,0))</f>
        <v>0</v>
      </c>
      <c r="S32" s="38">
        <f t="shared" si="2"/>
        <v>0</v>
      </c>
      <c r="T32" s="38">
        <f t="shared" si="3"/>
        <v>0</v>
      </c>
      <c r="U32" s="37">
        <f>IF(I32=0,0,VLOOKUP(I32,'00'!$A:$F,5,0))+X32</f>
        <v>0</v>
      </c>
      <c r="V32" s="37">
        <f>IF(I32=0,0,VLOOKUP(I32,'00'!$A$1:$F$65536,6,0))</f>
        <v>0</v>
      </c>
      <c r="W32" s="30"/>
      <c r="X32" s="30">
        <f t="shared" si="4"/>
        <v>0</v>
      </c>
      <c r="Y32" s="31">
        <f t="shared" si="5"/>
        <v>0</v>
      </c>
      <c r="Z32" s="71">
        <f t="shared" si="6"/>
        <v>0</v>
      </c>
      <c r="AA32" s="71">
        <f t="shared" si="7"/>
        <v>0</v>
      </c>
      <c r="AB32" s="71">
        <f t="shared" si="8"/>
        <v>0</v>
      </c>
      <c r="AC32" s="71">
        <f t="shared" ref="AC32:AC37" si="10">+U32*M32</f>
        <v>0</v>
      </c>
    </row>
    <row r="33" spans="1:29" s="31" customFormat="1" ht="13.5" thickTop="1" thickBot="1">
      <c r="A33" s="32"/>
      <c r="B33" s="199">
        <f>IF(A33=0,0,VLOOKUP(A33,'00'!$A$1:$F$65536,2,0))</f>
        <v>0</v>
      </c>
      <c r="C33" s="5"/>
      <c r="D33" s="3">
        <f>IF(C33=0,0,VLOOKUP(C33,'01'!$A$2:$B$98,2,0))</f>
        <v>0</v>
      </c>
      <c r="E33" s="235"/>
      <c r="F33" s="33" t="s">
        <v>302</v>
      </c>
      <c r="G33" s="34">
        <f t="shared" si="0"/>
        <v>1000000</v>
      </c>
      <c r="H33" s="206">
        <f>IF(A33=0,0,VLOOKUP(A33,'00'!$A:$F,4,0))</f>
        <v>0</v>
      </c>
      <c r="I33" s="162"/>
      <c r="J33" s="34">
        <f>IF(I33=0,0,VLOOKUP(I33,'00'!$A$1:$F$65536,2,0))</f>
        <v>0</v>
      </c>
      <c r="K33" s="34"/>
      <c r="L33" s="7">
        <f>IF(K33=0,0,VLOOKUP(K33,'01'!$A$2:$B$98,2,0))</f>
        <v>0</v>
      </c>
      <c r="M33" s="39"/>
      <c r="N33" s="33" t="s">
        <v>1</v>
      </c>
      <c r="O33" s="35">
        <f t="shared" si="1"/>
        <v>10000</v>
      </c>
      <c r="P33" s="43">
        <f>IF(I33=0,0,VLOOKUP(I33,'00'!$A:$F,4,0))</f>
        <v>0</v>
      </c>
      <c r="Q33" s="37">
        <f>IF(A33=0,0,VLOOKUP(A33,'00'!$A$1:$F$65536,5,0))</f>
        <v>0</v>
      </c>
      <c r="R33" s="37">
        <f>IF(A33=0,0,VLOOKUP(A33,'00'!$A$1:$G$65536,6,0))</f>
        <v>0</v>
      </c>
      <c r="S33" s="38">
        <f t="shared" si="2"/>
        <v>0</v>
      </c>
      <c r="T33" s="38">
        <f t="shared" si="3"/>
        <v>0</v>
      </c>
      <c r="U33" s="37">
        <f>IF(I33=0,0,VLOOKUP(I33,'00'!$A:$F,5,0))+X33</f>
        <v>0</v>
      </c>
      <c r="V33" s="37">
        <f>IF(I33=0,0,VLOOKUP(I33,'00'!$A$1:$F$65536,6,0))</f>
        <v>0</v>
      </c>
      <c r="W33" s="30"/>
      <c r="X33" s="30">
        <f t="shared" si="4"/>
        <v>0</v>
      </c>
      <c r="Y33" s="31">
        <f t="shared" si="5"/>
        <v>0</v>
      </c>
      <c r="Z33" s="71">
        <f t="shared" si="6"/>
        <v>0</v>
      </c>
      <c r="AA33" s="71">
        <f t="shared" si="7"/>
        <v>0</v>
      </c>
      <c r="AB33" s="71">
        <f t="shared" si="8"/>
        <v>0</v>
      </c>
      <c r="AC33" s="71">
        <f t="shared" si="10"/>
        <v>0</v>
      </c>
    </row>
    <row r="34" spans="1:29" s="31" customFormat="1" ht="13.5" thickTop="1" thickBot="1">
      <c r="A34" s="32"/>
      <c r="B34" s="199">
        <f>IF(A34=0,0,VLOOKUP(A34,'00'!$A$1:$F$65536,2,0))</f>
        <v>0</v>
      </c>
      <c r="C34" s="5"/>
      <c r="D34" s="3">
        <f>IF(C34=0,0,VLOOKUP(C34,'01'!$A$2:$B$98,2,0))</f>
        <v>0</v>
      </c>
      <c r="E34" s="12"/>
      <c r="F34" s="33" t="s">
        <v>302</v>
      </c>
      <c r="G34" s="34">
        <f t="shared" si="0"/>
        <v>1000000</v>
      </c>
      <c r="H34" s="206">
        <f>IF(A34=0,0,VLOOKUP(A34,'00'!$A:$F,4,0))</f>
        <v>0</v>
      </c>
      <c r="I34" s="55"/>
      <c r="J34" s="34">
        <f>IF(I34=0,0,VLOOKUP(I34,'00'!$A$1:$F$65536,2,0))</f>
        <v>0</v>
      </c>
      <c r="K34" s="56"/>
      <c r="L34" s="8">
        <f>IF(K34=0,0,VLOOKUP(K34,'01'!$A$2:$B$98,2,0))</f>
        <v>0</v>
      </c>
      <c r="M34" s="76"/>
      <c r="N34" s="78" t="s">
        <v>1</v>
      </c>
      <c r="O34" s="47">
        <f t="shared" si="1"/>
        <v>10000</v>
      </c>
      <c r="P34" s="79">
        <f>IF(I34=0,0,VLOOKUP(I34,'00'!$A:$F,4,0))</f>
        <v>0</v>
      </c>
      <c r="Q34" s="37">
        <f>IF(A34=0,0,VLOOKUP(A34,'00'!$A$1:$F$65536,5,0))</f>
        <v>0</v>
      </c>
      <c r="R34" s="37">
        <f>IF(A34=0,0,VLOOKUP(A34,'00'!$A$1:$G$65536,6,0))</f>
        <v>0</v>
      </c>
      <c r="S34" s="38">
        <f t="shared" si="2"/>
        <v>0</v>
      </c>
      <c r="T34" s="38">
        <f t="shared" si="3"/>
        <v>0</v>
      </c>
      <c r="U34" s="37">
        <f>IF(I34=0,0,VLOOKUP(I34,'00'!$A:$F,5,0))+X34</f>
        <v>0</v>
      </c>
      <c r="V34" s="37">
        <f>IF(I34=0,0,VLOOKUP(I34,'00'!$A$1:$F$65536,6,0))</f>
        <v>0</v>
      </c>
      <c r="W34" s="30"/>
      <c r="X34" s="30">
        <f t="shared" si="4"/>
        <v>0</v>
      </c>
      <c r="Y34" s="31">
        <f t="shared" si="5"/>
        <v>0</v>
      </c>
      <c r="Z34" s="71">
        <f t="shared" si="6"/>
        <v>0</v>
      </c>
      <c r="AA34" s="71">
        <f t="shared" si="7"/>
        <v>0</v>
      </c>
      <c r="AB34" s="71">
        <f t="shared" si="8"/>
        <v>0</v>
      </c>
      <c r="AC34" s="71">
        <f t="shared" si="10"/>
        <v>0</v>
      </c>
    </row>
    <row r="35" spans="1:29" s="31" customFormat="1" ht="13.5" thickTop="1" thickBot="1">
      <c r="A35" s="32"/>
      <c r="B35" s="3">
        <f>IF(A35=0,0,VLOOKUP(A35,'00'!$A$1:$F$65536,2,0))</f>
        <v>0</v>
      </c>
      <c r="C35" s="5"/>
      <c r="D35" s="3">
        <f>IF(C35=0,0,VLOOKUP(C35,'01'!$A$2:$B$98,2,0))</f>
        <v>0</v>
      </c>
      <c r="E35" s="12"/>
      <c r="F35" s="33" t="s">
        <v>302</v>
      </c>
      <c r="G35" s="34">
        <f t="shared" si="0"/>
        <v>1000000</v>
      </c>
      <c r="H35" s="206">
        <f>IF(A35=0,0,VLOOKUP(A35,'00'!$A:$F,4,0))</f>
        <v>0</v>
      </c>
      <c r="I35" s="55"/>
      <c r="J35" s="34">
        <f>IF(I35=0,0,VLOOKUP(I35,'00'!$A$1:$F$65536,2,0))</f>
        <v>0</v>
      </c>
      <c r="K35" s="56"/>
      <c r="L35" s="8">
        <f>IF(K35=0,0,VLOOKUP(K35,'01'!$A$2:$B$98,2,0))</f>
        <v>0</v>
      </c>
      <c r="M35" s="76"/>
      <c r="N35" s="33" t="s">
        <v>1</v>
      </c>
      <c r="O35" s="35">
        <f t="shared" si="1"/>
        <v>10000</v>
      </c>
      <c r="P35" s="43">
        <f>IF(I35=0,0,VLOOKUP(I35,'00'!$A:$F,4,0))</f>
        <v>0</v>
      </c>
      <c r="Q35" s="37">
        <f>IF(A35=0,0,VLOOKUP(A35,'00'!$A$1:$F$65536,5,0))</f>
        <v>0</v>
      </c>
      <c r="R35" s="37">
        <f>IF(A35=0,0,VLOOKUP(A35,'00'!$A$1:$G$65536,6,0))</f>
        <v>0</v>
      </c>
      <c r="S35" s="38">
        <f t="shared" si="2"/>
        <v>0</v>
      </c>
      <c r="T35" s="38">
        <f t="shared" si="3"/>
        <v>0</v>
      </c>
      <c r="U35" s="37">
        <f>IF(I35=0,0,VLOOKUP(I35,'00'!$A:$F,5,0))+X35</f>
        <v>0</v>
      </c>
      <c r="V35" s="37">
        <f>IF(I35=0,0,VLOOKUP(I35,'00'!$A$1:$F$65536,6,0))</f>
        <v>0</v>
      </c>
      <c r="W35" s="30"/>
      <c r="X35" s="30">
        <f t="shared" si="4"/>
        <v>0</v>
      </c>
      <c r="Y35" s="31">
        <f t="shared" si="5"/>
        <v>0</v>
      </c>
      <c r="Z35" s="71">
        <f t="shared" si="6"/>
        <v>0</v>
      </c>
      <c r="AA35" s="71">
        <f t="shared" si="7"/>
        <v>0</v>
      </c>
      <c r="AB35" s="71">
        <f t="shared" si="8"/>
        <v>0</v>
      </c>
      <c r="AC35" s="71">
        <f t="shared" si="10"/>
        <v>0</v>
      </c>
    </row>
    <row r="36" spans="1:29" s="31" customFormat="1" ht="13.5" thickTop="1" thickBot="1">
      <c r="A36" s="32"/>
      <c r="B36" s="3">
        <f>IF(A36=0,0,VLOOKUP(A36,'00'!$A$1:$F$65536,2,0))</f>
        <v>0</v>
      </c>
      <c r="C36" s="5"/>
      <c r="D36" s="3">
        <f>IF(C36=0,0,VLOOKUP(C36,'01'!$A$2:$B$98,2,0))</f>
        <v>0</v>
      </c>
      <c r="E36" s="12"/>
      <c r="F36" s="33" t="s">
        <v>302</v>
      </c>
      <c r="G36" s="34">
        <f t="shared" si="0"/>
        <v>1000000</v>
      </c>
      <c r="H36" s="206">
        <f>IF(A36=0,0,VLOOKUP(A36,'00'!$A:$F,4,0))</f>
        <v>0</v>
      </c>
      <c r="I36" s="162"/>
      <c r="J36" s="34">
        <f>IF(I36=0,0,VLOOKUP(I36,'00'!$A$1:$F$65536,2,0))</f>
        <v>0</v>
      </c>
      <c r="K36" s="34"/>
      <c r="L36" s="7">
        <f>IF(K36=0,0,VLOOKUP(K36,'01'!$A$2:$B$98,2,0))</f>
        <v>0</v>
      </c>
      <c r="M36" s="39"/>
      <c r="N36" s="33" t="s">
        <v>1</v>
      </c>
      <c r="O36" s="35">
        <f t="shared" si="1"/>
        <v>10000</v>
      </c>
      <c r="P36" s="43">
        <f>IF(I36=0,0,VLOOKUP(I36,'00'!$A:$F,4,0))</f>
        <v>0</v>
      </c>
      <c r="Q36" s="37">
        <f>IF(A36=0,0,VLOOKUP(A36,'00'!$A$1:$F$65536,5,0))</f>
        <v>0</v>
      </c>
      <c r="R36" s="37">
        <f>IF(A36=0,0,VLOOKUP(A36,'00'!$A$1:$G$65536,6,0))</f>
        <v>0</v>
      </c>
      <c r="S36" s="38">
        <f t="shared" si="2"/>
        <v>0</v>
      </c>
      <c r="T36" s="38">
        <f t="shared" si="3"/>
        <v>0</v>
      </c>
      <c r="U36" s="37">
        <f>IF(I36=0,0,VLOOKUP(I36,'00'!$A:$F,5,0))+X36</f>
        <v>0</v>
      </c>
      <c r="V36" s="37">
        <f>IF(I36=0,0,VLOOKUP(I36,'00'!$A$1:$F$65536,6,0))</f>
        <v>0</v>
      </c>
      <c r="W36" s="30"/>
      <c r="X36" s="30">
        <f t="shared" si="4"/>
        <v>0</v>
      </c>
      <c r="Y36" s="31">
        <f t="shared" si="5"/>
        <v>0</v>
      </c>
      <c r="Z36" s="71">
        <f t="shared" si="6"/>
        <v>0</v>
      </c>
      <c r="AA36" s="71">
        <f t="shared" si="7"/>
        <v>0</v>
      </c>
      <c r="AB36" s="71">
        <f t="shared" si="8"/>
        <v>0</v>
      </c>
      <c r="AC36" s="71">
        <f t="shared" si="10"/>
        <v>0</v>
      </c>
    </row>
    <row r="37" spans="1:29" s="31" customFormat="1" ht="13.5" thickTop="1" thickBot="1">
      <c r="A37" s="32"/>
      <c r="B37" s="108">
        <f>IF(A37=0,0,VLOOKUP(A37,'00'!$A$1:$F$65536,2,0))</f>
        <v>0</v>
      </c>
      <c r="C37" s="109"/>
      <c r="D37" s="108">
        <f>IF(C37=0,0,VLOOKUP(C37,'01'!$A$2:$B$98,2,0))</f>
        <v>0</v>
      </c>
      <c r="E37" s="110"/>
      <c r="F37" s="33" t="s">
        <v>302</v>
      </c>
      <c r="G37" s="56">
        <f t="shared" si="0"/>
        <v>1000000</v>
      </c>
      <c r="H37" s="60">
        <f>IF(A37=0,0,VLOOKUP(A37,'00'!$A:$F,4,0))</f>
        <v>0</v>
      </c>
      <c r="I37" s="32"/>
      <c r="J37" s="34">
        <f>IF(I37=0,0,VLOOKUP(I37,'00'!$A$1:$F$65536,2,0))</f>
        <v>0</v>
      </c>
      <c r="K37" s="34"/>
      <c r="L37" s="7">
        <f>IF(K37=0,0,VLOOKUP(K37,'01'!$A$2:$B$98,2,0))</f>
        <v>0</v>
      </c>
      <c r="M37" s="39"/>
      <c r="N37" s="84" t="s">
        <v>1</v>
      </c>
      <c r="O37" s="85">
        <f t="shared" si="1"/>
        <v>10000</v>
      </c>
      <c r="P37" s="86">
        <f>IF(I37=0,0,VLOOKUP(I37,'00'!$A:$F,4,0))</f>
        <v>0</v>
      </c>
      <c r="Q37" s="37">
        <f>IF(A37=0,0,VLOOKUP(A37,'00'!$A$1:$F$65536,5,0))</f>
        <v>0</v>
      </c>
      <c r="R37" s="37">
        <f>IF(A37=0,0,VLOOKUP(A37,'00'!$A$1:$G$65536,6,0))</f>
        <v>0</v>
      </c>
      <c r="S37" s="38">
        <f t="shared" si="2"/>
        <v>0</v>
      </c>
      <c r="T37" s="38">
        <f t="shared" si="3"/>
        <v>0</v>
      </c>
      <c r="U37" s="37">
        <f>IF(I37=0,0,VLOOKUP(I37,'00'!$A:$F,5,0))+X37</f>
        <v>0</v>
      </c>
      <c r="V37" s="37">
        <f>IF(I37=0,0,VLOOKUP(I37,'00'!$A$1:$F$65536,6,0))</f>
        <v>0</v>
      </c>
      <c r="W37" s="30"/>
      <c r="X37" s="30">
        <f t="shared" si="4"/>
        <v>0</v>
      </c>
      <c r="Y37" s="31">
        <f t="shared" si="5"/>
        <v>0</v>
      </c>
      <c r="Z37" s="71">
        <f t="shared" si="6"/>
        <v>0</v>
      </c>
      <c r="AA37" s="71">
        <f t="shared" si="7"/>
        <v>0</v>
      </c>
      <c r="AB37" s="71">
        <f t="shared" si="8"/>
        <v>0</v>
      </c>
      <c r="AC37" s="71">
        <f t="shared" si="10"/>
        <v>0</v>
      </c>
    </row>
    <row r="38" spans="1:29" s="31" customFormat="1" ht="14.25" thickTop="1" thickBot="1">
      <c r="A38" s="57" t="s">
        <v>303</v>
      </c>
      <c r="B38" s="236" t="s">
        <v>304</v>
      </c>
      <c r="C38" s="236"/>
      <c r="D38" s="236"/>
      <c r="E38" s="236"/>
      <c r="F38" s="236"/>
      <c r="G38" s="236"/>
      <c r="H38" s="237"/>
      <c r="I38" s="238"/>
      <c r="J38" s="239"/>
      <c r="K38" s="311" t="s">
        <v>305</v>
      </c>
      <c r="L38" s="312"/>
      <c r="M38" s="312"/>
      <c r="N38" s="312"/>
      <c r="O38" s="312"/>
      <c r="P38" s="313"/>
      <c r="Q38" s="37"/>
      <c r="R38" s="37"/>
      <c r="S38" s="38"/>
      <c r="T38" s="38"/>
      <c r="U38" s="54"/>
      <c r="V38" s="54"/>
      <c r="W38" s="30"/>
      <c r="X38" s="30"/>
      <c r="Z38" s="71"/>
      <c r="AA38" s="71"/>
      <c r="AB38" s="71"/>
      <c r="AC38" s="71"/>
    </row>
    <row r="39" spans="1:29" s="31" customFormat="1" ht="13.5" thickTop="1" thickBot="1">
      <c r="A39" s="58" t="s">
        <v>306</v>
      </c>
      <c r="B39" s="226" t="s">
        <v>307</v>
      </c>
      <c r="C39" s="212"/>
      <c r="D39" s="212"/>
      <c r="E39" s="212"/>
      <c r="F39" s="212"/>
      <c r="G39" s="212"/>
      <c r="H39" s="213"/>
      <c r="I39" s="58"/>
      <c r="J39" s="212"/>
      <c r="K39" s="212"/>
      <c r="L39" s="212"/>
      <c r="M39" s="212"/>
      <c r="N39" s="212"/>
      <c r="O39" s="212"/>
      <c r="P39" s="213"/>
      <c r="Q39" s="37"/>
      <c r="R39" s="37"/>
      <c r="S39" s="38"/>
      <c r="T39" s="38"/>
      <c r="U39" s="54"/>
      <c r="V39" s="54"/>
      <c r="W39" s="30"/>
      <c r="X39" s="30"/>
      <c r="Z39" s="71"/>
      <c r="AA39" s="71"/>
      <c r="AB39" s="71"/>
      <c r="AC39" s="71"/>
    </row>
    <row r="40" spans="1:29" s="31" customFormat="1" ht="13.5" thickTop="1" thickBot="1">
      <c r="A40" s="58" t="s">
        <v>308</v>
      </c>
      <c r="B40" s="212" t="s">
        <v>309</v>
      </c>
      <c r="C40" s="212"/>
      <c r="D40" s="212"/>
      <c r="E40" s="212"/>
      <c r="F40" s="212"/>
      <c r="G40" s="212"/>
      <c r="H40" s="213"/>
      <c r="I40" s="240"/>
      <c r="J40" s="241"/>
      <c r="K40" s="241"/>
      <c r="L40" s="241"/>
      <c r="M40" s="241"/>
      <c r="N40" s="241"/>
      <c r="O40" s="241"/>
      <c r="P40" s="242"/>
      <c r="Q40" s="37"/>
      <c r="R40" s="37"/>
      <c r="S40" s="38"/>
      <c r="T40" s="38"/>
      <c r="U40" s="54"/>
      <c r="V40" s="54"/>
      <c r="W40" s="30"/>
      <c r="X40" s="30"/>
      <c r="Z40" s="71"/>
      <c r="AA40" s="71"/>
      <c r="AB40" s="71"/>
      <c r="AC40" s="71"/>
    </row>
    <row r="41" spans="1:29" s="31" customFormat="1" ht="13.5" thickTop="1" thickBot="1">
      <c r="A41" s="58" t="s">
        <v>41</v>
      </c>
      <c r="B41" s="197" t="s">
        <v>310</v>
      </c>
      <c r="C41" s="219"/>
      <c r="D41" s="219"/>
      <c r="E41" s="219"/>
      <c r="F41" s="219"/>
      <c r="G41" s="219"/>
      <c r="H41" s="222"/>
      <c r="I41" s="240"/>
      <c r="J41" s="241"/>
      <c r="K41" s="241"/>
      <c r="L41" s="241"/>
      <c r="M41" s="241"/>
      <c r="N41" s="241"/>
      <c r="O41" s="241"/>
      <c r="P41" s="242"/>
      <c r="Q41" s="37"/>
      <c r="R41" s="37"/>
      <c r="S41" s="38"/>
      <c r="T41" s="38"/>
      <c r="U41" s="54"/>
      <c r="V41" s="54"/>
      <c r="W41" s="30"/>
      <c r="X41" s="30"/>
      <c r="Z41" s="71"/>
      <c r="AA41" s="71"/>
      <c r="AB41" s="71"/>
      <c r="AC41" s="71"/>
    </row>
    <row r="42" spans="1:29" s="31" customFormat="1" ht="13.5" thickTop="1" thickBot="1">
      <c r="A42" s="58" t="s">
        <v>311</v>
      </c>
      <c r="B42" s="226" t="s">
        <v>312</v>
      </c>
      <c r="C42" s="212"/>
      <c r="D42" s="212"/>
      <c r="E42" s="212"/>
      <c r="F42" s="212"/>
      <c r="G42" s="212"/>
      <c r="H42" s="213"/>
      <c r="I42" s="240"/>
      <c r="J42" s="241"/>
      <c r="K42" s="241"/>
      <c r="L42" s="241"/>
      <c r="M42" s="241"/>
      <c r="N42" s="241"/>
      <c r="O42" s="241"/>
      <c r="P42" s="242"/>
      <c r="Q42" s="37"/>
      <c r="R42" s="37"/>
      <c r="S42" s="38"/>
      <c r="T42" s="38"/>
      <c r="U42" s="54"/>
      <c r="V42" s="54"/>
      <c r="W42" s="30"/>
      <c r="X42" s="30"/>
      <c r="Z42" s="71"/>
      <c r="AA42" s="71"/>
      <c r="AB42" s="71"/>
      <c r="AC42" s="71"/>
    </row>
    <row r="43" spans="1:29" s="31" customFormat="1" ht="13.5" thickTop="1" thickBot="1">
      <c r="A43" s="98" t="s">
        <v>43</v>
      </c>
      <c r="B43" s="219"/>
      <c r="C43" s="219"/>
      <c r="D43" s="219"/>
      <c r="E43" s="219"/>
      <c r="F43" s="219"/>
      <c r="G43" s="219"/>
      <c r="H43" s="222"/>
      <c r="I43" s="308"/>
      <c r="J43" s="309"/>
      <c r="K43" s="309"/>
      <c r="L43" s="309"/>
      <c r="M43" s="309"/>
      <c r="N43" s="309"/>
      <c r="O43" s="309"/>
      <c r="P43" s="310"/>
      <c r="Q43" s="37"/>
      <c r="R43" s="37"/>
      <c r="S43" s="38"/>
      <c r="T43" s="38"/>
      <c r="U43" s="54"/>
      <c r="V43" s="54"/>
      <c r="W43" s="30"/>
      <c r="X43" s="30"/>
      <c r="Z43" s="71"/>
      <c r="AA43" s="71"/>
      <c r="AB43" s="71"/>
      <c r="AC43" s="71"/>
    </row>
    <row r="44" spans="1:29" s="31" customFormat="1" ht="13.5" thickTop="1" thickBot="1">
      <c r="A44" s="314" t="s">
        <v>313</v>
      </c>
      <c r="B44" s="53" t="s">
        <v>67</v>
      </c>
      <c r="C44" s="305" t="s">
        <v>314</v>
      </c>
      <c r="D44" s="306"/>
      <c r="E44" s="307"/>
      <c r="F44" s="274" t="s">
        <v>68</v>
      </c>
      <c r="G44" s="275"/>
      <c r="H44" s="276"/>
      <c r="I44" s="282" t="s">
        <v>315</v>
      </c>
      <c r="J44" s="53" t="s">
        <v>67</v>
      </c>
      <c r="K44" s="305" t="s">
        <v>314</v>
      </c>
      <c r="L44" s="306"/>
      <c r="M44" s="307"/>
      <c r="N44" s="274" t="s">
        <v>68</v>
      </c>
      <c r="O44" s="275"/>
      <c r="P44" s="276"/>
      <c r="Q44" s="37"/>
      <c r="R44" s="37"/>
      <c r="S44" s="38"/>
      <c r="T44" s="38"/>
      <c r="U44" s="54"/>
      <c r="V44" s="54"/>
      <c r="W44" s="30"/>
      <c r="X44" s="30"/>
      <c r="Z44" s="71"/>
      <c r="AA44" s="71"/>
      <c r="AB44" s="71"/>
      <c r="AC44" s="71"/>
    </row>
    <row r="45" spans="1:29" s="31" customFormat="1" ht="13.5" thickTop="1" thickBot="1">
      <c r="A45" s="315" t="s">
        <v>286</v>
      </c>
      <c r="B45" s="34" t="s">
        <v>299</v>
      </c>
      <c r="C45" s="285">
        <f>+SUMIF(F:F,B45,Y:Y)*Q48</f>
        <v>447.6</v>
      </c>
      <c r="D45" s="286"/>
      <c r="E45" s="288"/>
      <c r="F45" s="285">
        <f>(SUMPRODUCT(M5:M15,V5:V15)+W5*V5)*Q48</f>
        <v>360</v>
      </c>
      <c r="G45" s="286"/>
      <c r="H45" s="287"/>
      <c r="I45" s="283" t="s">
        <v>286</v>
      </c>
      <c r="J45" s="34" t="s">
        <v>316</v>
      </c>
      <c r="K45" s="317"/>
      <c r="L45" s="318"/>
      <c r="M45" s="124">
        <f>IF(K45=0,0,K50/K45*1000)</f>
        <v>0</v>
      </c>
      <c r="N45" s="124"/>
      <c r="O45" s="215"/>
      <c r="P45" s="216"/>
      <c r="Q45" s="37"/>
      <c r="R45" s="37"/>
      <c r="S45" s="38"/>
      <c r="T45" s="38"/>
      <c r="U45" s="54"/>
      <c r="V45" s="54"/>
      <c r="W45" s="30"/>
      <c r="X45" s="30"/>
      <c r="Z45" s="71"/>
      <c r="AA45" s="71"/>
      <c r="AB45" s="71"/>
      <c r="AC45" s="71"/>
    </row>
    <row r="46" spans="1:29" s="31" customFormat="1" ht="13.5" thickTop="1" thickBot="1">
      <c r="A46" s="315">
        <v>270172</v>
      </c>
      <c r="B46" s="34" t="s">
        <v>301</v>
      </c>
      <c r="C46" s="285">
        <f>+SUMIF(F:F,B46,Y:Y)*Q48</f>
        <v>475.00000000000006</v>
      </c>
      <c r="D46" s="286"/>
      <c r="E46" s="288"/>
      <c r="F46" s="285">
        <f>(SUMPRODUCT(M16:M26,V16:V26)+W16*V16)*Q48</f>
        <v>500</v>
      </c>
      <c r="G46" s="286"/>
      <c r="H46" s="287"/>
      <c r="I46" s="283">
        <v>270172</v>
      </c>
      <c r="J46" s="34" t="s">
        <v>317</v>
      </c>
      <c r="K46" s="317"/>
      <c r="L46" s="318"/>
      <c r="M46" s="124">
        <f>IF(K46=0,0,K51/K46*1000)</f>
        <v>0</v>
      </c>
      <c r="N46" s="124"/>
      <c r="O46" s="215"/>
      <c r="P46" s="216"/>
      <c r="Q46" s="37"/>
      <c r="R46" s="37"/>
      <c r="S46" s="38"/>
      <c r="T46" s="38"/>
      <c r="U46" s="54"/>
      <c r="V46" s="54"/>
      <c r="W46" s="30"/>
      <c r="X46" s="30"/>
      <c r="Z46" s="71"/>
      <c r="AA46" s="71"/>
      <c r="AB46" s="71"/>
      <c r="AC46" s="71"/>
    </row>
    <row r="47" spans="1:29" s="31" customFormat="1" ht="13.5" thickTop="1" thickBot="1">
      <c r="A47" s="315">
        <v>270127</v>
      </c>
      <c r="B47" s="34" t="s">
        <v>302</v>
      </c>
      <c r="C47" s="285">
        <f>+SUMIF(F:F,B47,Y:Y)*Q48</f>
        <v>455.9</v>
      </c>
      <c r="D47" s="286"/>
      <c r="E47" s="288"/>
      <c r="F47" s="285">
        <f>(SUMPRODUCT(M27:M37,V27:V37)+W27*V27)*Q48</f>
        <v>542</v>
      </c>
      <c r="G47" s="286"/>
      <c r="H47" s="287"/>
      <c r="I47" s="283">
        <v>270127</v>
      </c>
      <c r="J47" s="34" t="s">
        <v>318</v>
      </c>
      <c r="K47" s="317"/>
      <c r="L47" s="318"/>
      <c r="M47" s="124">
        <f>IF(K47=0,0,K52/K47*1000)</f>
        <v>0</v>
      </c>
      <c r="N47" s="124"/>
      <c r="O47" s="215"/>
      <c r="P47" s="216"/>
      <c r="Q47" s="37"/>
      <c r="R47" s="37"/>
      <c r="S47" s="38"/>
      <c r="T47" s="38"/>
      <c r="U47" s="54"/>
      <c r="V47" s="54"/>
      <c r="W47" s="30"/>
      <c r="X47" s="30"/>
      <c r="Z47" s="71"/>
      <c r="AA47" s="71"/>
      <c r="AB47" s="71"/>
      <c r="AC47" s="71"/>
    </row>
    <row r="48" spans="1:29" s="31" customFormat="1" ht="13.5" thickTop="1" thickBot="1">
      <c r="A48" s="316">
        <v>270127</v>
      </c>
      <c r="B48" s="107" t="s">
        <v>319</v>
      </c>
      <c r="C48" s="289">
        <f>SUM(C45:E47)</f>
        <v>1378.5</v>
      </c>
      <c r="D48" s="290"/>
      <c r="E48" s="291"/>
      <c r="F48" s="289">
        <f>SUM(F45:H47)</f>
        <v>1402</v>
      </c>
      <c r="G48" s="290"/>
      <c r="H48" s="300"/>
      <c r="I48" s="284">
        <v>270127</v>
      </c>
      <c r="J48" s="107" t="s">
        <v>319</v>
      </c>
      <c r="K48" s="301">
        <f>SUM(K45:L47)</f>
        <v>0</v>
      </c>
      <c r="L48" s="302"/>
      <c r="M48" s="120">
        <f>IF(K48=0,0,K53/K48*1000)</f>
        <v>0</v>
      </c>
      <c r="N48" s="121"/>
      <c r="O48" s="122">
        <f>SUM(O45:P47)</f>
        <v>0</v>
      </c>
      <c r="P48" s="123"/>
      <c r="Q48" s="294">
        <v>1</v>
      </c>
      <c r="R48" s="295"/>
      <c r="S48" s="38"/>
      <c r="T48" s="38"/>
      <c r="U48" s="54"/>
      <c r="V48" s="54"/>
      <c r="W48" s="30"/>
      <c r="X48" s="30"/>
      <c r="Z48" s="71"/>
      <c r="AA48" s="71"/>
      <c r="AB48" s="71"/>
      <c r="AC48" s="71"/>
    </row>
    <row r="49" spans="1:29" s="31" customFormat="1" ht="13.5" thickTop="1" thickBot="1">
      <c r="A49" s="315" t="s">
        <v>320</v>
      </c>
      <c r="B49" s="99" t="s">
        <v>291</v>
      </c>
      <c r="C49" s="296" t="s">
        <v>321</v>
      </c>
      <c r="D49" s="325"/>
      <c r="E49" s="100" t="s">
        <v>322</v>
      </c>
      <c r="F49" s="101" t="s">
        <v>323</v>
      </c>
      <c r="G49" s="101"/>
      <c r="H49" s="102" t="s">
        <v>319</v>
      </c>
      <c r="I49" s="315" t="s">
        <v>324</v>
      </c>
      <c r="J49" s="99" t="s">
        <v>291</v>
      </c>
      <c r="K49" s="296" t="s">
        <v>319</v>
      </c>
      <c r="L49" s="297"/>
      <c r="M49" s="103" t="s">
        <v>322</v>
      </c>
      <c r="N49" s="104" t="s">
        <v>323</v>
      </c>
      <c r="O49" s="105"/>
      <c r="P49" s="106" t="s">
        <v>321</v>
      </c>
      <c r="Q49" s="292" t="s">
        <v>325</v>
      </c>
      <c r="R49" s="293"/>
      <c r="S49" s="38"/>
      <c r="T49" s="38"/>
      <c r="U49" s="54"/>
      <c r="V49" s="54"/>
      <c r="W49" s="30"/>
      <c r="X49" s="30"/>
      <c r="Z49" s="71"/>
      <c r="AA49" s="71"/>
      <c r="AB49" s="71"/>
      <c r="AC49" s="71"/>
    </row>
    <row r="50" spans="1:29" s="31" customFormat="1" ht="13.5" thickTop="1" thickBot="1">
      <c r="A50" s="315"/>
      <c r="B50" s="34" t="s">
        <v>299</v>
      </c>
      <c r="C50" s="321">
        <f>SUMIF($N$5:$N$37,B50,$AC$5:$AC$37)/1000</f>
        <v>0.88800000000000001</v>
      </c>
      <c r="D50" s="322"/>
      <c r="E50" s="191">
        <f>SUMIF($F$5:$F$37,B50,$AA$5:$AA$37)/1000</f>
        <v>0</v>
      </c>
      <c r="F50" s="192">
        <f>SUMIF($F$5:$F$37,B50,$AB$5:$AB$37)/1000</f>
        <v>14.484999999999999</v>
      </c>
      <c r="G50" s="192"/>
      <c r="H50" s="207">
        <f>+E50+F50</f>
        <v>14.484999999999999</v>
      </c>
      <c r="I50" s="315"/>
      <c r="J50" s="34" t="s">
        <v>299</v>
      </c>
      <c r="K50" s="298">
        <f>SUM(M50:N50)</f>
        <v>0</v>
      </c>
      <c r="L50" s="299"/>
      <c r="M50" s="111"/>
      <c r="N50" s="112"/>
      <c r="O50" s="59"/>
      <c r="P50" s="116"/>
      <c r="Q50" s="145">
        <f>+Q51+Q52</f>
        <v>41.227000000000004</v>
      </c>
      <c r="R50" s="144">
        <f>+FLOOR(SUM(SUMPRODUCT(E5:E37,G5:G37,R5:R37))/100000000000,1)/10</f>
        <v>447.6</v>
      </c>
      <c r="S50" s="38"/>
      <c r="T50" s="38"/>
      <c r="U50" s="54"/>
      <c r="V50" s="54"/>
      <c r="W50" s="30"/>
      <c r="X50" s="30"/>
      <c r="Z50" s="71"/>
      <c r="AA50" s="71"/>
      <c r="AB50" s="71"/>
      <c r="AC50" s="71"/>
    </row>
    <row r="51" spans="1:29" s="31" customFormat="1" ht="15.75" thickTop="1" thickBot="1">
      <c r="A51" s="315"/>
      <c r="B51" s="34" t="s">
        <v>301</v>
      </c>
      <c r="C51" s="321">
        <f>SUMIF($N$5:$N$37,B51,$AC$5:$AC$37)/1000</f>
        <v>1.3</v>
      </c>
      <c r="D51" s="322"/>
      <c r="E51" s="191">
        <f>SUMIF($F$5:$F$37,B51,$AA$5:$AA$37)/1000</f>
        <v>0</v>
      </c>
      <c r="F51" s="192">
        <f>SUMIF($F$5:$F$37,B51,$AB$5:$AB$37)/1000</f>
        <v>14.236000000000001</v>
      </c>
      <c r="G51" s="192"/>
      <c r="H51" s="207">
        <f>+E51+F51</f>
        <v>14.236000000000001</v>
      </c>
      <c r="I51" s="315"/>
      <c r="J51" s="206" t="s">
        <v>301</v>
      </c>
      <c r="K51" s="298">
        <f>SUM(M51:N51)</f>
        <v>0</v>
      </c>
      <c r="L51" s="299"/>
      <c r="M51" s="111"/>
      <c r="N51" s="112"/>
      <c r="O51" s="59"/>
      <c r="P51" s="116"/>
      <c r="Q51" s="145">
        <f>+H53</f>
        <v>41.227000000000004</v>
      </c>
      <c r="R51" s="144">
        <f>+SUMPRODUCT(E5:E37,G5:G37,R5:R37)-R50*1000000000000-R52*1000000</f>
        <v>475</v>
      </c>
      <c r="S51" s="38"/>
      <c r="T51" s="38"/>
      <c r="U51" s="17"/>
      <c r="V51" s="17"/>
      <c r="W51" s="30"/>
      <c r="X51" s="30"/>
      <c r="Z51" s="71"/>
      <c r="AA51" s="71"/>
      <c r="AB51" s="71"/>
      <c r="AC51" s="71"/>
    </row>
    <row r="52" spans="1:29" s="31" customFormat="1" ht="15.75" thickTop="1" thickBot="1">
      <c r="A52" s="315"/>
      <c r="B52" s="34" t="s">
        <v>302</v>
      </c>
      <c r="C52" s="321">
        <f>SUMIF($N$5:$N$37,B52,$AC$5:$AC$37)/1000</f>
        <v>0.45</v>
      </c>
      <c r="D52" s="322"/>
      <c r="E52" s="191">
        <f>SUMIF($F$5:$F$37,B52,$AA$5:$AA$37)/1000</f>
        <v>6.7530000000000001</v>
      </c>
      <c r="F52" s="192">
        <f>SUMIF($F$5:$F$37,B52,$AB$5:$AB$37)/1000</f>
        <v>5.7530000000000001</v>
      </c>
      <c r="G52" s="192"/>
      <c r="H52" s="207">
        <f>+E52+F52</f>
        <v>12.506</v>
      </c>
      <c r="I52" s="315"/>
      <c r="J52" s="60" t="s">
        <v>302</v>
      </c>
      <c r="K52" s="298">
        <f>SUM(M52:N52)</f>
        <v>0</v>
      </c>
      <c r="L52" s="299"/>
      <c r="M52" s="111"/>
      <c r="N52" s="113"/>
      <c r="O52" s="61"/>
      <c r="P52" s="116"/>
      <c r="Q52" s="145">
        <f>SUMPRODUCT(E5:E37,T5:T37,Q5:Q37)/1000</f>
        <v>0</v>
      </c>
      <c r="R52" s="144">
        <f>+FLOOR(MOD(SUMPRODUCT(E5:E37,G5:G37,R5:R37),100000000000)/100000,1)/10</f>
        <v>455.9</v>
      </c>
      <c r="S52" s="38"/>
      <c r="T52" s="38"/>
      <c r="U52" s="17"/>
      <c r="V52" s="17"/>
      <c r="W52" s="30"/>
      <c r="X52" s="30"/>
      <c r="Z52" s="71"/>
      <c r="AA52" s="71"/>
      <c r="AB52" s="71"/>
      <c r="AC52" s="71"/>
    </row>
    <row r="53" spans="1:29" s="31" customFormat="1" ht="15.75" thickTop="1" thickBot="1">
      <c r="A53" s="320"/>
      <c r="B53" s="62" t="s">
        <v>319</v>
      </c>
      <c r="C53" s="323">
        <f>SUM(C50:C52)</f>
        <v>2.6380000000000003</v>
      </c>
      <c r="D53" s="324"/>
      <c r="E53" s="146">
        <f>SUM(E50:E52)</f>
        <v>6.7530000000000001</v>
      </c>
      <c r="F53" s="147">
        <f>SUM(F50:F52)</f>
        <v>34.474000000000004</v>
      </c>
      <c r="G53" s="147"/>
      <c r="H53" s="148">
        <f>SUM(H50:H52)</f>
        <v>41.227000000000004</v>
      </c>
      <c r="I53" s="320"/>
      <c r="J53" s="63" t="s">
        <v>319</v>
      </c>
      <c r="K53" s="326">
        <f>+M53+N53</f>
        <v>0</v>
      </c>
      <c r="L53" s="327"/>
      <c r="M53" s="114">
        <f>SUM(M50:M52)</f>
        <v>0</v>
      </c>
      <c r="N53" s="115">
        <f>SUM(N50:N52)</f>
        <v>0</v>
      </c>
      <c r="O53" s="64"/>
      <c r="P53" s="117">
        <f>SUM(P50:P52)</f>
        <v>0</v>
      </c>
      <c r="Q53" s="145">
        <f>SUMPRODUCT(Q5:Q28,E5:E28)/1000</f>
        <v>41.226999999999997</v>
      </c>
      <c r="R53" s="144">
        <f>SUM(R50:R52)</f>
        <v>1378.5</v>
      </c>
      <c r="S53" s="38">
        <v>0</v>
      </c>
      <c r="T53" s="38"/>
      <c r="U53" s="17"/>
      <c r="V53" s="17"/>
      <c r="W53" s="30"/>
      <c r="X53" s="30"/>
      <c r="Z53" s="71"/>
      <c r="AA53" s="71"/>
      <c r="AB53" s="71"/>
      <c r="AC53" s="71"/>
    </row>
    <row r="54" spans="1:29" s="66" customFormat="1" ht="25.5">
      <c r="A54" s="319" t="s">
        <v>326</v>
      </c>
      <c r="B54" s="319"/>
      <c r="C54" s="319"/>
      <c r="D54" s="319"/>
      <c r="E54" s="319"/>
      <c r="F54" s="319"/>
      <c r="G54" s="319"/>
      <c r="H54" s="319"/>
      <c r="I54" s="319" t="s">
        <v>327</v>
      </c>
      <c r="J54" s="319"/>
      <c r="K54" s="319"/>
      <c r="L54" s="319"/>
      <c r="M54" s="319"/>
      <c r="N54" s="319"/>
      <c r="O54" s="319"/>
      <c r="P54" s="319"/>
      <c r="Q54" s="14"/>
      <c r="R54" s="15">
        <v>0</v>
      </c>
      <c r="S54" s="16"/>
      <c r="T54" s="16"/>
      <c r="U54" s="17"/>
      <c r="V54" s="17"/>
      <c r="W54" s="65"/>
      <c r="X54" s="65"/>
      <c r="Z54" s="69"/>
      <c r="AA54" s="69"/>
      <c r="AB54" s="69"/>
      <c r="AC54" s="69"/>
    </row>
    <row r="55" spans="1:29" s="66" customFormat="1">
      <c r="A55" s="67"/>
      <c r="B55" s="67"/>
      <c r="C55" s="67"/>
      <c r="D55" s="67"/>
      <c r="E55" s="67"/>
      <c r="F55" s="77"/>
      <c r="G55" s="68"/>
      <c r="H55" s="67"/>
      <c r="I55" s="67"/>
      <c r="J55" s="69"/>
      <c r="K55" s="69"/>
      <c r="L55" s="69"/>
      <c r="M55" s="69"/>
      <c r="N55" s="67"/>
      <c r="O55" s="70"/>
      <c r="P55" s="69"/>
      <c r="Q55" s="14">
        <v>0</v>
      </c>
      <c r="R55" s="15">
        <v>0</v>
      </c>
      <c r="S55" s="16"/>
      <c r="T55" s="16"/>
      <c r="U55" s="17"/>
      <c r="V55" s="17"/>
      <c r="W55" s="65"/>
      <c r="X55" s="65"/>
      <c r="Z55" s="69"/>
      <c r="AA55" s="69"/>
      <c r="AB55" s="69"/>
      <c r="AC55" s="69"/>
    </row>
    <row r="56" spans="1:29" s="66" customFormat="1">
      <c r="A56" s="67"/>
      <c r="B56" s="67"/>
      <c r="C56" s="67"/>
      <c r="D56" s="67"/>
      <c r="E56" s="67"/>
      <c r="F56" s="69"/>
      <c r="G56" s="68"/>
      <c r="H56" s="67"/>
      <c r="I56" s="67"/>
      <c r="J56" s="69"/>
      <c r="K56" s="69"/>
      <c r="L56" s="69"/>
      <c r="M56" s="71"/>
      <c r="N56" s="72"/>
      <c r="O56" s="70"/>
      <c r="P56" s="69"/>
      <c r="Q56" s="14">
        <v>0</v>
      </c>
      <c r="R56" s="15"/>
      <c r="S56" s="16"/>
      <c r="T56" s="16"/>
      <c r="U56" s="17"/>
      <c r="V56" s="17"/>
      <c r="W56" s="65"/>
      <c r="X56" s="65"/>
      <c r="Z56" s="69"/>
      <c r="AA56" s="69"/>
      <c r="AB56" s="69"/>
      <c r="AC56" s="69"/>
    </row>
    <row r="57" spans="1:29" s="66" customFormat="1">
      <c r="A57" s="67"/>
      <c r="B57" s="67"/>
      <c r="C57" s="67"/>
      <c r="D57" s="67"/>
      <c r="E57" s="67"/>
      <c r="F57" s="67"/>
      <c r="G57" s="68"/>
      <c r="H57" s="67"/>
      <c r="I57" s="69"/>
      <c r="J57" s="73"/>
      <c r="K57" s="73"/>
      <c r="L57" s="73"/>
      <c r="M57" s="69"/>
      <c r="N57" s="67"/>
      <c r="O57" s="70"/>
      <c r="P57" s="69"/>
      <c r="Q57" s="14"/>
      <c r="R57" s="15"/>
      <c r="S57" s="16"/>
      <c r="T57" s="16"/>
      <c r="U57" s="17"/>
      <c r="V57" s="17"/>
      <c r="W57" s="65"/>
      <c r="X57" s="65"/>
      <c r="Z57" s="69"/>
      <c r="AA57" s="69"/>
      <c r="AB57" s="69"/>
      <c r="AC57" s="69"/>
    </row>
    <row r="58" spans="1:29" s="66" customFormat="1">
      <c r="A58" s="67"/>
      <c r="B58" s="67"/>
      <c r="C58" s="67"/>
      <c r="D58" s="67"/>
      <c r="E58" s="67"/>
      <c r="F58" s="67"/>
      <c r="G58" s="68"/>
      <c r="H58" s="67"/>
      <c r="I58" s="67"/>
      <c r="J58" s="69"/>
      <c r="K58" s="69"/>
      <c r="L58" s="69"/>
      <c r="M58" s="69"/>
      <c r="N58" s="67"/>
      <c r="O58" s="70"/>
      <c r="P58" s="69"/>
      <c r="Q58" s="14"/>
      <c r="R58" s="15"/>
      <c r="S58" s="16"/>
      <c r="T58" s="16"/>
      <c r="U58" s="17"/>
      <c r="V58" s="17"/>
      <c r="W58" s="65"/>
      <c r="X58" s="65"/>
      <c r="Z58" s="69"/>
      <c r="AA58" s="69"/>
      <c r="AB58" s="69"/>
      <c r="AC58" s="69"/>
    </row>
    <row r="59" spans="1:29" s="66" customFormat="1">
      <c r="A59" s="67"/>
      <c r="B59" s="67"/>
      <c r="C59" s="67"/>
      <c r="D59" s="67"/>
      <c r="E59" s="67"/>
      <c r="F59" s="67"/>
      <c r="G59" s="68"/>
      <c r="H59" s="67"/>
      <c r="I59" s="67"/>
      <c r="J59" s="69"/>
      <c r="K59" s="69"/>
      <c r="L59" s="69"/>
      <c r="M59" s="69"/>
      <c r="N59" s="67"/>
      <c r="O59" s="70"/>
      <c r="P59" s="69"/>
      <c r="Q59" s="14"/>
      <c r="R59" s="15"/>
      <c r="S59" s="16"/>
      <c r="T59" s="16"/>
      <c r="U59" s="17"/>
      <c r="V59" s="17"/>
      <c r="W59" s="65"/>
      <c r="X59" s="65"/>
      <c r="Z59" s="69"/>
      <c r="AA59" s="69"/>
      <c r="AB59" s="69"/>
      <c r="AC59" s="69"/>
    </row>
    <row r="60" spans="1:29" s="66" customFormat="1">
      <c r="A60" s="67"/>
      <c r="B60" s="67"/>
      <c r="C60" s="67"/>
      <c r="D60" s="67"/>
      <c r="E60" s="67"/>
      <c r="F60" s="67"/>
      <c r="G60" s="68"/>
      <c r="H60" s="67"/>
      <c r="I60" s="67"/>
      <c r="J60" s="69"/>
      <c r="K60" s="69"/>
      <c r="L60" s="69"/>
      <c r="M60" s="69"/>
      <c r="N60" s="67"/>
      <c r="O60" s="70"/>
      <c r="P60" s="69"/>
      <c r="Q60" s="14"/>
      <c r="R60" s="15"/>
      <c r="S60" s="16"/>
      <c r="T60" s="16"/>
      <c r="U60" s="17"/>
      <c r="V60" s="17"/>
      <c r="W60" s="65"/>
      <c r="X60" s="65"/>
      <c r="Z60" s="69"/>
      <c r="AA60" s="69"/>
      <c r="AB60" s="69"/>
      <c r="AC60" s="69"/>
    </row>
    <row r="61" spans="1:29" s="66" customFormat="1">
      <c r="A61" s="67"/>
      <c r="B61" s="67"/>
      <c r="C61" s="67"/>
      <c r="D61" s="67"/>
      <c r="E61" s="67"/>
      <c r="F61" s="67"/>
      <c r="G61" s="68"/>
      <c r="H61" s="67"/>
      <c r="I61" s="67"/>
      <c r="J61" s="69"/>
      <c r="K61" s="69"/>
      <c r="L61" s="69"/>
      <c r="M61" s="69"/>
      <c r="N61" s="67"/>
      <c r="O61" s="70"/>
      <c r="P61" s="69"/>
      <c r="Q61" s="14"/>
      <c r="R61" s="15"/>
      <c r="S61" s="16"/>
      <c r="T61" s="16"/>
      <c r="U61" s="17"/>
      <c r="V61" s="17"/>
      <c r="W61" s="65"/>
      <c r="X61" s="65"/>
      <c r="Z61" s="69"/>
      <c r="AA61" s="69"/>
      <c r="AB61" s="69"/>
      <c r="AC61" s="69"/>
    </row>
    <row r="62" spans="1:29" s="66" customFormat="1">
      <c r="A62" s="67"/>
      <c r="B62" s="67"/>
      <c r="C62" s="67"/>
      <c r="D62" s="67"/>
      <c r="E62" s="67"/>
      <c r="F62" s="67"/>
      <c r="G62" s="68"/>
      <c r="H62" s="67"/>
      <c r="I62" s="67"/>
      <c r="J62" s="69"/>
      <c r="K62" s="69"/>
      <c r="L62" s="69"/>
      <c r="M62" s="69"/>
      <c r="N62" s="67"/>
      <c r="O62" s="70"/>
      <c r="P62" s="69"/>
      <c r="Q62" s="14"/>
      <c r="R62" s="15"/>
      <c r="S62" s="16"/>
      <c r="T62" s="16"/>
      <c r="U62" s="17"/>
      <c r="V62" s="17"/>
      <c r="W62" s="65"/>
      <c r="X62" s="65"/>
      <c r="Z62" s="69"/>
      <c r="AA62" s="69"/>
      <c r="AB62" s="69"/>
      <c r="AC62" s="69"/>
    </row>
    <row r="63" spans="1:29" s="66" customFormat="1">
      <c r="A63" s="67"/>
      <c r="B63" s="67"/>
      <c r="C63" s="67"/>
      <c r="D63" s="67"/>
      <c r="E63" s="67"/>
      <c r="F63" s="67"/>
      <c r="G63" s="68"/>
      <c r="H63" s="67"/>
      <c r="I63" s="67"/>
      <c r="J63" s="69"/>
      <c r="K63" s="69"/>
      <c r="L63" s="69"/>
      <c r="M63" s="69"/>
      <c r="N63" s="67"/>
      <c r="O63" s="70"/>
      <c r="P63" s="69"/>
      <c r="Q63" s="14"/>
      <c r="R63" s="15"/>
      <c r="S63" s="16"/>
      <c r="T63" s="16"/>
      <c r="U63" s="17"/>
      <c r="V63" s="17"/>
      <c r="W63" s="65"/>
      <c r="X63" s="65"/>
      <c r="Z63" s="69"/>
      <c r="AA63" s="69"/>
      <c r="AB63" s="69"/>
      <c r="AC63" s="69"/>
    </row>
    <row r="64" spans="1:29" s="66" customFormat="1">
      <c r="A64" s="67"/>
      <c r="B64" s="67"/>
      <c r="C64" s="67"/>
      <c r="D64" s="67"/>
      <c r="E64" s="67"/>
      <c r="F64" s="67"/>
      <c r="G64" s="68"/>
      <c r="H64" s="67"/>
      <c r="I64" s="67"/>
      <c r="J64" s="69"/>
      <c r="K64" s="69"/>
      <c r="L64" s="69"/>
      <c r="M64" s="69"/>
      <c r="N64" s="67"/>
      <c r="O64" s="70"/>
      <c r="P64" s="69"/>
      <c r="Q64" s="14"/>
      <c r="R64" s="15"/>
      <c r="S64" s="16"/>
      <c r="T64" s="16"/>
      <c r="U64" s="17"/>
      <c r="V64" s="17"/>
      <c r="W64" s="65"/>
      <c r="X64" s="65"/>
      <c r="Z64" s="69"/>
      <c r="AA64" s="69"/>
      <c r="AB64" s="69"/>
      <c r="AC64" s="69"/>
    </row>
    <row r="65" spans="1:29" s="66" customFormat="1">
      <c r="A65" s="67"/>
      <c r="B65" s="67"/>
      <c r="C65" s="67"/>
      <c r="D65" s="67"/>
      <c r="E65" s="67"/>
      <c r="F65" s="67"/>
      <c r="G65" s="68"/>
      <c r="H65" s="67"/>
      <c r="I65" s="67"/>
      <c r="J65" s="69"/>
      <c r="K65" s="69"/>
      <c r="L65" s="69"/>
      <c r="M65" s="69"/>
      <c r="N65" s="67"/>
      <c r="O65" s="70"/>
      <c r="P65" s="69"/>
      <c r="Q65" s="14"/>
      <c r="R65" s="15"/>
      <c r="S65" s="16"/>
      <c r="T65" s="16"/>
      <c r="U65" s="17"/>
      <c r="V65" s="17"/>
      <c r="W65" s="65"/>
      <c r="X65" s="65"/>
      <c r="Z65" s="69"/>
      <c r="AA65" s="69"/>
      <c r="AB65" s="69"/>
      <c r="AC65" s="69"/>
    </row>
    <row r="66" spans="1:29" s="66" customFormat="1">
      <c r="A66" s="67"/>
      <c r="B66" s="67"/>
      <c r="C66" s="67"/>
      <c r="D66" s="67"/>
      <c r="E66" s="67"/>
      <c r="F66" s="67"/>
      <c r="G66" s="68"/>
      <c r="H66" s="67"/>
      <c r="I66" s="67"/>
      <c r="J66" s="69"/>
      <c r="K66" s="69"/>
      <c r="L66" s="69"/>
      <c r="M66" s="69"/>
      <c r="N66" s="67"/>
      <c r="O66" s="70"/>
      <c r="P66" s="69"/>
      <c r="Q66" s="14"/>
      <c r="R66" s="15"/>
      <c r="S66" s="16"/>
      <c r="T66" s="16"/>
      <c r="U66" s="17"/>
      <c r="V66" s="17"/>
      <c r="W66" s="65"/>
      <c r="X66" s="65"/>
      <c r="Z66" s="69"/>
      <c r="AA66" s="69"/>
      <c r="AB66" s="69"/>
      <c r="AC66" s="69"/>
    </row>
    <row r="67" spans="1:29" s="66" customFormat="1">
      <c r="A67" s="67"/>
      <c r="B67" s="67"/>
      <c r="C67" s="67"/>
      <c r="D67" s="67"/>
      <c r="E67" s="67"/>
      <c r="F67" s="67"/>
      <c r="G67" s="68"/>
      <c r="H67" s="67"/>
      <c r="I67" s="67"/>
      <c r="J67" s="69"/>
      <c r="K67" s="69"/>
      <c r="L67" s="69"/>
      <c r="M67" s="69"/>
      <c r="N67" s="67"/>
      <c r="O67" s="70"/>
      <c r="P67" s="69"/>
      <c r="Q67" s="14"/>
      <c r="R67" s="15"/>
      <c r="S67" s="16"/>
      <c r="T67" s="16"/>
      <c r="U67" s="17"/>
      <c r="V67" s="17"/>
      <c r="W67" s="65"/>
      <c r="X67" s="65"/>
      <c r="Z67" s="69"/>
      <c r="AA67" s="69"/>
      <c r="AB67" s="69"/>
      <c r="AC67" s="69"/>
    </row>
    <row r="68" spans="1:29" s="66" customFormat="1">
      <c r="A68" s="67"/>
      <c r="B68" s="67"/>
      <c r="C68" s="67"/>
      <c r="D68" s="67"/>
      <c r="E68" s="67"/>
      <c r="F68" s="67"/>
      <c r="G68" s="68"/>
      <c r="H68" s="67"/>
      <c r="I68" s="67"/>
      <c r="J68" s="69"/>
      <c r="K68" s="69"/>
      <c r="L68" s="69"/>
      <c r="M68" s="69"/>
      <c r="N68" s="67"/>
      <c r="O68" s="70"/>
      <c r="P68" s="69"/>
      <c r="Q68" s="14"/>
      <c r="R68" s="15"/>
      <c r="S68" s="16"/>
      <c r="T68" s="16"/>
      <c r="U68" s="17"/>
      <c r="V68" s="17"/>
      <c r="W68" s="65"/>
      <c r="X68" s="65"/>
      <c r="Z68" s="69"/>
      <c r="AA68" s="69"/>
      <c r="AB68" s="69"/>
      <c r="AC68" s="69"/>
    </row>
    <row r="69" spans="1:29" s="66" customFormat="1">
      <c r="A69" s="67"/>
      <c r="B69" s="67"/>
      <c r="C69" s="67"/>
      <c r="D69" s="67"/>
      <c r="E69" s="67"/>
      <c r="F69" s="67"/>
      <c r="G69" s="68"/>
      <c r="H69" s="67"/>
      <c r="I69" s="67"/>
      <c r="J69" s="69"/>
      <c r="K69" s="69"/>
      <c r="L69" s="69"/>
      <c r="M69" s="69"/>
      <c r="N69" s="67"/>
      <c r="O69" s="70"/>
      <c r="P69" s="69"/>
      <c r="Q69" s="14"/>
      <c r="R69" s="15"/>
      <c r="S69" s="16"/>
      <c r="T69" s="16"/>
      <c r="U69" s="17"/>
      <c r="V69" s="17"/>
      <c r="W69" s="65"/>
      <c r="X69" s="65"/>
      <c r="Z69" s="69"/>
      <c r="AA69" s="69"/>
      <c r="AB69" s="69"/>
      <c r="AC69" s="69"/>
    </row>
    <row r="70" spans="1:29" s="66" customFormat="1">
      <c r="A70" s="67"/>
      <c r="B70" s="67"/>
      <c r="C70" s="67"/>
      <c r="D70" s="67"/>
      <c r="E70" s="67"/>
      <c r="F70" s="67"/>
      <c r="G70" s="68"/>
      <c r="H70" s="67"/>
      <c r="I70" s="67"/>
      <c r="J70" s="69"/>
      <c r="K70" s="69"/>
      <c r="L70" s="69"/>
      <c r="M70" s="69"/>
      <c r="N70" s="67"/>
      <c r="O70" s="70"/>
      <c r="P70" s="69"/>
      <c r="Q70" s="14"/>
      <c r="R70" s="15"/>
      <c r="S70" s="16"/>
      <c r="T70" s="16"/>
      <c r="U70" s="17"/>
      <c r="V70" s="17"/>
      <c r="W70" s="65"/>
      <c r="X70" s="65"/>
      <c r="Z70" s="69"/>
      <c r="AA70" s="69"/>
      <c r="AB70" s="69"/>
      <c r="AC70" s="69"/>
    </row>
    <row r="71" spans="1:29" s="66" customFormat="1">
      <c r="A71" s="67"/>
      <c r="B71" s="67"/>
      <c r="C71" s="67"/>
      <c r="D71" s="67"/>
      <c r="E71" s="67"/>
      <c r="F71" s="67"/>
      <c r="G71" s="68"/>
      <c r="H71" s="67"/>
      <c r="I71" s="67"/>
      <c r="J71" s="69"/>
      <c r="K71" s="69"/>
      <c r="L71" s="69"/>
      <c r="M71" s="69"/>
      <c r="N71" s="67"/>
      <c r="O71" s="70"/>
      <c r="P71" s="69"/>
      <c r="Q71" s="14"/>
      <c r="R71" s="15"/>
      <c r="S71" s="16"/>
      <c r="T71" s="16"/>
      <c r="U71" s="17"/>
      <c r="V71" s="17"/>
      <c r="W71" s="65"/>
      <c r="X71" s="65"/>
      <c r="Z71" s="69"/>
      <c r="AA71" s="69"/>
      <c r="AB71" s="69"/>
      <c r="AC71" s="69"/>
    </row>
    <row r="72" spans="1:29" s="66" customFormat="1">
      <c r="A72" s="67"/>
      <c r="B72" s="67"/>
      <c r="C72" s="67"/>
      <c r="D72" s="67"/>
      <c r="E72" s="67"/>
      <c r="F72" s="67"/>
      <c r="G72" s="68"/>
      <c r="H72" s="67"/>
      <c r="I72" s="67"/>
      <c r="J72" s="69"/>
      <c r="K72" s="69"/>
      <c r="L72" s="69"/>
      <c r="M72" s="69"/>
      <c r="N72" s="67"/>
      <c r="O72" s="70"/>
      <c r="P72" s="69"/>
      <c r="Q72" s="14"/>
      <c r="R72" s="15"/>
      <c r="S72" s="16"/>
      <c r="T72" s="16"/>
      <c r="U72" s="17"/>
      <c r="V72" s="17"/>
      <c r="W72" s="65"/>
      <c r="X72" s="65"/>
      <c r="Z72" s="69"/>
      <c r="AA72" s="69"/>
      <c r="AB72" s="69"/>
      <c r="AC72" s="69"/>
    </row>
    <row r="73" spans="1:29" s="66" customFormat="1">
      <c r="A73" s="67"/>
      <c r="B73" s="67"/>
      <c r="C73" s="67"/>
      <c r="D73" s="67"/>
      <c r="E73" s="67"/>
      <c r="F73" s="67"/>
      <c r="G73" s="68"/>
      <c r="H73" s="67"/>
      <c r="I73" s="67"/>
      <c r="J73" s="69"/>
      <c r="K73" s="69"/>
      <c r="L73" s="69"/>
      <c r="M73" s="69"/>
      <c r="N73" s="67"/>
      <c r="O73" s="70"/>
      <c r="P73" s="69"/>
      <c r="Q73" s="14"/>
      <c r="R73" s="15"/>
      <c r="S73" s="16"/>
      <c r="T73" s="16"/>
      <c r="U73" s="17"/>
      <c r="V73" s="17"/>
      <c r="W73" s="65"/>
      <c r="X73" s="65"/>
      <c r="Z73" s="69"/>
      <c r="AA73" s="69"/>
      <c r="AB73" s="69"/>
      <c r="AC73" s="69"/>
    </row>
    <row r="74" spans="1:29" s="66" customFormat="1">
      <c r="A74" s="67"/>
      <c r="B74" s="67"/>
      <c r="C74" s="67"/>
      <c r="D74" s="67"/>
      <c r="E74" s="67"/>
      <c r="F74" s="67"/>
      <c r="G74" s="68"/>
      <c r="H74" s="67"/>
      <c r="I74" s="67"/>
      <c r="J74" s="69"/>
      <c r="K74" s="69"/>
      <c r="L74" s="69"/>
      <c r="M74" s="69"/>
      <c r="N74" s="67"/>
      <c r="O74" s="70"/>
      <c r="P74" s="69"/>
      <c r="Q74" s="14"/>
      <c r="R74" s="15"/>
      <c r="S74" s="16"/>
      <c r="T74" s="16"/>
      <c r="U74" s="17"/>
      <c r="V74" s="17"/>
      <c r="W74" s="65"/>
      <c r="X74" s="65"/>
      <c r="Z74" s="69"/>
      <c r="AA74" s="69"/>
      <c r="AB74" s="69"/>
      <c r="AC74" s="69"/>
    </row>
    <row r="75" spans="1:29" s="66" customFormat="1">
      <c r="A75" s="67"/>
      <c r="B75" s="67"/>
      <c r="C75" s="67"/>
      <c r="D75" s="67"/>
      <c r="E75" s="67"/>
      <c r="F75" s="67"/>
      <c r="G75" s="68"/>
      <c r="H75" s="67"/>
      <c r="I75" s="67"/>
      <c r="J75" s="69"/>
      <c r="K75" s="69"/>
      <c r="L75" s="69"/>
      <c r="M75" s="69"/>
      <c r="N75" s="67"/>
      <c r="O75" s="70"/>
      <c r="P75" s="69"/>
      <c r="Q75" s="14"/>
      <c r="R75" s="15"/>
      <c r="S75" s="16"/>
      <c r="T75" s="16"/>
      <c r="U75" s="17"/>
      <c r="V75" s="17"/>
      <c r="W75" s="65"/>
      <c r="X75" s="65"/>
      <c r="Z75" s="69"/>
      <c r="AA75" s="69"/>
      <c r="AB75" s="69"/>
      <c r="AC75" s="69"/>
    </row>
    <row r="76" spans="1:29" s="66" customFormat="1">
      <c r="A76" s="67"/>
      <c r="B76" s="67"/>
      <c r="C76" s="67"/>
      <c r="D76" s="67"/>
      <c r="E76" s="67"/>
      <c r="F76" s="67"/>
      <c r="G76" s="68"/>
      <c r="H76" s="67"/>
      <c r="I76" s="67"/>
      <c r="J76" s="69"/>
      <c r="K76" s="69"/>
      <c r="L76" s="69"/>
      <c r="M76" s="69"/>
      <c r="N76" s="67"/>
      <c r="O76" s="70"/>
      <c r="P76" s="69"/>
      <c r="Q76" s="14"/>
      <c r="R76" s="15"/>
      <c r="S76" s="16"/>
      <c r="T76" s="16"/>
      <c r="U76" s="17"/>
      <c r="V76" s="17"/>
      <c r="W76" s="65"/>
      <c r="X76" s="65"/>
      <c r="Z76" s="69"/>
      <c r="AA76" s="69"/>
      <c r="AB76" s="69"/>
      <c r="AC76" s="69"/>
    </row>
    <row r="77" spans="1:29" s="66" customFormat="1">
      <c r="A77" s="67"/>
      <c r="B77" s="67"/>
      <c r="C77" s="67"/>
      <c r="D77" s="67"/>
      <c r="E77" s="67"/>
      <c r="F77" s="67"/>
      <c r="G77" s="68"/>
      <c r="H77" s="67"/>
      <c r="I77" s="67"/>
      <c r="J77" s="69"/>
      <c r="K77" s="69"/>
      <c r="L77" s="69"/>
      <c r="M77" s="69"/>
      <c r="N77" s="67"/>
      <c r="O77" s="70"/>
      <c r="P77" s="69"/>
      <c r="Q77" s="14"/>
      <c r="R77" s="15"/>
      <c r="S77" s="16"/>
      <c r="T77" s="16"/>
      <c r="U77" s="17"/>
      <c r="V77" s="17"/>
      <c r="W77" s="65"/>
      <c r="X77" s="65"/>
      <c r="Z77" s="69"/>
      <c r="AA77" s="69"/>
      <c r="AB77" s="69"/>
      <c r="AC77" s="69"/>
    </row>
    <row r="78" spans="1:29" s="66" customFormat="1">
      <c r="A78" s="67"/>
      <c r="B78" s="67"/>
      <c r="C78" s="67"/>
      <c r="D78" s="67"/>
      <c r="E78" s="67"/>
      <c r="F78" s="67"/>
      <c r="G78" s="68"/>
      <c r="H78" s="67"/>
      <c r="I78" s="67"/>
      <c r="J78" s="69"/>
      <c r="K78" s="69"/>
      <c r="L78" s="69"/>
      <c r="M78" s="69"/>
      <c r="N78" s="67"/>
      <c r="O78" s="70"/>
      <c r="P78" s="69"/>
      <c r="Q78" s="14"/>
      <c r="R78" s="15"/>
      <c r="S78" s="16"/>
      <c r="T78" s="16"/>
      <c r="U78" s="17"/>
      <c r="V78" s="17"/>
      <c r="W78" s="65"/>
      <c r="X78" s="65"/>
      <c r="Z78" s="69"/>
      <c r="AA78" s="69"/>
      <c r="AB78" s="69"/>
      <c r="AC78" s="69"/>
    </row>
    <row r="79" spans="1:29" s="66" customFormat="1">
      <c r="A79" s="67"/>
      <c r="B79" s="67"/>
      <c r="C79" s="67"/>
      <c r="D79" s="67"/>
      <c r="E79" s="67"/>
      <c r="F79" s="67"/>
      <c r="G79" s="68"/>
      <c r="H79" s="67"/>
      <c r="I79" s="67"/>
      <c r="J79" s="69"/>
      <c r="K79" s="69"/>
      <c r="L79" s="69"/>
      <c r="M79" s="69"/>
      <c r="N79" s="67"/>
      <c r="O79" s="70"/>
      <c r="P79" s="69"/>
      <c r="Q79" s="14"/>
      <c r="R79" s="15"/>
      <c r="S79" s="16"/>
      <c r="T79" s="16"/>
      <c r="U79" s="17"/>
      <c r="V79" s="17"/>
      <c r="W79" s="65"/>
      <c r="X79" s="65"/>
      <c r="Z79" s="69"/>
      <c r="AA79" s="69"/>
      <c r="AB79" s="69"/>
      <c r="AC79" s="69"/>
    </row>
    <row r="80" spans="1:29" s="66" customFormat="1">
      <c r="A80" s="67"/>
      <c r="B80" s="67"/>
      <c r="C80" s="67"/>
      <c r="D80" s="67"/>
      <c r="E80" s="67"/>
      <c r="F80" s="67"/>
      <c r="G80" s="68"/>
      <c r="H80" s="67"/>
      <c r="I80" s="67"/>
      <c r="J80" s="69"/>
      <c r="K80" s="69"/>
      <c r="L80" s="69"/>
      <c r="M80" s="69"/>
      <c r="N80" s="67"/>
      <c r="O80" s="70"/>
      <c r="P80" s="69"/>
      <c r="Q80" s="14"/>
      <c r="R80" s="15"/>
      <c r="S80" s="16"/>
      <c r="T80" s="16"/>
      <c r="U80" s="17"/>
      <c r="V80" s="17"/>
      <c r="W80" s="65"/>
      <c r="X80" s="65"/>
      <c r="Z80" s="69"/>
      <c r="AA80" s="69"/>
      <c r="AB80" s="69"/>
      <c r="AC80" s="69"/>
    </row>
    <row r="81" spans="1:29" s="66" customFormat="1">
      <c r="A81" s="67"/>
      <c r="B81" s="67"/>
      <c r="C81" s="67"/>
      <c r="D81" s="67"/>
      <c r="E81" s="67"/>
      <c r="F81" s="67"/>
      <c r="G81" s="68"/>
      <c r="H81" s="67"/>
      <c r="I81" s="67"/>
      <c r="J81" s="69"/>
      <c r="K81" s="69"/>
      <c r="L81" s="69"/>
      <c r="M81" s="69"/>
      <c r="N81" s="67"/>
      <c r="O81" s="70"/>
      <c r="P81" s="69"/>
      <c r="Q81" s="14"/>
      <c r="R81" s="15"/>
      <c r="S81" s="16"/>
      <c r="T81" s="16"/>
      <c r="U81" s="17"/>
      <c r="V81" s="17"/>
      <c r="W81" s="65"/>
      <c r="X81" s="65"/>
      <c r="Z81" s="69"/>
      <c r="AA81" s="69"/>
      <c r="AB81" s="69"/>
      <c r="AC81" s="69"/>
    </row>
    <row r="82" spans="1:29" s="66" customFormat="1">
      <c r="A82" s="67"/>
      <c r="B82" s="67"/>
      <c r="C82" s="67"/>
      <c r="D82" s="67"/>
      <c r="E82" s="67"/>
      <c r="F82" s="67"/>
      <c r="G82" s="68"/>
      <c r="H82" s="67"/>
      <c r="I82" s="67"/>
      <c r="J82" s="69"/>
      <c r="K82" s="69"/>
      <c r="L82" s="69"/>
      <c r="M82" s="69"/>
      <c r="N82" s="67"/>
      <c r="O82" s="70"/>
      <c r="P82" s="69"/>
      <c r="Q82" s="14"/>
      <c r="R82" s="15"/>
      <c r="S82" s="16"/>
      <c r="T82" s="16"/>
      <c r="U82" s="17"/>
      <c r="V82" s="17"/>
      <c r="W82" s="65"/>
      <c r="X82" s="65"/>
      <c r="Z82" s="69"/>
      <c r="AA82" s="69"/>
      <c r="AB82" s="69"/>
      <c r="AC82" s="69"/>
    </row>
    <row r="83" spans="1:29" s="66" customFormat="1">
      <c r="A83" s="67"/>
      <c r="B83" s="67"/>
      <c r="C83" s="67"/>
      <c r="D83" s="67"/>
      <c r="E83" s="67"/>
      <c r="F83" s="67"/>
      <c r="G83" s="68"/>
      <c r="H83" s="67"/>
      <c r="I83" s="67"/>
      <c r="J83" s="69"/>
      <c r="K83" s="69"/>
      <c r="L83" s="69"/>
      <c r="M83" s="69"/>
      <c r="N83" s="67"/>
      <c r="O83" s="70"/>
      <c r="P83" s="69"/>
      <c r="Q83" s="14"/>
      <c r="R83" s="15"/>
      <c r="S83" s="16"/>
      <c r="T83" s="16"/>
      <c r="U83" s="17"/>
      <c r="V83" s="17"/>
      <c r="W83" s="65"/>
      <c r="X83" s="65"/>
      <c r="Z83" s="69"/>
      <c r="AA83" s="69"/>
      <c r="AB83" s="69"/>
      <c r="AC83" s="69"/>
    </row>
    <row r="84" spans="1:29" s="66" customFormat="1">
      <c r="A84" s="67"/>
      <c r="B84" s="67"/>
      <c r="C84" s="67"/>
      <c r="D84" s="67"/>
      <c r="E84" s="67"/>
      <c r="F84" s="67"/>
      <c r="G84" s="68"/>
      <c r="H84" s="67"/>
      <c r="I84" s="67"/>
      <c r="J84" s="69"/>
      <c r="K84" s="69"/>
      <c r="L84" s="69"/>
      <c r="M84" s="69"/>
      <c r="N84" s="67"/>
      <c r="O84" s="70"/>
      <c r="P84" s="69"/>
      <c r="Q84" s="14"/>
      <c r="R84" s="15"/>
      <c r="S84" s="16"/>
      <c r="T84" s="16"/>
      <c r="U84" s="17"/>
      <c r="V84" s="17"/>
      <c r="W84" s="65"/>
      <c r="X84" s="65"/>
      <c r="Z84" s="69"/>
      <c r="AA84" s="69"/>
      <c r="AB84" s="69"/>
      <c r="AC84" s="69"/>
    </row>
    <row r="85" spans="1:29" s="66" customFormat="1">
      <c r="A85" s="67"/>
      <c r="B85" s="67"/>
      <c r="C85" s="67"/>
      <c r="D85" s="67"/>
      <c r="E85" s="67"/>
      <c r="F85" s="67"/>
      <c r="G85" s="68"/>
      <c r="H85" s="67"/>
      <c r="I85" s="67"/>
      <c r="J85" s="69"/>
      <c r="K85" s="69"/>
      <c r="L85" s="69"/>
      <c r="M85" s="69"/>
      <c r="N85" s="67"/>
      <c r="O85" s="70"/>
      <c r="P85" s="69"/>
      <c r="Q85" s="14"/>
      <c r="R85" s="15"/>
      <c r="S85" s="16"/>
      <c r="T85" s="16"/>
      <c r="U85" s="17"/>
      <c r="V85" s="17"/>
      <c r="W85" s="65"/>
      <c r="X85" s="65"/>
      <c r="Z85" s="69"/>
      <c r="AA85" s="69"/>
      <c r="AB85" s="69"/>
      <c r="AC85" s="69"/>
    </row>
    <row r="86" spans="1:29" s="66" customFormat="1">
      <c r="A86" s="67"/>
      <c r="B86" s="67"/>
      <c r="C86" s="67"/>
      <c r="D86" s="67"/>
      <c r="E86" s="67"/>
      <c r="F86" s="67"/>
      <c r="G86" s="68"/>
      <c r="H86" s="67"/>
      <c r="I86" s="67"/>
      <c r="J86" s="69"/>
      <c r="K86" s="69"/>
      <c r="L86" s="69"/>
      <c r="M86" s="69"/>
      <c r="N86" s="67"/>
      <c r="O86" s="70"/>
      <c r="P86" s="69"/>
      <c r="Q86" s="14"/>
      <c r="R86" s="15"/>
      <c r="S86" s="16"/>
      <c r="T86" s="16"/>
      <c r="U86" s="17"/>
      <c r="V86" s="17"/>
      <c r="W86" s="65"/>
      <c r="X86" s="65"/>
      <c r="Z86" s="69"/>
      <c r="AA86" s="69"/>
      <c r="AB86" s="69"/>
      <c r="AC86" s="69"/>
    </row>
    <row r="87" spans="1:29" s="66" customFormat="1">
      <c r="A87" s="67"/>
      <c r="B87" s="67"/>
      <c r="C87" s="67"/>
      <c r="D87" s="67"/>
      <c r="E87" s="67"/>
      <c r="F87" s="67"/>
      <c r="G87" s="68"/>
      <c r="H87" s="67"/>
      <c r="I87" s="67"/>
      <c r="J87" s="69"/>
      <c r="K87" s="69"/>
      <c r="L87" s="69"/>
      <c r="M87" s="69"/>
      <c r="N87" s="67"/>
      <c r="O87" s="70"/>
      <c r="P87" s="69"/>
      <c r="Q87" s="14"/>
      <c r="R87" s="15"/>
      <c r="S87" s="16"/>
      <c r="T87" s="16"/>
      <c r="U87" s="17"/>
      <c r="V87" s="17"/>
      <c r="W87" s="65"/>
      <c r="X87" s="65"/>
      <c r="Z87" s="69"/>
      <c r="AA87" s="69"/>
      <c r="AB87" s="69"/>
      <c r="AC87" s="69"/>
    </row>
    <row r="88" spans="1:29" s="66" customFormat="1">
      <c r="A88" s="67"/>
      <c r="B88" s="67"/>
      <c r="C88" s="67"/>
      <c r="D88" s="67"/>
      <c r="E88" s="67"/>
      <c r="F88" s="67"/>
      <c r="G88" s="68"/>
      <c r="H88" s="67"/>
      <c r="I88" s="67"/>
      <c r="J88" s="69"/>
      <c r="K88" s="69"/>
      <c r="L88" s="69"/>
      <c r="M88" s="69"/>
      <c r="N88" s="67"/>
      <c r="O88" s="70"/>
      <c r="P88" s="69"/>
      <c r="Q88" s="14"/>
      <c r="R88" s="15"/>
      <c r="S88" s="16"/>
      <c r="T88" s="16"/>
      <c r="U88" s="17"/>
      <c r="V88" s="17"/>
      <c r="W88" s="65"/>
      <c r="X88" s="65"/>
      <c r="Z88" s="69"/>
      <c r="AA88" s="69"/>
      <c r="AB88" s="69"/>
      <c r="AC88" s="69"/>
    </row>
    <row r="89" spans="1:29" s="66" customFormat="1">
      <c r="A89" s="67"/>
      <c r="B89" s="67"/>
      <c r="C89" s="67"/>
      <c r="D89" s="67"/>
      <c r="E89" s="67"/>
      <c r="F89" s="67"/>
      <c r="G89" s="68"/>
      <c r="H89" s="67"/>
      <c r="I89" s="67"/>
      <c r="J89" s="69"/>
      <c r="K89" s="69"/>
      <c r="L89" s="69"/>
      <c r="M89" s="69"/>
      <c r="N89" s="67"/>
      <c r="O89" s="70"/>
      <c r="P89" s="69"/>
      <c r="Q89" s="14"/>
      <c r="R89" s="15"/>
      <c r="S89" s="16"/>
      <c r="T89" s="16"/>
      <c r="U89" s="17"/>
      <c r="V89" s="17"/>
      <c r="W89" s="65"/>
      <c r="X89" s="65"/>
      <c r="Z89" s="69"/>
      <c r="AA89" s="69"/>
      <c r="AB89" s="69"/>
      <c r="AC89" s="69"/>
    </row>
    <row r="90" spans="1:29" s="66" customFormat="1">
      <c r="A90" s="67"/>
      <c r="B90" s="67"/>
      <c r="C90" s="67"/>
      <c r="D90" s="67"/>
      <c r="E90" s="67"/>
      <c r="F90" s="67"/>
      <c r="G90" s="68"/>
      <c r="H90" s="67"/>
      <c r="I90" s="67"/>
      <c r="J90" s="69"/>
      <c r="K90" s="69"/>
      <c r="L90" s="69"/>
      <c r="M90" s="69"/>
      <c r="N90" s="67"/>
      <c r="O90" s="70"/>
      <c r="P90" s="69"/>
      <c r="Q90" s="14"/>
      <c r="R90" s="15"/>
      <c r="S90" s="16"/>
      <c r="T90" s="16"/>
      <c r="U90" s="17"/>
      <c r="V90" s="17"/>
      <c r="W90" s="65"/>
      <c r="X90" s="65"/>
      <c r="Z90" s="69"/>
      <c r="AA90" s="69"/>
      <c r="AB90" s="69"/>
      <c r="AC90" s="69"/>
    </row>
    <row r="91" spans="1:29" s="66" customFormat="1">
      <c r="A91" s="67"/>
      <c r="B91" s="67"/>
      <c r="C91" s="67"/>
      <c r="D91" s="67"/>
      <c r="E91" s="67"/>
      <c r="F91" s="67"/>
      <c r="G91" s="68"/>
      <c r="H91" s="67"/>
      <c r="I91" s="67"/>
      <c r="J91" s="69"/>
      <c r="K91" s="69"/>
      <c r="L91" s="69"/>
      <c r="M91" s="69"/>
      <c r="N91" s="67"/>
      <c r="O91" s="70"/>
      <c r="P91" s="69"/>
      <c r="Q91" s="14"/>
      <c r="R91" s="15"/>
      <c r="S91" s="16"/>
      <c r="T91" s="16"/>
      <c r="U91" s="17"/>
      <c r="V91" s="17"/>
      <c r="W91" s="65"/>
      <c r="X91" s="65"/>
      <c r="Z91" s="69"/>
      <c r="AA91" s="69"/>
      <c r="AB91" s="69"/>
      <c r="AC91" s="69"/>
    </row>
    <row r="92" spans="1:29" s="66" customFormat="1">
      <c r="A92" s="67"/>
      <c r="B92" s="67"/>
      <c r="C92" s="67"/>
      <c r="D92" s="67"/>
      <c r="E92" s="67"/>
      <c r="F92" s="67"/>
      <c r="G92" s="68"/>
      <c r="H92" s="67"/>
      <c r="I92" s="67"/>
      <c r="J92" s="69"/>
      <c r="K92" s="69"/>
      <c r="L92" s="69"/>
      <c r="M92" s="69"/>
      <c r="N92" s="67"/>
      <c r="O92" s="70"/>
      <c r="P92" s="69"/>
      <c r="Q92" s="14"/>
      <c r="R92" s="15"/>
      <c r="S92" s="16"/>
      <c r="T92" s="16"/>
      <c r="U92" s="17"/>
      <c r="V92" s="17"/>
      <c r="W92" s="65"/>
      <c r="X92" s="65"/>
      <c r="Z92" s="69"/>
      <c r="AA92" s="69"/>
      <c r="AB92" s="69"/>
      <c r="AC92" s="69"/>
    </row>
    <row r="93" spans="1:29" s="66" customFormat="1">
      <c r="A93" s="67"/>
      <c r="B93" s="67"/>
      <c r="C93" s="67"/>
      <c r="D93" s="67"/>
      <c r="E93" s="67"/>
      <c r="F93" s="67"/>
      <c r="G93" s="68"/>
      <c r="H93" s="67"/>
      <c r="I93" s="67"/>
      <c r="J93" s="69"/>
      <c r="K93" s="69"/>
      <c r="L93" s="69"/>
      <c r="M93" s="69"/>
      <c r="N93" s="67"/>
      <c r="O93" s="70"/>
      <c r="P93" s="69"/>
      <c r="Q93" s="14"/>
      <c r="R93" s="15"/>
      <c r="S93" s="16"/>
      <c r="T93" s="16"/>
      <c r="U93" s="17"/>
      <c r="V93" s="17"/>
      <c r="W93" s="65"/>
      <c r="X93" s="65"/>
      <c r="Z93" s="69"/>
      <c r="AA93" s="69"/>
      <c r="AB93" s="69"/>
      <c r="AC93" s="69"/>
    </row>
    <row r="94" spans="1:29" s="66" customFormat="1">
      <c r="A94" s="67"/>
      <c r="B94" s="67"/>
      <c r="C94" s="67"/>
      <c r="D94" s="67"/>
      <c r="E94" s="67"/>
      <c r="F94" s="67"/>
      <c r="G94" s="68"/>
      <c r="H94" s="67"/>
      <c r="I94" s="67"/>
      <c r="J94" s="69"/>
      <c r="K94" s="69"/>
      <c r="L94" s="69"/>
      <c r="M94" s="69"/>
      <c r="N94" s="67"/>
      <c r="O94" s="70"/>
      <c r="P94" s="69"/>
      <c r="Q94" s="14"/>
      <c r="R94" s="15"/>
      <c r="S94" s="16"/>
      <c r="T94" s="16"/>
      <c r="U94" s="17"/>
      <c r="V94" s="17"/>
      <c r="W94" s="65"/>
      <c r="X94" s="65"/>
      <c r="Z94" s="69"/>
      <c r="AA94" s="69"/>
      <c r="AB94" s="69"/>
      <c r="AC94" s="69"/>
    </row>
    <row r="95" spans="1:29" s="66" customFormat="1">
      <c r="A95" s="67"/>
      <c r="B95" s="67"/>
      <c r="C95" s="67"/>
      <c r="D95" s="67"/>
      <c r="E95" s="67"/>
      <c r="F95" s="67"/>
      <c r="G95" s="68"/>
      <c r="H95" s="67"/>
      <c r="I95" s="67"/>
      <c r="J95" s="69"/>
      <c r="K95" s="69"/>
      <c r="L95" s="69"/>
      <c r="M95" s="69"/>
      <c r="N95" s="67"/>
      <c r="O95" s="70"/>
      <c r="P95" s="69"/>
      <c r="Q95" s="14"/>
      <c r="R95" s="15"/>
      <c r="S95" s="16"/>
      <c r="T95" s="16"/>
      <c r="U95" s="17"/>
      <c r="V95" s="17"/>
      <c r="W95" s="65"/>
      <c r="X95" s="65"/>
      <c r="Z95" s="69"/>
      <c r="AA95" s="69"/>
      <c r="AB95" s="69"/>
      <c r="AC95" s="69"/>
    </row>
    <row r="96" spans="1:29" s="66" customFormat="1">
      <c r="A96" s="67"/>
      <c r="B96" s="67"/>
      <c r="C96" s="67"/>
      <c r="D96" s="67"/>
      <c r="E96" s="67"/>
      <c r="F96" s="67"/>
      <c r="G96" s="68"/>
      <c r="H96" s="67"/>
      <c r="I96" s="67"/>
      <c r="J96" s="69"/>
      <c r="K96" s="69"/>
      <c r="L96" s="69"/>
      <c r="M96" s="69"/>
      <c r="N96" s="67"/>
      <c r="O96" s="70"/>
      <c r="P96" s="69"/>
      <c r="Q96" s="14"/>
      <c r="R96" s="15"/>
      <c r="S96" s="16"/>
      <c r="T96" s="16"/>
      <c r="U96" s="17"/>
      <c r="V96" s="17"/>
      <c r="W96" s="65"/>
      <c r="X96" s="65"/>
      <c r="Z96" s="69"/>
      <c r="AA96" s="69"/>
      <c r="AB96" s="69"/>
      <c r="AC96" s="69"/>
    </row>
    <row r="97" spans="1:29" s="66" customFormat="1">
      <c r="A97" s="67"/>
      <c r="B97" s="67"/>
      <c r="C97" s="67"/>
      <c r="D97" s="67"/>
      <c r="E97" s="67"/>
      <c r="F97" s="67"/>
      <c r="G97" s="68"/>
      <c r="H97" s="67"/>
      <c r="I97" s="67"/>
      <c r="J97" s="69"/>
      <c r="K97" s="69"/>
      <c r="L97" s="69"/>
      <c r="M97" s="69"/>
      <c r="N97" s="67"/>
      <c r="O97" s="70"/>
      <c r="P97" s="69"/>
      <c r="Q97" s="14"/>
      <c r="R97" s="15"/>
      <c r="S97" s="16"/>
      <c r="T97" s="16"/>
      <c r="U97" s="17"/>
      <c r="V97" s="17"/>
      <c r="W97" s="65"/>
      <c r="X97" s="65"/>
      <c r="Z97" s="69"/>
      <c r="AA97" s="69"/>
      <c r="AB97" s="69"/>
      <c r="AC97" s="69"/>
    </row>
    <row r="98" spans="1:29" s="66" customFormat="1">
      <c r="A98" s="67"/>
      <c r="B98" s="67"/>
      <c r="C98" s="67"/>
      <c r="D98" s="67"/>
      <c r="E98" s="67"/>
      <c r="F98" s="67"/>
      <c r="G98" s="68"/>
      <c r="H98" s="67"/>
      <c r="I98" s="67"/>
      <c r="J98" s="69"/>
      <c r="K98" s="69"/>
      <c r="L98" s="69"/>
      <c r="M98" s="69"/>
      <c r="N98" s="67"/>
      <c r="O98" s="70"/>
      <c r="P98" s="69"/>
      <c r="Q98" s="14"/>
      <c r="R98" s="15"/>
      <c r="S98" s="16"/>
      <c r="T98" s="16"/>
      <c r="U98" s="17"/>
      <c r="V98" s="17"/>
      <c r="W98" s="65"/>
      <c r="X98" s="65"/>
      <c r="Z98" s="69"/>
      <c r="AA98" s="69"/>
      <c r="AB98" s="69"/>
      <c r="AC98" s="69"/>
    </row>
    <row r="99" spans="1:29" s="66" customFormat="1">
      <c r="A99" s="67"/>
      <c r="B99" s="67"/>
      <c r="C99" s="67"/>
      <c r="D99" s="67"/>
      <c r="E99" s="67"/>
      <c r="F99" s="67"/>
      <c r="G99" s="68"/>
      <c r="H99" s="67"/>
      <c r="I99" s="67"/>
      <c r="J99" s="69"/>
      <c r="K99" s="69"/>
      <c r="L99" s="69"/>
      <c r="M99" s="69"/>
      <c r="N99" s="67"/>
      <c r="O99" s="70"/>
      <c r="P99" s="69"/>
      <c r="Q99" s="14"/>
      <c r="R99" s="15"/>
      <c r="S99" s="16"/>
      <c r="T99" s="16"/>
      <c r="U99" s="17"/>
      <c r="V99" s="17"/>
      <c r="W99" s="65"/>
      <c r="X99" s="65"/>
      <c r="Z99" s="69"/>
      <c r="AA99" s="69"/>
      <c r="AB99" s="69"/>
      <c r="AC99" s="69"/>
    </row>
    <row r="100" spans="1:29" s="66" customFormat="1">
      <c r="A100" s="67"/>
      <c r="B100" s="67"/>
      <c r="C100" s="67"/>
      <c r="D100" s="67"/>
      <c r="E100" s="67"/>
      <c r="F100" s="67"/>
      <c r="G100" s="68"/>
      <c r="H100" s="67"/>
      <c r="I100" s="67"/>
      <c r="J100" s="69"/>
      <c r="K100" s="69"/>
      <c r="L100" s="69"/>
      <c r="M100" s="69"/>
      <c r="N100" s="67"/>
      <c r="O100" s="70"/>
      <c r="P100" s="69"/>
      <c r="Q100" s="14"/>
      <c r="R100" s="15"/>
      <c r="S100" s="16"/>
      <c r="T100" s="16"/>
      <c r="U100" s="17"/>
      <c r="V100" s="17"/>
      <c r="W100" s="65"/>
      <c r="X100" s="65"/>
      <c r="Z100" s="69"/>
      <c r="AA100" s="69"/>
      <c r="AB100" s="69"/>
      <c r="AC100" s="69"/>
    </row>
    <row r="101" spans="1:29" s="66" customFormat="1">
      <c r="A101" s="67"/>
      <c r="B101" s="67"/>
      <c r="C101" s="67"/>
      <c r="D101" s="67"/>
      <c r="E101" s="67"/>
      <c r="F101" s="67"/>
      <c r="G101" s="68"/>
      <c r="H101" s="67"/>
      <c r="I101" s="67"/>
      <c r="J101" s="69"/>
      <c r="K101" s="69"/>
      <c r="L101" s="69"/>
      <c r="M101" s="69"/>
      <c r="N101" s="67"/>
      <c r="O101" s="70"/>
      <c r="P101" s="69"/>
      <c r="Q101" s="14"/>
      <c r="R101" s="15"/>
      <c r="S101" s="16"/>
      <c r="T101" s="16"/>
      <c r="U101" s="17"/>
      <c r="V101" s="17"/>
      <c r="W101" s="65"/>
      <c r="X101" s="65"/>
      <c r="Z101" s="69"/>
      <c r="AA101" s="69"/>
      <c r="AB101" s="69"/>
      <c r="AC101" s="69"/>
    </row>
    <row r="102" spans="1:29" s="66" customFormat="1">
      <c r="A102" s="67"/>
      <c r="B102" s="67"/>
      <c r="C102" s="67"/>
      <c r="D102" s="67"/>
      <c r="E102" s="67"/>
      <c r="F102" s="67"/>
      <c r="G102" s="68"/>
      <c r="H102" s="67"/>
      <c r="I102" s="67"/>
      <c r="J102" s="69"/>
      <c r="K102" s="69"/>
      <c r="L102" s="69"/>
      <c r="M102" s="69"/>
      <c r="N102" s="67"/>
      <c r="O102" s="70"/>
      <c r="P102" s="69"/>
      <c r="Q102" s="14"/>
      <c r="R102" s="15"/>
      <c r="S102" s="16"/>
      <c r="T102" s="16"/>
      <c r="U102" s="17"/>
      <c r="V102" s="17"/>
      <c r="W102" s="65"/>
      <c r="X102" s="65"/>
      <c r="Z102" s="69"/>
      <c r="AA102" s="69"/>
      <c r="AB102" s="69"/>
      <c r="AC102" s="69"/>
    </row>
    <row r="103" spans="1:29" s="66" customFormat="1">
      <c r="A103" s="67"/>
      <c r="B103" s="67"/>
      <c r="C103" s="67"/>
      <c r="D103" s="67"/>
      <c r="E103" s="67"/>
      <c r="F103" s="67"/>
      <c r="G103" s="68"/>
      <c r="H103" s="67"/>
      <c r="I103" s="67"/>
      <c r="J103" s="69"/>
      <c r="K103" s="69"/>
      <c r="L103" s="69"/>
      <c r="M103" s="69"/>
      <c r="N103" s="67"/>
      <c r="O103" s="70"/>
      <c r="P103" s="69"/>
      <c r="Q103" s="14"/>
      <c r="R103" s="15"/>
      <c r="S103" s="16"/>
      <c r="T103" s="16"/>
      <c r="U103" s="17"/>
      <c r="V103" s="17"/>
      <c r="W103" s="65"/>
      <c r="X103" s="65"/>
      <c r="Z103" s="69"/>
      <c r="AA103" s="69"/>
      <c r="AB103" s="69"/>
      <c r="AC103" s="69"/>
    </row>
    <row r="104" spans="1:29" s="66" customFormat="1">
      <c r="A104" s="67"/>
      <c r="B104" s="67"/>
      <c r="C104" s="67"/>
      <c r="D104" s="67"/>
      <c r="E104" s="67"/>
      <c r="F104" s="67"/>
      <c r="G104" s="68"/>
      <c r="H104" s="67"/>
      <c r="I104" s="67"/>
      <c r="J104" s="69"/>
      <c r="K104" s="69"/>
      <c r="L104" s="69"/>
      <c r="M104" s="69"/>
      <c r="N104" s="67"/>
      <c r="O104" s="70"/>
      <c r="P104" s="69"/>
      <c r="Q104" s="14"/>
      <c r="R104" s="15"/>
      <c r="S104" s="16"/>
      <c r="T104" s="16"/>
      <c r="U104" s="17"/>
      <c r="V104" s="17"/>
      <c r="W104" s="65"/>
      <c r="X104" s="65"/>
      <c r="Z104" s="69"/>
      <c r="AA104" s="69"/>
      <c r="AB104" s="69"/>
      <c r="AC104" s="69"/>
    </row>
    <row r="105" spans="1:29" s="66" customFormat="1">
      <c r="A105" s="67"/>
      <c r="B105" s="67"/>
      <c r="C105" s="67"/>
      <c r="D105" s="67"/>
      <c r="E105" s="67"/>
      <c r="F105" s="67"/>
      <c r="G105" s="68"/>
      <c r="H105" s="67"/>
      <c r="I105" s="67"/>
      <c r="J105" s="69"/>
      <c r="K105" s="69"/>
      <c r="L105" s="69"/>
      <c r="M105" s="69"/>
      <c r="N105" s="67"/>
      <c r="O105" s="70"/>
      <c r="P105" s="69"/>
      <c r="Q105" s="14"/>
      <c r="R105" s="15"/>
      <c r="S105" s="16"/>
      <c r="T105" s="16"/>
      <c r="U105" s="17"/>
      <c r="V105" s="17"/>
      <c r="W105" s="65"/>
      <c r="X105" s="65"/>
      <c r="Z105" s="69"/>
      <c r="AA105" s="69"/>
      <c r="AB105" s="69"/>
      <c r="AC105" s="69"/>
    </row>
    <row r="106" spans="1:29" s="66" customFormat="1">
      <c r="A106" s="67"/>
      <c r="B106" s="67"/>
      <c r="C106" s="67"/>
      <c r="D106" s="67"/>
      <c r="E106" s="67"/>
      <c r="F106" s="67"/>
      <c r="G106" s="68"/>
      <c r="H106" s="67"/>
      <c r="I106" s="67"/>
      <c r="J106" s="69"/>
      <c r="K106" s="69"/>
      <c r="L106" s="69"/>
      <c r="M106" s="69"/>
      <c r="N106" s="67"/>
      <c r="O106" s="70"/>
      <c r="P106" s="69"/>
      <c r="Q106" s="14"/>
      <c r="R106" s="15"/>
      <c r="S106" s="16"/>
      <c r="T106" s="16"/>
      <c r="U106" s="17"/>
      <c r="V106" s="17"/>
      <c r="W106" s="65"/>
      <c r="X106" s="65"/>
      <c r="Z106" s="69"/>
      <c r="AA106" s="69"/>
      <c r="AB106" s="69"/>
      <c r="AC106" s="69"/>
    </row>
    <row r="107" spans="1:29" s="66" customFormat="1">
      <c r="A107" s="67"/>
      <c r="B107" s="67"/>
      <c r="C107" s="67"/>
      <c r="D107" s="67"/>
      <c r="E107" s="67"/>
      <c r="F107" s="67"/>
      <c r="G107" s="68"/>
      <c r="H107" s="67"/>
      <c r="I107" s="67"/>
      <c r="J107" s="69"/>
      <c r="K107" s="69"/>
      <c r="L107" s="69"/>
      <c r="M107" s="69"/>
      <c r="N107" s="67"/>
      <c r="O107" s="70"/>
      <c r="P107" s="69"/>
      <c r="Q107" s="14"/>
      <c r="R107" s="15"/>
      <c r="S107" s="16"/>
      <c r="T107" s="16"/>
      <c r="U107" s="17"/>
      <c r="V107" s="17"/>
      <c r="W107" s="65"/>
      <c r="X107" s="65"/>
      <c r="Z107" s="69"/>
      <c r="AA107" s="69"/>
      <c r="AB107" s="69"/>
      <c r="AC107" s="69"/>
    </row>
    <row r="108" spans="1:29" s="66" customFormat="1">
      <c r="A108" s="67"/>
      <c r="B108" s="67"/>
      <c r="C108" s="67"/>
      <c r="D108" s="67"/>
      <c r="E108" s="67"/>
      <c r="F108" s="67"/>
      <c r="G108" s="68"/>
      <c r="H108" s="67"/>
      <c r="I108" s="67"/>
      <c r="J108" s="69"/>
      <c r="K108" s="69"/>
      <c r="L108" s="69"/>
      <c r="M108" s="69"/>
      <c r="N108" s="67"/>
      <c r="O108" s="70"/>
      <c r="P108" s="69"/>
      <c r="Q108" s="14"/>
      <c r="R108" s="15"/>
      <c r="S108" s="16"/>
      <c r="T108" s="16"/>
      <c r="U108" s="17"/>
      <c r="V108" s="17"/>
      <c r="W108" s="65"/>
      <c r="X108" s="65"/>
      <c r="Z108" s="69"/>
      <c r="AA108" s="69"/>
      <c r="AB108" s="69"/>
      <c r="AC108" s="69"/>
    </row>
    <row r="109" spans="1:29" s="66" customFormat="1">
      <c r="A109" s="67"/>
      <c r="B109" s="67"/>
      <c r="C109" s="67"/>
      <c r="D109" s="67"/>
      <c r="E109" s="67"/>
      <c r="F109" s="67"/>
      <c r="G109" s="68"/>
      <c r="H109" s="67"/>
      <c r="I109" s="67"/>
      <c r="J109" s="69"/>
      <c r="K109" s="69"/>
      <c r="L109" s="69"/>
      <c r="M109" s="69"/>
      <c r="N109" s="67"/>
      <c r="O109" s="70"/>
      <c r="P109" s="69"/>
      <c r="Q109" s="14"/>
      <c r="R109" s="15"/>
      <c r="S109" s="16"/>
      <c r="T109" s="16"/>
      <c r="U109" s="17"/>
      <c r="V109" s="17"/>
      <c r="W109" s="65"/>
      <c r="X109" s="65"/>
      <c r="Z109" s="69"/>
      <c r="AA109" s="69"/>
      <c r="AB109" s="69"/>
      <c r="AC109" s="69"/>
    </row>
    <row r="110" spans="1:29" s="66" customFormat="1">
      <c r="A110" s="67"/>
      <c r="B110" s="67"/>
      <c r="C110" s="67"/>
      <c r="D110" s="67"/>
      <c r="E110" s="67"/>
      <c r="F110" s="67"/>
      <c r="G110" s="68"/>
      <c r="H110" s="67"/>
      <c r="I110" s="67"/>
      <c r="J110" s="69"/>
      <c r="K110" s="69"/>
      <c r="L110" s="69"/>
      <c r="M110" s="69"/>
      <c r="N110" s="67"/>
      <c r="O110" s="70"/>
      <c r="P110" s="69"/>
      <c r="Q110" s="14"/>
      <c r="R110" s="15"/>
      <c r="S110" s="16"/>
      <c r="T110" s="16"/>
      <c r="U110" s="17"/>
      <c r="V110" s="17"/>
      <c r="W110" s="65"/>
      <c r="X110" s="65"/>
      <c r="Z110" s="69"/>
      <c r="AA110" s="69"/>
      <c r="AB110" s="69"/>
      <c r="AC110" s="69"/>
    </row>
    <row r="111" spans="1:29" s="66" customFormat="1">
      <c r="A111" s="67"/>
      <c r="B111" s="67"/>
      <c r="C111" s="67"/>
      <c r="D111" s="67"/>
      <c r="E111" s="67"/>
      <c r="F111" s="67"/>
      <c r="G111" s="68"/>
      <c r="H111" s="67"/>
      <c r="I111" s="67"/>
      <c r="J111" s="69"/>
      <c r="K111" s="69"/>
      <c r="L111" s="69"/>
      <c r="M111" s="69"/>
      <c r="N111" s="67"/>
      <c r="O111" s="70"/>
      <c r="P111" s="69"/>
      <c r="Q111" s="14"/>
      <c r="R111" s="15"/>
      <c r="S111" s="16"/>
      <c r="T111" s="16"/>
      <c r="U111" s="17"/>
      <c r="V111" s="17"/>
      <c r="W111" s="65"/>
      <c r="X111" s="65"/>
      <c r="Z111" s="69"/>
      <c r="AA111" s="69"/>
      <c r="AB111" s="69"/>
      <c r="AC111" s="69"/>
    </row>
    <row r="112" spans="1:29" s="66" customFormat="1">
      <c r="A112" s="67"/>
      <c r="B112" s="67"/>
      <c r="C112" s="67"/>
      <c r="D112" s="67"/>
      <c r="E112" s="67"/>
      <c r="F112" s="67"/>
      <c r="G112" s="68"/>
      <c r="H112" s="67"/>
      <c r="I112" s="67"/>
      <c r="J112" s="69"/>
      <c r="K112" s="69"/>
      <c r="L112" s="69"/>
      <c r="M112" s="69"/>
      <c r="N112" s="67"/>
      <c r="O112" s="70"/>
      <c r="P112" s="69"/>
      <c r="Q112" s="14"/>
      <c r="R112" s="15"/>
      <c r="S112" s="16"/>
      <c r="T112" s="16"/>
      <c r="U112" s="17"/>
      <c r="V112" s="17"/>
      <c r="W112" s="65"/>
      <c r="X112" s="65"/>
      <c r="Z112" s="69"/>
      <c r="AA112" s="69"/>
      <c r="AB112" s="69"/>
      <c r="AC112" s="69"/>
    </row>
    <row r="113" spans="1:29" s="66" customFormat="1">
      <c r="A113" s="67"/>
      <c r="B113" s="67"/>
      <c r="C113" s="67"/>
      <c r="D113" s="67"/>
      <c r="E113" s="67"/>
      <c r="F113" s="67"/>
      <c r="G113" s="68"/>
      <c r="H113" s="67"/>
      <c r="I113" s="67"/>
      <c r="J113" s="69"/>
      <c r="K113" s="69"/>
      <c r="L113" s="69"/>
      <c r="M113" s="69"/>
      <c r="N113" s="67"/>
      <c r="O113" s="70"/>
      <c r="P113" s="69"/>
      <c r="Q113" s="14"/>
      <c r="R113" s="15"/>
      <c r="S113" s="16"/>
      <c r="T113" s="16"/>
      <c r="U113" s="17"/>
      <c r="V113" s="17"/>
      <c r="W113" s="65"/>
      <c r="X113" s="65"/>
      <c r="Z113" s="69"/>
      <c r="AA113" s="69"/>
      <c r="AB113" s="69"/>
      <c r="AC113" s="69"/>
    </row>
    <row r="114" spans="1:29" s="66" customFormat="1">
      <c r="A114" s="67"/>
      <c r="B114" s="67"/>
      <c r="C114" s="67"/>
      <c r="D114" s="67"/>
      <c r="E114" s="67"/>
      <c r="F114" s="67"/>
      <c r="G114" s="68"/>
      <c r="H114" s="67"/>
      <c r="I114" s="67"/>
      <c r="J114" s="69"/>
      <c r="K114" s="69"/>
      <c r="L114" s="69"/>
      <c r="M114" s="69"/>
      <c r="N114" s="67"/>
      <c r="O114" s="70"/>
      <c r="P114" s="69"/>
      <c r="Q114" s="14"/>
      <c r="R114" s="15"/>
      <c r="S114" s="16"/>
      <c r="T114" s="16"/>
      <c r="U114" s="17"/>
      <c r="V114" s="17"/>
      <c r="W114" s="65"/>
      <c r="X114" s="65"/>
      <c r="Z114" s="69"/>
      <c r="AA114" s="69"/>
      <c r="AB114" s="69"/>
      <c r="AC114" s="69"/>
    </row>
    <row r="115" spans="1:29" s="66" customFormat="1">
      <c r="A115" s="67"/>
      <c r="B115" s="67"/>
      <c r="C115" s="67"/>
      <c r="D115" s="67"/>
      <c r="E115" s="67"/>
      <c r="F115" s="67"/>
      <c r="G115" s="67"/>
      <c r="H115" s="67"/>
      <c r="I115" s="67"/>
      <c r="J115" s="69"/>
      <c r="K115" s="69"/>
      <c r="L115" s="69"/>
      <c r="M115" s="69"/>
      <c r="N115" s="67"/>
      <c r="O115" s="70"/>
      <c r="P115" s="69"/>
      <c r="Q115" s="14"/>
      <c r="R115" s="15"/>
      <c r="S115" s="16"/>
      <c r="T115" s="16"/>
      <c r="U115" s="17"/>
      <c r="V115" s="17"/>
      <c r="W115" s="65"/>
      <c r="X115" s="65"/>
      <c r="Z115" s="69"/>
      <c r="AA115" s="69"/>
      <c r="AB115" s="69"/>
      <c r="AC115" s="69"/>
    </row>
    <row r="116" spans="1:29" s="66" customFormat="1">
      <c r="A116" s="67"/>
      <c r="B116" s="67"/>
      <c r="C116" s="67"/>
      <c r="D116" s="67"/>
      <c r="E116" s="67"/>
      <c r="F116" s="67"/>
      <c r="G116" s="67"/>
      <c r="H116" s="67"/>
      <c r="I116" s="67"/>
      <c r="J116" s="69"/>
      <c r="K116" s="69"/>
      <c r="L116" s="69"/>
      <c r="M116" s="69"/>
      <c r="N116" s="67"/>
      <c r="O116" s="70"/>
      <c r="P116" s="69"/>
      <c r="Q116" s="14"/>
      <c r="R116" s="15"/>
      <c r="S116" s="16"/>
      <c r="T116" s="16"/>
      <c r="U116" s="17"/>
      <c r="V116" s="17"/>
      <c r="W116" s="65"/>
      <c r="X116" s="65"/>
      <c r="Z116" s="69"/>
      <c r="AA116" s="69"/>
      <c r="AB116" s="69"/>
      <c r="AC116" s="69"/>
    </row>
    <row r="117" spans="1:29" s="66" customFormat="1">
      <c r="A117" s="67"/>
      <c r="B117" s="67"/>
      <c r="C117" s="67"/>
      <c r="D117" s="67"/>
      <c r="E117" s="67"/>
      <c r="F117" s="67"/>
      <c r="G117" s="67"/>
      <c r="H117" s="67"/>
      <c r="I117" s="67"/>
      <c r="J117" s="69"/>
      <c r="K117" s="69"/>
      <c r="L117" s="69"/>
      <c r="M117" s="69"/>
      <c r="N117" s="67"/>
      <c r="O117" s="70"/>
      <c r="P117" s="69"/>
      <c r="Q117" s="14"/>
      <c r="R117" s="15"/>
      <c r="S117" s="16"/>
      <c r="T117" s="16"/>
      <c r="U117" s="17"/>
      <c r="V117" s="17"/>
      <c r="W117" s="65"/>
      <c r="X117" s="65"/>
      <c r="Z117" s="69"/>
      <c r="AA117" s="69"/>
      <c r="AB117" s="69"/>
      <c r="AC117" s="69"/>
    </row>
    <row r="118" spans="1:29" s="66" customFormat="1">
      <c r="A118" s="67"/>
      <c r="B118" s="67"/>
      <c r="C118" s="67"/>
      <c r="D118" s="67"/>
      <c r="E118" s="67"/>
      <c r="F118" s="67"/>
      <c r="G118" s="67"/>
      <c r="H118" s="67"/>
      <c r="I118" s="67"/>
      <c r="J118" s="69"/>
      <c r="K118" s="69"/>
      <c r="L118" s="69"/>
      <c r="M118" s="69"/>
      <c r="N118" s="67"/>
      <c r="O118" s="70"/>
      <c r="P118" s="69"/>
      <c r="Q118" s="14"/>
      <c r="R118" s="15"/>
      <c r="S118" s="16"/>
      <c r="T118" s="16"/>
      <c r="U118" s="17"/>
      <c r="V118" s="17"/>
      <c r="W118" s="65"/>
      <c r="X118" s="65"/>
      <c r="Z118" s="69"/>
      <c r="AA118" s="69"/>
      <c r="AB118" s="69"/>
      <c r="AC118" s="69"/>
    </row>
    <row r="119" spans="1:29" s="66" customFormat="1">
      <c r="A119" s="67"/>
      <c r="B119" s="67"/>
      <c r="C119" s="67"/>
      <c r="D119" s="67"/>
      <c r="E119" s="67"/>
      <c r="F119" s="67"/>
      <c r="G119" s="67"/>
      <c r="H119" s="67"/>
      <c r="I119" s="67"/>
      <c r="J119" s="69"/>
      <c r="K119" s="69"/>
      <c r="L119" s="69"/>
      <c r="M119" s="69"/>
      <c r="N119" s="67"/>
      <c r="O119" s="70"/>
      <c r="P119" s="69"/>
      <c r="Q119" s="14"/>
      <c r="R119" s="15"/>
      <c r="S119" s="16"/>
      <c r="T119" s="16"/>
      <c r="U119" s="17"/>
      <c r="V119" s="17"/>
      <c r="W119" s="65"/>
      <c r="X119" s="65"/>
      <c r="Z119" s="69"/>
      <c r="AA119" s="69"/>
      <c r="AB119" s="69"/>
      <c r="AC119" s="69"/>
    </row>
    <row r="120" spans="1:29" s="66" customFormat="1">
      <c r="A120" s="67"/>
      <c r="B120" s="67"/>
      <c r="C120" s="67"/>
      <c r="D120" s="67"/>
      <c r="E120" s="67"/>
      <c r="F120" s="67"/>
      <c r="G120" s="67"/>
      <c r="H120" s="67"/>
      <c r="I120" s="67"/>
      <c r="J120" s="69"/>
      <c r="K120" s="69"/>
      <c r="L120" s="69"/>
      <c r="M120" s="69"/>
      <c r="N120" s="67"/>
      <c r="O120" s="70"/>
      <c r="P120" s="69"/>
      <c r="Q120" s="14"/>
      <c r="R120" s="15"/>
      <c r="S120" s="16"/>
      <c r="T120" s="16"/>
      <c r="U120" s="17"/>
      <c r="V120" s="17"/>
      <c r="W120" s="65"/>
      <c r="X120" s="65"/>
      <c r="Z120" s="69"/>
      <c r="AA120" s="69"/>
      <c r="AB120" s="69"/>
      <c r="AC120" s="69"/>
    </row>
    <row r="121" spans="1:29" s="66" customFormat="1">
      <c r="A121" s="67"/>
      <c r="B121" s="67"/>
      <c r="C121" s="67"/>
      <c r="D121" s="67"/>
      <c r="E121" s="67"/>
      <c r="F121" s="67"/>
      <c r="G121" s="67"/>
      <c r="H121" s="67"/>
      <c r="I121" s="67"/>
      <c r="J121" s="69"/>
      <c r="K121" s="69"/>
      <c r="L121" s="69"/>
      <c r="M121" s="69"/>
      <c r="N121" s="67"/>
      <c r="O121" s="70"/>
      <c r="P121" s="69"/>
      <c r="Q121" s="14"/>
      <c r="R121" s="15"/>
      <c r="S121" s="16"/>
      <c r="T121" s="16"/>
      <c r="U121" s="17"/>
      <c r="V121" s="17"/>
      <c r="W121" s="65"/>
      <c r="X121" s="65"/>
      <c r="Z121" s="69"/>
      <c r="AA121" s="69"/>
      <c r="AB121" s="69"/>
      <c r="AC121" s="69"/>
    </row>
    <row r="122" spans="1:29" s="66" customFormat="1">
      <c r="A122" s="67"/>
      <c r="B122" s="67"/>
      <c r="C122" s="67"/>
      <c r="D122" s="67"/>
      <c r="E122" s="67"/>
      <c r="F122" s="67"/>
      <c r="G122" s="67"/>
      <c r="H122" s="67"/>
      <c r="I122" s="67"/>
      <c r="J122" s="69"/>
      <c r="K122" s="69"/>
      <c r="L122" s="69"/>
      <c r="M122" s="69"/>
      <c r="N122" s="67"/>
      <c r="O122" s="70"/>
      <c r="P122" s="69"/>
      <c r="Q122" s="14"/>
      <c r="R122" s="15"/>
      <c r="S122" s="16"/>
      <c r="T122" s="16"/>
      <c r="U122" s="17"/>
      <c r="V122" s="17"/>
      <c r="W122" s="65"/>
      <c r="X122" s="65"/>
      <c r="Z122" s="69"/>
      <c r="AA122" s="69"/>
      <c r="AB122" s="69"/>
      <c r="AC122" s="69"/>
    </row>
    <row r="123" spans="1:29">
      <c r="B123" s="67"/>
      <c r="C123" s="67"/>
      <c r="D123" s="67"/>
      <c r="E123" s="67"/>
      <c r="F123" s="67"/>
      <c r="G123" s="67"/>
      <c r="H123" s="67"/>
      <c r="I123" s="67"/>
      <c r="J123" s="69"/>
      <c r="K123" s="69"/>
      <c r="L123" s="69"/>
      <c r="M123" s="69"/>
      <c r="N123" s="67"/>
      <c r="O123" s="70"/>
      <c r="P123" s="69"/>
    </row>
    <row r="124" spans="1:29">
      <c r="B124" s="67"/>
      <c r="C124" s="67"/>
      <c r="D124" s="67"/>
      <c r="E124" s="67"/>
      <c r="F124" s="67"/>
      <c r="G124" s="67"/>
      <c r="H124" s="67"/>
      <c r="I124" s="67"/>
      <c r="J124" s="69"/>
      <c r="K124" s="69"/>
      <c r="L124" s="69"/>
      <c r="M124" s="69"/>
      <c r="N124" s="67"/>
      <c r="O124" s="70"/>
      <c r="P124" s="69"/>
    </row>
    <row r="125" spans="1:29">
      <c r="B125" s="67"/>
      <c r="C125" s="67"/>
      <c r="D125" s="67"/>
      <c r="E125" s="67"/>
      <c r="F125" s="67"/>
      <c r="G125" s="67"/>
      <c r="H125" s="67"/>
      <c r="I125" s="67"/>
      <c r="J125" s="69"/>
      <c r="K125" s="69"/>
      <c r="L125" s="69"/>
      <c r="M125" s="69"/>
      <c r="N125" s="67"/>
      <c r="O125" s="70"/>
      <c r="P125" s="69"/>
    </row>
    <row r="126" spans="1:29">
      <c r="B126" s="67"/>
      <c r="C126" s="67"/>
      <c r="D126" s="67"/>
      <c r="E126" s="67"/>
      <c r="F126" s="67"/>
      <c r="G126" s="67"/>
      <c r="H126" s="67"/>
      <c r="I126" s="67"/>
      <c r="J126" s="69"/>
      <c r="K126" s="69"/>
      <c r="L126" s="69"/>
      <c r="M126" s="69"/>
      <c r="N126" s="67"/>
      <c r="O126" s="70"/>
      <c r="P126" s="69"/>
    </row>
    <row r="127" spans="1:29">
      <c r="B127" s="67"/>
      <c r="C127" s="67"/>
      <c r="D127" s="67"/>
      <c r="E127" s="67"/>
      <c r="F127" s="67"/>
      <c r="G127" s="67"/>
      <c r="H127" s="67"/>
      <c r="I127" s="67"/>
      <c r="J127" s="69"/>
      <c r="K127" s="69"/>
      <c r="L127" s="69"/>
      <c r="M127" s="69"/>
      <c r="N127" s="67"/>
      <c r="O127" s="70"/>
      <c r="P127" s="69"/>
    </row>
    <row r="128" spans="1:29">
      <c r="B128" s="67"/>
      <c r="C128" s="67"/>
      <c r="D128" s="67"/>
      <c r="E128" s="67"/>
      <c r="F128" s="67"/>
      <c r="G128" s="67"/>
      <c r="H128" s="67"/>
      <c r="I128" s="67"/>
      <c r="J128" s="69"/>
      <c r="K128" s="69"/>
      <c r="L128" s="69"/>
      <c r="M128" s="69"/>
      <c r="N128" s="67"/>
      <c r="O128" s="70"/>
      <c r="P128" s="69"/>
    </row>
    <row r="129" spans="2:16">
      <c r="B129" s="67"/>
      <c r="C129" s="67"/>
      <c r="D129" s="67"/>
      <c r="E129" s="67"/>
      <c r="F129" s="67"/>
      <c r="G129" s="67"/>
      <c r="H129" s="67"/>
      <c r="I129" s="67"/>
      <c r="J129" s="69"/>
      <c r="K129" s="69"/>
      <c r="L129" s="69"/>
      <c r="M129" s="69"/>
      <c r="N129" s="67"/>
      <c r="O129" s="70"/>
      <c r="P129" s="69"/>
    </row>
    <row r="130" spans="2:16">
      <c r="B130" s="67"/>
      <c r="C130" s="67"/>
      <c r="D130" s="67"/>
      <c r="E130" s="67"/>
      <c r="F130" s="67"/>
      <c r="G130" s="67"/>
      <c r="H130" s="67"/>
      <c r="I130" s="67"/>
      <c r="J130" s="69"/>
      <c r="K130" s="69"/>
      <c r="L130" s="69"/>
      <c r="M130" s="69"/>
      <c r="N130" s="67"/>
      <c r="O130" s="70"/>
      <c r="P130" s="69"/>
    </row>
    <row r="131" spans="2:16">
      <c r="B131" s="67"/>
      <c r="C131" s="67"/>
      <c r="D131" s="67"/>
      <c r="E131" s="67"/>
      <c r="F131" s="67"/>
      <c r="G131" s="67"/>
      <c r="H131" s="67"/>
      <c r="I131" s="67"/>
      <c r="J131" s="69"/>
      <c r="K131" s="69"/>
      <c r="L131" s="69"/>
      <c r="M131" s="69"/>
      <c r="N131" s="67"/>
      <c r="O131" s="70"/>
      <c r="P131" s="69"/>
    </row>
    <row r="132" spans="2:16">
      <c r="B132" s="67"/>
      <c r="C132" s="67"/>
      <c r="D132" s="67"/>
      <c r="E132" s="67"/>
      <c r="F132" s="67"/>
      <c r="G132" s="67"/>
      <c r="H132" s="67"/>
      <c r="I132" s="67"/>
      <c r="J132" s="69"/>
      <c r="K132" s="69"/>
      <c r="L132" s="69"/>
      <c r="M132" s="69"/>
      <c r="N132" s="67"/>
      <c r="O132" s="70"/>
      <c r="P132" s="69"/>
    </row>
    <row r="133" spans="2:16">
      <c r="B133" s="67"/>
      <c r="C133" s="67"/>
      <c r="D133" s="67"/>
      <c r="E133" s="67"/>
      <c r="F133" s="67"/>
      <c r="G133" s="67"/>
      <c r="H133" s="67"/>
      <c r="I133" s="67"/>
      <c r="J133" s="69"/>
      <c r="K133" s="69"/>
      <c r="L133" s="69"/>
      <c r="M133" s="69"/>
      <c r="N133" s="67"/>
      <c r="O133" s="70"/>
      <c r="P133" s="69"/>
    </row>
    <row r="134" spans="2:16">
      <c r="B134" s="67"/>
      <c r="C134" s="67"/>
      <c r="D134" s="67"/>
      <c r="E134" s="67"/>
      <c r="F134" s="67"/>
      <c r="G134" s="67"/>
      <c r="H134" s="67"/>
      <c r="I134" s="67"/>
      <c r="J134" s="69"/>
      <c r="K134" s="69"/>
      <c r="L134" s="69"/>
      <c r="M134" s="69"/>
      <c r="N134" s="67"/>
      <c r="O134" s="70"/>
      <c r="P134" s="69"/>
    </row>
    <row r="135" spans="2:16">
      <c r="B135" s="67"/>
      <c r="C135" s="67"/>
      <c r="D135" s="67"/>
      <c r="E135" s="67"/>
      <c r="F135" s="67"/>
      <c r="G135" s="67"/>
      <c r="H135" s="67"/>
      <c r="I135" s="67"/>
      <c r="J135" s="69"/>
      <c r="K135" s="69"/>
      <c r="L135" s="69"/>
      <c r="M135" s="69"/>
      <c r="N135" s="67"/>
      <c r="O135" s="70"/>
      <c r="P135" s="69"/>
    </row>
    <row r="136" spans="2:16">
      <c r="B136" s="67"/>
      <c r="C136" s="67"/>
      <c r="D136" s="67"/>
      <c r="E136" s="67"/>
      <c r="F136" s="67"/>
      <c r="G136" s="67"/>
      <c r="H136" s="67"/>
      <c r="I136" s="67"/>
      <c r="J136" s="69"/>
      <c r="K136" s="69"/>
      <c r="L136" s="69"/>
      <c r="M136" s="69"/>
      <c r="N136" s="67"/>
      <c r="O136" s="70"/>
      <c r="P136" s="69"/>
    </row>
    <row r="137" spans="2:16">
      <c r="B137" s="67"/>
      <c r="C137" s="67"/>
      <c r="D137" s="67"/>
      <c r="E137" s="67"/>
      <c r="F137" s="67"/>
      <c r="G137" s="67"/>
      <c r="H137" s="67"/>
      <c r="I137" s="67"/>
      <c r="J137" s="69"/>
      <c r="K137" s="69"/>
      <c r="L137" s="69"/>
      <c r="M137" s="69"/>
      <c r="N137" s="67"/>
      <c r="O137" s="70"/>
      <c r="P137" s="69"/>
    </row>
    <row r="138" spans="2:16">
      <c r="B138" s="67"/>
      <c r="C138" s="67"/>
      <c r="D138" s="67"/>
      <c r="E138" s="67"/>
      <c r="F138" s="67"/>
      <c r="G138" s="67"/>
      <c r="H138" s="67"/>
      <c r="I138" s="67"/>
      <c r="J138" s="69"/>
      <c r="K138" s="69"/>
      <c r="L138" s="69"/>
      <c r="M138" s="69"/>
      <c r="N138" s="67"/>
      <c r="O138" s="70"/>
      <c r="P138" s="69"/>
    </row>
    <row r="139" spans="2:16">
      <c r="B139" s="67"/>
      <c r="C139" s="67"/>
      <c r="D139" s="67"/>
      <c r="E139" s="67"/>
      <c r="F139" s="67"/>
      <c r="G139" s="67"/>
      <c r="H139" s="67"/>
      <c r="I139" s="67"/>
      <c r="J139" s="69"/>
      <c r="K139" s="69"/>
      <c r="L139" s="69"/>
      <c r="M139" s="69"/>
      <c r="N139" s="67"/>
      <c r="O139" s="70"/>
      <c r="P139" s="69"/>
    </row>
    <row r="140" spans="2:16">
      <c r="B140" s="67"/>
      <c r="C140" s="67"/>
      <c r="D140" s="67"/>
      <c r="E140" s="67"/>
      <c r="F140" s="67"/>
      <c r="G140" s="67"/>
      <c r="H140" s="67"/>
      <c r="I140" s="67"/>
      <c r="J140" s="69"/>
      <c r="K140" s="69"/>
      <c r="L140" s="69"/>
      <c r="M140" s="69"/>
      <c r="N140" s="67"/>
      <c r="O140" s="70"/>
      <c r="P140" s="69"/>
    </row>
    <row r="141" spans="2:16">
      <c r="B141" s="67"/>
      <c r="C141" s="67"/>
      <c r="D141" s="67"/>
      <c r="E141" s="67"/>
      <c r="F141" s="67"/>
      <c r="G141" s="67"/>
      <c r="H141" s="67"/>
      <c r="I141" s="67"/>
      <c r="J141" s="69"/>
      <c r="K141" s="69"/>
      <c r="L141" s="69"/>
      <c r="M141" s="69"/>
      <c r="N141" s="67"/>
      <c r="O141" s="70"/>
      <c r="P141" s="69"/>
    </row>
    <row r="142" spans="2:16">
      <c r="B142" s="67"/>
      <c r="C142" s="67"/>
      <c r="D142" s="67"/>
      <c r="E142" s="67"/>
      <c r="F142" s="67"/>
      <c r="G142" s="67"/>
      <c r="H142" s="67"/>
      <c r="I142" s="67"/>
      <c r="J142" s="69"/>
      <c r="K142" s="69"/>
      <c r="L142" s="69"/>
      <c r="M142" s="69"/>
      <c r="N142" s="67"/>
      <c r="O142" s="70"/>
      <c r="P142" s="69"/>
    </row>
    <row r="143" spans="2:16">
      <c r="B143" s="67"/>
      <c r="C143" s="67"/>
      <c r="D143" s="67"/>
      <c r="E143" s="67"/>
      <c r="F143" s="67"/>
      <c r="G143" s="67"/>
      <c r="H143" s="67"/>
      <c r="I143" s="67"/>
      <c r="J143" s="69"/>
      <c r="K143" s="69"/>
      <c r="L143" s="69"/>
      <c r="M143" s="69"/>
      <c r="N143" s="67"/>
      <c r="O143" s="70"/>
      <c r="P143" s="69"/>
    </row>
    <row r="144" spans="2:16">
      <c r="B144" s="67"/>
      <c r="C144" s="67"/>
      <c r="D144" s="67"/>
      <c r="E144" s="67"/>
      <c r="F144" s="67"/>
      <c r="G144" s="67"/>
      <c r="H144" s="67"/>
      <c r="I144" s="67"/>
      <c r="J144" s="69"/>
      <c r="K144" s="69"/>
      <c r="L144" s="69"/>
      <c r="M144" s="69"/>
      <c r="N144" s="67"/>
      <c r="O144" s="70"/>
      <c r="P144" s="69"/>
    </row>
    <row r="145" spans="2:16">
      <c r="B145" s="67"/>
      <c r="C145" s="67"/>
      <c r="D145" s="67"/>
      <c r="E145" s="67"/>
      <c r="F145" s="67"/>
      <c r="G145" s="67"/>
      <c r="H145" s="67"/>
      <c r="I145" s="67"/>
      <c r="J145" s="69"/>
      <c r="K145" s="69"/>
      <c r="L145" s="69"/>
      <c r="M145" s="69"/>
      <c r="N145" s="67"/>
      <c r="O145" s="70"/>
      <c r="P145" s="69"/>
    </row>
    <row r="146" spans="2:16">
      <c r="B146" s="67"/>
      <c r="C146" s="67"/>
      <c r="D146" s="67"/>
      <c r="E146" s="67"/>
      <c r="F146" s="67"/>
      <c r="G146" s="67"/>
      <c r="H146" s="67"/>
      <c r="I146" s="67"/>
      <c r="J146" s="69"/>
      <c r="K146" s="69"/>
      <c r="L146" s="69"/>
      <c r="M146" s="69"/>
      <c r="N146" s="67"/>
      <c r="O146" s="70"/>
      <c r="P146" s="69"/>
    </row>
    <row r="147" spans="2:16">
      <c r="B147" s="67"/>
      <c r="C147" s="67"/>
      <c r="D147" s="67"/>
      <c r="E147" s="67"/>
      <c r="F147" s="67"/>
      <c r="G147" s="67"/>
      <c r="H147" s="67"/>
      <c r="I147" s="67"/>
      <c r="J147" s="69"/>
      <c r="K147" s="69"/>
      <c r="L147" s="69"/>
      <c r="M147" s="69"/>
      <c r="N147" s="67"/>
      <c r="O147" s="70"/>
      <c r="P147" s="69"/>
    </row>
    <row r="148" spans="2:16">
      <c r="B148" s="67"/>
      <c r="C148" s="67"/>
      <c r="D148" s="67"/>
      <c r="E148" s="67"/>
      <c r="F148" s="67"/>
      <c r="G148" s="67"/>
      <c r="H148" s="67"/>
      <c r="I148" s="67"/>
      <c r="J148" s="69"/>
      <c r="K148" s="69"/>
      <c r="L148" s="69"/>
      <c r="M148" s="69"/>
      <c r="N148" s="67"/>
      <c r="O148" s="70"/>
      <c r="P148" s="69"/>
    </row>
    <row r="149" spans="2:16">
      <c r="B149" s="67"/>
      <c r="C149" s="67"/>
      <c r="D149" s="67"/>
      <c r="E149" s="67"/>
      <c r="F149" s="67"/>
      <c r="G149" s="67"/>
      <c r="H149" s="67"/>
      <c r="I149" s="67"/>
      <c r="J149" s="69"/>
      <c r="K149" s="69"/>
      <c r="L149" s="69"/>
      <c r="M149" s="69"/>
      <c r="N149" s="67"/>
      <c r="O149" s="70"/>
      <c r="P149" s="69"/>
    </row>
    <row r="150" spans="2:16">
      <c r="B150" s="67"/>
      <c r="C150" s="67"/>
      <c r="D150" s="67"/>
      <c r="E150" s="67"/>
      <c r="F150" s="67"/>
      <c r="G150" s="67"/>
      <c r="H150" s="67"/>
      <c r="I150" s="67"/>
      <c r="J150" s="69"/>
      <c r="K150" s="69"/>
      <c r="L150" s="69"/>
      <c r="M150" s="69"/>
      <c r="N150" s="67"/>
      <c r="O150" s="70"/>
      <c r="P150" s="69"/>
    </row>
    <row r="151" spans="2:16">
      <c r="B151" s="67"/>
      <c r="C151" s="67"/>
      <c r="D151" s="67"/>
      <c r="E151" s="67"/>
      <c r="F151" s="67"/>
      <c r="G151" s="67"/>
      <c r="H151" s="67"/>
      <c r="I151" s="67"/>
      <c r="J151" s="69"/>
      <c r="K151" s="69"/>
      <c r="L151" s="69"/>
      <c r="M151" s="69"/>
      <c r="N151" s="67"/>
      <c r="O151" s="70"/>
      <c r="P151" s="69"/>
    </row>
    <row r="152" spans="2:16">
      <c r="B152" s="67"/>
      <c r="C152" s="67"/>
      <c r="D152" s="67"/>
      <c r="E152" s="67"/>
      <c r="F152" s="67"/>
      <c r="G152" s="67"/>
      <c r="H152" s="67"/>
      <c r="I152" s="67"/>
      <c r="J152" s="69"/>
      <c r="K152" s="69"/>
      <c r="L152" s="69"/>
      <c r="M152" s="69"/>
      <c r="N152" s="67"/>
      <c r="O152" s="70"/>
      <c r="P152" s="69"/>
    </row>
    <row r="153" spans="2:16">
      <c r="B153" s="67"/>
      <c r="C153" s="67"/>
      <c r="D153" s="67"/>
      <c r="E153" s="67"/>
      <c r="F153" s="67"/>
      <c r="G153" s="67"/>
      <c r="H153" s="67"/>
      <c r="I153" s="67"/>
      <c r="J153" s="69"/>
      <c r="K153" s="69"/>
      <c r="L153" s="69"/>
      <c r="M153" s="69"/>
      <c r="N153" s="67"/>
      <c r="O153" s="70"/>
      <c r="P153" s="69"/>
    </row>
    <row r="154" spans="2:16">
      <c r="B154" s="67"/>
      <c r="C154" s="67"/>
      <c r="D154" s="67"/>
      <c r="E154" s="67"/>
      <c r="F154" s="67"/>
      <c r="G154" s="67"/>
      <c r="H154" s="67"/>
      <c r="I154" s="67"/>
      <c r="J154" s="69"/>
      <c r="K154" s="69"/>
      <c r="L154" s="69"/>
      <c r="M154" s="69"/>
      <c r="N154" s="67"/>
      <c r="O154" s="70"/>
      <c r="P154" s="69"/>
    </row>
    <row r="155" spans="2:16">
      <c r="B155" s="67"/>
      <c r="C155" s="67"/>
      <c r="D155" s="67"/>
      <c r="E155" s="67"/>
      <c r="F155" s="67"/>
      <c r="G155" s="67"/>
      <c r="H155" s="67"/>
      <c r="I155" s="67"/>
      <c r="J155" s="69"/>
      <c r="K155" s="69"/>
      <c r="L155" s="69"/>
      <c r="M155" s="69"/>
      <c r="N155" s="67"/>
      <c r="O155" s="70"/>
      <c r="P155" s="69"/>
    </row>
    <row r="156" spans="2:16">
      <c r="B156" s="67"/>
      <c r="C156" s="67"/>
      <c r="D156" s="67"/>
      <c r="E156" s="67"/>
      <c r="F156" s="67"/>
      <c r="G156" s="67"/>
      <c r="H156" s="67"/>
      <c r="I156" s="67"/>
      <c r="J156" s="69"/>
      <c r="K156" s="69"/>
      <c r="L156" s="69"/>
      <c r="M156" s="69"/>
      <c r="N156" s="67"/>
      <c r="O156" s="70"/>
      <c r="P156" s="69"/>
    </row>
    <row r="157" spans="2:16">
      <c r="B157" s="67"/>
      <c r="C157" s="67"/>
      <c r="D157" s="67"/>
      <c r="E157" s="67"/>
      <c r="F157" s="67"/>
      <c r="G157" s="67"/>
      <c r="H157" s="67"/>
      <c r="I157" s="67"/>
      <c r="J157" s="69"/>
      <c r="K157" s="69"/>
      <c r="L157" s="69"/>
      <c r="M157" s="69"/>
      <c r="N157" s="67"/>
      <c r="O157" s="70"/>
      <c r="P157" s="69"/>
    </row>
    <row r="158" spans="2:16">
      <c r="B158" s="67"/>
      <c r="C158" s="67"/>
      <c r="D158" s="67"/>
      <c r="E158" s="67"/>
      <c r="F158" s="67"/>
      <c r="G158" s="67"/>
      <c r="H158" s="67"/>
      <c r="I158" s="67"/>
      <c r="J158" s="69"/>
      <c r="K158" s="69"/>
      <c r="L158" s="69"/>
      <c r="M158" s="69"/>
      <c r="N158" s="67"/>
      <c r="O158" s="70"/>
      <c r="P158" s="69"/>
    </row>
    <row r="159" spans="2:16">
      <c r="B159" s="67"/>
      <c r="C159" s="67"/>
      <c r="D159" s="67"/>
      <c r="E159" s="67"/>
      <c r="F159" s="67"/>
      <c r="G159" s="67"/>
      <c r="H159" s="67"/>
      <c r="I159" s="67"/>
      <c r="J159" s="69"/>
      <c r="K159" s="69"/>
      <c r="L159" s="69"/>
      <c r="M159" s="69"/>
      <c r="N159" s="67"/>
      <c r="O159" s="70"/>
      <c r="P159" s="69"/>
    </row>
    <row r="160" spans="2:16">
      <c r="B160" s="67"/>
      <c r="C160" s="67"/>
      <c r="D160" s="67"/>
      <c r="E160" s="67"/>
      <c r="F160" s="67"/>
      <c r="G160" s="67"/>
      <c r="H160" s="67"/>
      <c r="I160" s="67"/>
      <c r="J160" s="69"/>
      <c r="K160" s="69"/>
      <c r="L160" s="69"/>
      <c r="M160" s="69"/>
      <c r="N160" s="67"/>
      <c r="O160" s="70"/>
      <c r="P160" s="69"/>
    </row>
    <row r="161" spans="2:16">
      <c r="B161" s="67"/>
      <c r="C161" s="67"/>
      <c r="D161" s="67"/>
      <c r="E161" s="67"/>
      <c r="F161" s="67"/>
      <c r="G161" s="67"/>
      <c r="H161" s="67"/>
      <c r="I161" s="67"/>
      <c r="J161" s="69"/>
      <c r="K161" s="69"/>
      <c r="L161" s="69"/>
      <c r="M161" s="69"/>
      <c r="N161" s="67"/>
      <c r="O161" s="70"/>
      <c r="P161" s="69"/>
    </row>
    <row r="162" spans="2:16">
      <c r="B162" s="67"/>
      <c r="C162" s="67"/>
      <c r="D162" s="67"/>
      <c r="E162" s="67"/>
      <c r="F162" s="67"/>
      <c r="G162" s="67"/>
      <c r="H162" s="67"/>
      <c r="I162" s="67"/>
      <c r="J162" s="69"/>
      <c r="K162" s="69"/>
      <c r="L162" s="69"/>
      <c r="M162" s="69"/>
      <c r="N162" s="67"/>
      <c r="O162" s="70"/>
      <c r="P162" s="69"/>
    </row>
    <row r="163" spans="2:16">
      <c r="B163" s="67"/>
      <c r="C163" s="67"/>
      <c r="D163" s="67"/>
      <c r="E163" s="67"/>
      <c r="F163" s="67"/>
      <c r="G163" s="67"/>
      <c r="H163" s="67"/>
      <c r="I163" s="67"/>
      <c r="J163" s="69"/>
      <c r="K163" s="69"/>
      <c r="L163" s="69"/>
      <c r="M163" s="69"/>
      <c r="N163" s="67"/>
      <c r="O163" s="70"/>
      <c r="P163" s="69"/>
    </row>
    <row r="164" spans="2:16">
      <c r="B164" s="67"/>
      <c r="C164" s="67"/>
      <c r="D164" s="67"/>
      <c r="E164" s="67"/>
      <c r="F164" s="67"/>
      <c r="G164" s="67"/>
      <c r="H164" s="67"/>
      <c r="I164" s="67"/>
      <c r="J164" s="69"/>
      <c r="K164" s="69"/>
      <c r="L164" s="69"/>
      <c r="M164" s="69"/>
      <c r="N164" s="67"/>
      <c r="O164" s="70"/>
      <c r="P164" s="69"/>
    </row>
    <row r="165" spans="2:16">
      <c r="B165" s="67"/>
      <c r="C165" s="67"/>
      <c r="D165" s="67"/>
      <c r="E165" s="67"/>
      <c r="F165" s="67"/>
      <c r="G165" s="67"/>
      <c r="H165" s="67"/>
      <c r="I165" s="67"/>
      <c r="J165" s="69"/>
      <c r="K165" s="69"/>
      <c r="L165" s="69"/>
      <c r="M165" s="69"/>
      <c r="N165" s="67"/>
      <c r="O165" s="70"/>
      <c r="P165" s="69"/>
    </row>
    <row r="166" spans="2:16">
      <c r="B166" s="67"/>
      <c r="C166" s="67"/>
      <c r="D166" s="67"/>
      <c r="E166" s="67"/>
      <c r="F166" s="67"/>
      <c r="G166" s="67"/>
      <c r="H166" s="67"/>
      <c r="I166" s="67"/>
      <c r="J166" s="69"/>
      <c r="K166" s="69"/>
      <c r="L166" s="69"/>
      <c r="M166" s="69"/>
      <c r="N166" s="67"/>
      <c r="O166" s="70"/>
      <c r="P166" s="69"/>
    </row>
    <row r="167" spans="2:16">
      <c r="B167" s="67"/>
      <c r="C167" s="67"/>
      <c r="D167" s="67"/>
      <c r="E167" s="67"/>
      <c r="F167" s="67"/>
      <c r="G167" s="67"/>
      <c r="H167" s="67"/>
      <c r="I167" s="67"/>
      <c r="J167" s="69"/>
      <c r="K167" s="69"/>
      <c r="L167" s="69"/>
      <c r="M167" s="69"/>
      <c r="N167" s="67"/>
      <c r="O167" s="70"/>
      <c r="P167" s="69"/>
    </row>
    <row r="168" spans="2:16">
      <c r="B168" s="67"/>
      <c r="C168" s="67"/>
      <c r="D168" s="67"/>
      <c r="E168" s="67"/>
      <c r="F168" s="67"/>
      <c r="G168" s="67"/>
      <c r="H168" s="67"/>
      <c r="I168" s="67"/>
      <c r="J168" s="69"/>
      <c r="K168" s="69"/>
      <c r="L168" s="69"/>
      <c r="M168" s="69"/>
      <c r="N168" s="67"/>
      <c r="O168" s="70"/>
      <c r="P168" s="69"/>
    </row>
    <row r="169" spans="2:16">
      <c r="B169" s="67"/>
      <c r="C169" s="67"/>
      <c r="D169" s="67"/>
      <c r="E169" s="67"/>
      <c r="F169" s="67"/>
      <c r="G169" s="67"/>
      <c r="H169" s="67"/>
      <c r="I169" s="67"/>
      <c r="J169" s="69"/>
      <c r="K169" s="69"/>
      <c r="L169" s="69"/>
      <c r="M169" s="69"/>
      <c r="N169" s="67"/>
      <c r="O169" s="70"/>
      <c r="P169" s="69"/>
    </row>
    <row r="170" spans="2:16">
      <c r="B170" s="67"/>
      <c r="C170" s="67"/>
      <c r="D170" s="67"/>
      <c r="E170" s="67"/>
      <c r="F170" s="67"/>
      <c r="G170" s="67"/>
      <c r="H170" s="67"/>
      <c r="I170" s="67"/>
      <c r="J170" s="69"/>
      <c r="K170" s="69"/>
      <c r="L170" s="69"/>
      <c r="M170" s="69"/>
      <c r="N170" s="67"/>
      <c r="O170" s="70"/>
      <c r="P170" s="69"/>
    </row>
    <row r="171" spans="2:16">
      <c r="B171" s="67"/>
      <c r="C171" s="67"/>
      <c r="D171" s="67"/>
      <c r="E171" s="67"/>
      <c r="F171" s="67"/>
      <c r="G171" s="67"/>
      <c r="H171" s="67"/>
      <c r="I171" s="67"/>
      <c r="J171" s="69"/>
      <c r="K171" s="69"/>
      <c r="L171" s="69"/>
      <c r="M171" s="69"/>
      <c r="N171" s="67"/>
      <c r="O171" s="70"/>
      <c r="P171" s="69"/>
    </row>
    <row r="172" spans="2:16">
      <c r="B172" s="67"/>
      <c r="C172" s="67"/>
      <c r="D172" s="67"/>
      <c r="E172" s="67"/>
      <c r="F172" s="67"/>
      <c r="G172" s="67"/>
      <c r="H172" s="67"/>
      <c r="I172" s="67"/>
      <c r="J172" s="69"/>
      <c r="K172" s="69"/>
      <c r="L172" s="69"/>
      <c r="M172" s="69"/>
      <c r="N172" s="67"/>
      <c r="O172" s="70"/>
      <c r="P172" s="69"/>
    </row>
    <row r="173" spans="2:16">
      <c r="B173" s="67"/>
      <c r="C173" s="67"/>
      <c r="D173" s="67"/>
      <c r="E173" s="67"/>
      <c r="F173" s="67"/>
      <c r="G173" s="67"/>
      <c r="H173" s="67"/>
      <c r="I173" s="67"/>
      <c r="J173" s="69"/>
      <c r="K173" s="69"/>
      <c r="L173" s="69"/>
      <c r="M173" s="69"/>
      <c r="N173" s="67"/>
      <c r="O173" s="70"/>
      <c r="P173" s="69"/>
    </row>
    <row r="174" spans="2:16">
      <c r="B174" s="67"/>
      <c r="C174" s="67"/>
      <c r="D174" s="67"/>
      <c r="E174" s="67"/>
      <c r="F174" s="67"/>
      <c r="G174" s="67"/>
      <c r="H174" s="67"/>
      <c r="I174" s="67"/>
      <c r="J174" s="69"/>
      <c r="K174" s="69"/>
      <c r="L174" s="69"/>
      <c r="M174" s="69"/>
      <c r="N174" s="67"/>
      <c r="O174" s="70"/>
      <c r="P174" s="69"/>
    </row>
    <row r="175" spans="2:16">
      <c r="B175" s="67"/>
      <c r="C175" s="67"/>
      <c r="D175" s="67"/>
      <c r="E175" s="67"/>
      <c r="F175" s="67"/>
      <c r="G175" s="67"/>
      <c r="H175" s="67"/>
      <c r="I175" s="67"/>
      <c r="J175" s="69"/>
      <c r="K175" s="69"/>
      <c r="L175" s="69"/>
      <c r="M175" s="69"/>
      <c r="N175" s="67"/>
      <c r="O175" s="70"/>
      <c r="P175" s="69"/>
    </row>
    <row r="176" spans="2:16">
      <c r="B176" s="67"/>
      <c r="C176" s="67"/>
      <c r="D176" s="67"/>
      <c r="E176" s="67"/>
      <c r="F176" s="67"/>
      <c r="G176" s="67"/>
      <c r="H176" s="67"/>
      <c r="I176" s="67"/>
      <c r="J176" s="69"/>
      <c r="K176" s="69"/>
      <c r="L176" s="69"/>
      <c r="M176" s="69"/>
      <c r="N176" s="67"/>
      <c r="O176" s="70"/>
      <c r="P176" s="69"/>
    </row>
    <row r="177" spans="2:16">
      <c r="B177" s="67"/>
      <c r="C177" s="67"/>
      <c r="D177" s="67"/>
      <c r="E177" s="67"/>
      <c r="F177" s="67"/>
      <c r="G177" s="67"/>
      <c r="H177" s="67"/>
      <c r="I177" s="67"/>
      <c r="J177" s="69"/>
      <c r="K177" s="69"/>
      <c r="L177" s="69"/>
      <c r="M177" s="69"/>
      <c r="N177" s="67"/>
      <c r="O177" s="70"/>
      <c r="P177" s="69"/>
    </row>
    <row r="178" spans="2:16">
      <c r="B178" s="67"/>
      <c r="C178" s="67"/>
      <c r="D178" s="67"/>
      <c r="E178" s="67"/>
      <c r="F178" s="67"/>
      <c r="G178" s="67"/>
      <c r="H178" s="67"/>
      <c r="I178" s="67"/>
      <c r="J178" s="69"/>
      <c r="K178" s="69"/>
      <c r="L178" s="69"/>
      <c r="M178" s="69"/>
      <c r="N178" s="67"/>
      <c r="O178" s="70"/>
      <c r="P178" s="69"/>
    </row>
    <row r="179" spans="2:16">
      <c r="B179" s="67"/>
      <c r="C179" s="67"/>
      <c r="D179" s="67"/>
      <c r="E179" s="67"/>
      <c r="F179" s="67"/>
      <c r="G179" s="67"/>
      <c r="H179" s="67"/>
      <c r="I179" s="67"/>
      <c r="J179" s="69"/>
      <c r="K179" s="69"/>
      <c r="L179" s="69"/>
      <c r="M179" s="69"/>
      <c r="N179" s="67"/>
      <c r="O179" s="70"/>
      <c r="P179" s="69"/>
    </row>
    <row r="180" spans="2:16">
      <c r="B180" s="67"/>
      <c r="C180" s="67"/>
      <c r="D180" s="67"/>
      <c r="E180" s="67"/>
      <c r="F180" s="67"/>
      <c r="G180" s="67"/>
      <c r="H180" s="67"/>
      <c r="I180" s="67"/>
      <c r="J180" s="69"/>
      <c r="K180" s="69"/>
      <c r="L180" s="69"/>
      <c r="M180" s="69"/>
      <c r="N180" s="67"/>
      <c r="O180" s="70"/>
      <c r="P180" s="69"/>
    </row>
    <row r="181" spans="2:16">
      <c r="B181" s="67"/>
      <c r="C181" s="67"/>
      <c r="D181" s="67"/>
      <c r="E181" s="67"/>
      <c r="F181" s="67"/>
      <c r="G181" s="67"/>
      <c r="H181" s="67"/>
      <c r="I181" s="67"/>
      <c r="J181" s="69"/>
      <c r="K181" s="69"/>
      <c r="L181" s="69"/>
      <c r="M181" s="69"/>
      <c r="N181" s="67"/>
      <c r="O181" s="70"/>
      <c r="P181" s="69"/>
    </row>
    <row r="182" spans="2:16">
      <c r="B182" s="67"/>
      <c r="C182" s="67"/>
      <c r="D182" s="67"/>
      <c r="E182" s="67"/>
      <c r="F182" s="67"/>
      <c r="G182" s="67"/>
      <c r="H182" s="67"/>
      <c r="I182" s="67"/>
      <c r="J182" s="69"/>
      <c r="K182" s="69"/>
      <c r="L182" s="69"/>
      <c r="M182" s="69"/>
      <c r="N182" s="67"/>
      <c r="O182" s="70"/>
      <c r="P182" s="69"/>
    </row>
    <row r="183" spans="2:16">
      <c r="B183" s="67"/>
      <c r="C183" s="67"/>
      <c r="D183" s="67"/>
      <c r="E183" s="67"/>
      <c r="F183" s="67"/>
      <c r="G183" s="67"/>
      <c r="H183" s="67"/>
      <c r="I183" s="67"/>
      <c r="J183" s="69"/>
      <c r="K183" s="69"/>
      <c r="L183" s="69"/>
      <c r="M183" s="69"/>
      <c r="N183" s="67"/>
      <c r="O183" s="70"/>
      <c r="P183" s="69"/>
    </row>
    <row r="184" spans="2:16">
      <c r="B184" s="67"/>
      <c r="C184" s="67"/>
      <c r="D184" s="67"/>
      <c r="E184" s="67"/>
      <c r="F184" s="67"/>
      <c r="G184" s="67"/>
      <c r="H184" s="67"/>
      <c r="I184" s="67"/>
      <c r="J184" s="69"/>
      <c r="K184" s="69"/>
      <c r="L184" s="69"/>
      <c r="M184" s="69"/>
      <c r="N184" s="67"/>
      <c r="O184" s="70"/>
      <c r="P184" s="69"/>
    </row>
    <row r="185" spans="2:16">
      <c r="B185" s="67"/>
      <c r="C185" s="67"/>
      <c r="D185" s="67"/>
      <c r="E185" s="67"/>
      <c r="F185" s="67"/>
      <c r="G185" s="67"/>
      <c r="H185" s="67"/>
      <c r="I185" s="67"/>
      <c r="J185" s="69"/>
      <c r="K185" s="69"/>
      <c r="L185" s="69"/>
      <c r="M185" s="69"/>
      <c r="N185" s="67"/>
      <c r="O185" s="70"/>
      <c r="P185" s="69"/>
    </row>
    <row r="186" spans="2:16">
      <c r="I186" s="67"/>
      <c r="J186" s="69"/>
      <c r="K186" s="69"/>
      <c r="L186" s="69"/>
      <c r="M186" s="69"/>
      <c r="N186" s="67"/>
      <c r="O186" s="70"/>
      <c r="P186" s="69"/>
    </row>
    <row r="187" spans="2:16">
      <c r="I187" s="67"/>
      <c r="J187" s="69"/>
      <c r="K187" s="69"/>
      <c r="L187" s="69"/>
      <c r="M187" s="69"/>
      <c r="N187" s="67"/>
      <c r="O187" s="70"/>
      <c r="P187" s="69"/>
    </row>
    <row r="188" spans="2:16">
      <c r="I188" s="67"/>
      <c r="J188" s="69"/>
      <c r="K188" s="69"/>
      <c r="L188" s="69"/>
      <c r="M188" s="69"/>
      <c r="N188" s="67"/>
      <c r="O188" s="70"/>
      <c r="P188" s="69"/>
    </row>
    <row r="189" spans="2:16">
      <c r="I189" s="67"/>
      <c r="J189" s="69"/>
      <c r="K189" s="69"/>
      <c r="L189" s="69"/>
      <c r="M189" s="69"/>
      <c r="N189" s="67"/>
      <c r="O189" s="70"/>
      <c r="P189" s="69"/>
    </row>
    <row r="190" spans="2:16">
      <c r="I190" s="67"/>
      <c r="J190" s="69"/>
      <c r="K190" s="69"/>
      <c r="L190" s="69"/>
      <c r="M190" s="69"/>
      <c r="N190" s="67"/>
      <c r="O190" s="70"/>
      <c r="P190" s="69"/>
    </row>
    <row r="191" spans="2:16">
      <c r="I191" s="67"/>
      <c r="J191" s="69"/>
      <c r="K191" s="69"/>
      <c r="L191" s="69"/>
      <c r="M191" s="69"/>
      <c r="N191" s="67"/>
      <c r="O191" s="70"/>
      <c r="P191" s="69"/>
    </row>
    <row r="192" spans="2:16">
      <c r="I192" s="67"/>
      <c r="J192" s="69"/>
      <c r="K192" s="69"/>
      <c r="L192" s="69"/>
      <c r="M192" s="69"/>
      <c r="N192" s="67"/>
      <c r="O192" s="70"/>
      <c r="P192" s="69"/>
    </row>
    <row r="193" spans="9:16">
      <c r="I193" s="67"/>
      <c r="J193" s="69"/>
      <c r="K193" s="69"/>
      <c r="L193" s="69"/>
      <c r="M193" s="69"/>
      <c r="N193" s="67"/>
      <c r="O193" s="70"/>
      <c r="P193" s="69"/>
    </row>
    <row r="194" spans="9:16">
      <c r="I194" s="67"/>
      <c r="J194" s="69"/>
      <c r="K194" s="69"/>
      <c r="L194" s="69"/>
      <c r="M194" s="69"/>
      <c r="N194" s="67"/>
      <c r="O194" s="70"/>
      <c r="P194" s="69"/>
    </row>
    <row r="195" spans="9:16">
      <c r="I195" s="67"/>
      <c r="J195" s="69"/>
      <c r="K195" s="69"/>
      <c r="L195" s="69"/>
      <c r="M195" s="69"/>
      <c r="N195" s="67"/>
      <c r="O195" s="70"/>
      <c r="P195" s="69"/>
    </row>
    <row r="196" spans="9:16">
      <c r="I196" s="67"/>
      <c r="J196" s="69"/>
      <c r="K196" s="69"/>
      <c r="L196" s="69"/>
      <c r="M196" s="69"/>
      <c r="N196" s="67"/>
      <c r="O196" s="70"/>
      <c r="P196" s="69"/>
    </row>
    <row r="197" spans="9:16">
      <c r="I197" s="67"/>
      <c r="J197" s="69"/>
      <c r="K197" s="69"/>
      <c r="L197" s="69"/>
      <c r="M197" s="69"/>
      <c r="N197" s="67"/>
      <c r="O197" s="70"/>
      <c r="P197" s="69"/>
    </row>
    <row r="198" spans="9:16">
      <c r="I198" s="67"/>
      <c r="J198" s="69"/>
      <c r="K198" s="69"/>
      <c r="L198" s="69"/>
      <c r="M198" s="69"/>
      <c r="N198" s="67"/>
      <c r="O198" s="70"/>
      <c r="P198" s="69"/>
    </row>
    <row r="199" spans="9:16">
      <c r="I199" s="67"/>
      <c r="J199" s="69"/>
      <c r="K199" s="69"/>
      <c r="L199" s="69"/>
      <c r="M199" s="69"/>
      <c r="N199" s="67"/>
      <c r="O199" s="70"/>
      <c r="P199" s="69"/>
    </row>
    <row r="200" spans="9:16">
      <c r="I200" s="67"/>
      <c r="J200" s="69"/>
      <c r="K200" s="69"/>
      <c r="L200" s="69"/>
      <c r="M200" s="69"/>
      <c r="N200" s="67"/>
      <c r="O200" s="70"/>
      <c r="P200" s="69"/>
    </row>
    <row r="201" spans="9:16">
      <c r="I201" s="67"/>
      <c r="J201" s="69"/>
      <c r="K201" s="69"/>
      <c r="L201" s="69"/>
      <c r="M201" s="69"/>
      <c r="N201" s="67"/>
      <c r="O201" s="70"/>
      <c r="P201" s="69"/>
    </row>
    <row r="202" spans="9:16">
      <c r="I202" s="67"/>
      <c r="J202" s="69"/>
      <c r="K202" s="69"/>
      <c r="L202" s="69"/>
      <c r="M202" s="69"/>
      <c r="N202" s="67"/>
      <c r="O202" s="70"/>
      <c r="P202" s="69"/>
    </row>
    <row r="203" spans="9:16">
      <c r="I203" s="67"/>
      <c r="J203" s="69"/>
      <c r="K203" s="69"/>
      <c r="L203" s="69"/>
      <c r="M203" s="69"/>
      <c r="N203" s="67"/>
      <c r="O203" s="70"/>
      <c r="P203" s="69"/>
    </row>
    <row r="204" spans="9:16">
      <c r="I204" s="67"/>
      <c r="J204" s="69"/>
      <c r="K204" s="69"/>
      <c r="L204" s="69"/>
      <c r="M204" s="69"/>
      <c r="N204" s="67"/>
      <c r="O204" s="70"/>
      <c r="P204" s="69"/>
    </row>
    <row r="205" spans="9:16">
      <c r="I205" s="67"/>
      <c r="J205" s="69"/>
      <c r="K205" s="69"/>
      <c r="L205" s="69"/>
      <c r="M205" s="69"/>
      <c r="N205" s="67"/>
      <c r="O205" s="70"/>
      <c r="P205" s="69"/>
    </row>
    <row r="206" spans="9:16">
      <c r="I206" s="67"/>
      <c r="J206" s="69"/>
      <c r="K206" s="69"/>
      <c r="L206" s="69"/>
      <c r="M206" s="69"/>
      <c r="N206" s="67"/>
      <c r="O206" s="70"/>
      <c r="P206" s="69"/>
    </row>
    <row r="207" spans="9:16">
      <c r="I207" s="67"/>
      <c r="J207" s="69"/>
      <c r="K207" s="69"/>
      <c r="L207" s="69"/>
      <c r="M207" s="69"/>
      <c r="N207" s="67"/>
      <c r="O207" s="70"/>
      <c r="P207" s="69"/>
    </row>
    <row r="208" spans="9:16">
      <c r="I208" s="67"/>
      <c r="J208" s="69"/>
      <c r="K208" s="69"/>
      <c r="L208" s="69"/>
      <c r="M208" s="69"/>
      <c r="N208" s="67"/>
      <c r="O208" s="70"/>
      <c r="P208" s="69"/>
    </row>
    <row r="209" spans="9:16">
      <c r="I209" s="67"/>
      <c r="J209" s="69"/>
      <c r="K209" s="69"/>
      <c r="L209" s="69"/>
      <c r="M209" s="69"/>
      <c r="N209" s="67"/>
      <c r="O209" s="70"/>
      <c r="P209" s="69"/>
    </row>
    <row r="210" spans="9:16">
      <c r="I210" s="67"/>
      <c r="J210" s="69"/>
      <c r="K210" s="69"/>
      <c r="L210" s="69"/>
      <c r="M210" s="69"/>
      <c r="N210" s="67"/>
      <c r="O210" s="70"/>
      <c r="P210" s="69"/>
    </row>
    <row r="211" spans="9:16">
      <c r="I211" s="67"/>
      <c r="J211" s="69"/>
      <c r="K211" s="69"/>
      <c r="L211" s="69"/>
      <c r="M211" s="69"/>
      <c r="N211" s="67"/>
      <c r="O211" s="70"/>
      <c r="P211" s="69"/>
    </row>
    <row r="212" spans="9:16">
      <c r="I212" s="67"/>
      <c r="J212" s="69"/>
      <c r="K212" s="69"/>
      <c r="L212" s="69"/>
      <c r="M212" s="69"/>
      <c r="N212" s="67"/>
      <c r="O212" s="70"/>
      <c r="P212" s="69"/>
    </row>
    <row r="213" spans="9:16">
      <c r="I213" s="67"/>
      <c r="J213" s="69"/>
      <c r="K213" s="69"/>
      <c r="L213" s="69"/>
      <c r="M213" s="69"/>
      <c r="N213" s="67"/>
      <c r="O213" s="70"/>
      <c r="P213" s="69"/>
    </row>
    <row r="214" spans="9:16">
      <c r="I214" s="67"/>
      <c r="J214" s="69"/>
      <c r="K214" s="69"/>
      <c r="L214" s="69"/>
      <c r="M214" s="69"/>
      <c r="N214" s="67"/>
      <c r="O214" s="70"/>
      <c r="P214" s="69"/>
    </row>
    <row r="215" spans="9:16">
      <c r="I215" s="67"/>
      <c r="J215" s="69"/>
      <c r="K215" s="69"/>
      <c r="L215" s="69"/>
      <c r="M215" s="69"/>
      <c r="N215" s="67"/>
      <c r="O215" s="70"/>
      <c r="P215" s="69"/>
    </row>
    <row r="216" spans="9:16">
      <c r="I216" s="67"/>
      <c r="J216" s="69"/>
      <c r="K216" s="69"/>
      <c r="L216" s="69"/>
      <c r="M216" s="69"/>
      <c r="N216" s="67"/>
      <c r="O216" s="70"/>
      <c r="P216" s="69"/>
    </row>
    <row r="217" spans="9:16">
      <c r="I217" s="67"/>
      <c r="J217" s="69"/>
      <c r="K217" s="69"/>
      <c r="L217" s="69"/>
      <c r="M217" s="69"/>
      <c r="N217" s="67"/>
      <c r="O217" s="70"/>
      <c r="P217" s="69"/>
    </row>
    <row r="218" spans="9:16">
      <c r="I218" s="67"/>
      <c r="J218" s="69"/>
      <c r="K218" s="69"/>
      <c r="L218" s="69"/>
      <c r="M218" s="69"/>
      <c r="N218" s="67"/>
      <c r="O218" s="70"/>
      <c r="P218" s="69"/>
    </row>
    <row r="219" spans="9:16">
      <c r="I219" s="67"/>
      <c r="J219" s="69"/>
      <c r="K219" s="69"/>
      <c r="L219" s="69"/>
      <c r="M219" s="69"/>
      <c r="N219" s="67"/>
      <c r="O219" s="70"/>
      <c r="P219" s="69"/>
    </row>
    <row r="220" spans="9:16">
      <c r="I220" s="67"/>
      <c r="J220" s="69"/>
      <c r="K220" s="69"/>
      <c r="L220" s="69"/>
      <c r="M220" s="69"/>
      <c r="N220" s="67"/>
      <c r="O220" s="70"/>
      <c r="P220" s="69"/>
    </row>
    <row r="221" spans="9:16">
      <c r="I221" s="67"/>
      <c r="J221" s="69"/>
      <c r="K221" s="69"/>
      <c r="L221" s="69"/>
      <c r="M221" s="69"/>
      <c r="N221" s="67"/>
      <c r="O221" s="70"/>
      <c r="P221" s="69"/>
    </row>
    <row r="222" spans="9:16">
      <c r="I222" s="67"/>
      <c r="J222" s="69"/>
      <c r="K222" s="69"/>
      <c r="L222" s="69"/>
      <c r="M222" s="69"/>
      <c r="N222" s="67"/>
      <c r="O222" s="70"/>
      <c r="P222" s="69"/>
    </row>
    <row r="223" spans="9:16">
      <c r="I223" s="67"/>
      <c r="J223" s="69"/>
      <c r="K223" s="69"/>
      <c r="L223" s="69"/>
      <c r="M223" s="69"/>
      <c r="N223" s="67"/>
      <c r="O223" s="70"/>
      <c r="P223" s="69"/>
    </row>
    <row r="224" spans="9:16">
      <c r="I224" s="67"/>
      <c r="J224" s="69"/>
      <c r="K224" s="69"/>
      <c r="L224" s="69"/>
      <c r="M224" s="69"/>
      <c r="N224" s="67"/>
      <c r="O224" s="70"/>
      <c r="P224" s="69"/>
    </row>
    <row r="225" spans="9:16">
      <c r="I225" s="67"/>
      <c r="J225" s="69"/>
      <c r="K225" s="69"/>
      <c r="L225" s="69"/>
      <c r="M225" s="69"/>
      <c r="N225" s="67"/>
      <c r="O225" s="70"/>
      <c r="P225" s="69"/>
    </row>
    <row r="226" spans="9:16">
      <c r="I226" s="67"/>
      <c r="J226" s="69"/>
      <c r="K226" s="69"/>
      <c r="L226" s="69"/>
      <c r="M226" s="69"/>
      <c r="N226" s="67"/>
      <c r="O226" s="70"/>
      <c r="P226" s="69"/>
    </row>
    <row r="227" spans="9:16">
      <c r="I227" s="67"/>
      <c r="J227" s="69"/>
      <c r="K227" s="69"/>
      <c r="L227" s="69"/>
      <c r="M227" s="69"/>
      <c r="N227" s="67"/>
      <c r="O227" s="70"/>
      <c r="P227" s="69"/>
    </row>
    <row r="228" spans="9:16">
      <c r="I228" s="67"/>
      <c r="J228" s="69"/>
      <c r="K228" s="69"/>
      <c r="L228" s="69"/>
      <c r="M228" s="69"/>
      <c r="N228" s="67"/>
      <c r="O228" s="70"/>
      <c r="P228" s="69"/>
    </row>
    <row r="229" spans="9:16">
      <c r="I229" s="67"/>
      <c r="J229" s="69"/>
      <c r="K229" s="69"/>
      <c r="L229" s="69"/>
      <c r="M229" s="69"/>
      <c r="N229" s="67"/>
      <c r="O229" s="70"/>
      <c r="P229" s="69"/>
    </row>
    <row r="230" spans="9:16">
      <c r="I230" s="67"/>
      <c r="J230" s="69"/>
      <c r="K230" s="69"/>
      <c r="L230" s="69"/>
      <c r="M230" s="69"/>
      <c r="N230" s="67"/>
      <c r="O230" s="70"/>
      <c r="P230" s="69"/>
    </row>
    <row r="231" spans="9:16">
      <c r="I231" s="67"/>
      <c r="J231" s="69"/>
      <c r="K231" s="69"/>
      <c r="L231" s="69"/>
      <c r="M231" s="69"/>
      <c r="N231" s="67"/>
      <c r="O231" s="70"/>
      <c r="P231" s="69"/>
    </row>
    <row r="232" spans="9:16">
      <c r="I232" s="67"/>
      <c r="J232" s="69"/>
      <c r="K232" s="69"/>
      <c r="L232" s="69"/>
      <c r="M232" s="69"/>
      <c r="N232" s="67"/>
      <c r="O232" s="70"/>
      <c r="P232" s="69"/>
    </row>
    <row r="233" spans="9:16">
      <c r="I233" s="67"/>
      <c r="J233" s="69"/>
      <c r="K233" s="69"/>
      <c r="L233" s="69"/>
      <c r="M233" s="69"/>
      <c r="N233" s="67"/>
      <c r="O233" s="70"/>
      <c r="P233" s="69"/>
    </row>
  </sheetData>
  <mergeCells count="45">
    <mergeCell ref="K52:L52"/>
    <mergeCell ref="K47:L47"/>
    <mergeCell ref="A54:H54"/>
    <mergeCell ref="I49:I53"/>
    <mergeCell ref="A49:A53"/>
    <mergeCell ref="C52:D52"/>
    <mergeCell ref="C53:D53"/>
    <mergeCell ref="C51:D51"/>
    <mergeCell ref="C49:D49"/>
    <mergeCell ref="I54:P54"/>
    <mergeCell ref="K53:L53"/>
    <mergeCell ref="K51:L51"/>
    <mergeCell ref="C50:D50"/>
    <mergeCell ref="A1:P1"/>
    <mergeCell ref="A3:B3"/>
    <mergeCell ref="K44:M44"/>
    <mergeCell ref="I43:P43"/>
    <mergeCell ref="N44:P44"/>
    <mergeCell ref="K38:P38"/>
    <mergeCell ref="A44:A48"/>
    <mergeCell ref="C44:E44"/>
    <mergeCell ref="C46:E46"/>
    <mergeCell ref="C45:E45"/>
    <mergeCell ref="K46:L46"/>
    <mergeCell ref="F45:H45"/>
    <mergeCell ref="K45:L45"/>
    <mergeCell ref="Q49:R49"/>
    <mergeCell ref="Q48:R48"/>
    <mergeCell ref="K49:L49"/>
    <mergeCell ref="K50:L50"/>
    <mergeCell ref="F48:H48"/>
    <mergeCell ref="K48:L48"/>
    <mergeCell ref="U3:V3"/>
    <mergeCell ref="Q3:T3"/>
    <mergeCell ref="F44:H44"/>
    <mergeCell ref="C4:D4"/>
    <mergeCell ref="K4:L4"/>
    <mergeCell ref="D3:H3"/>
    <mergeCell ref="I3:J3"/>
    <mergeCell ref="K3:P3"/>
    <mergeCell ref="I44:I48"/>
    <mergeCell ref="F46:H46"/>
    <mergeCell ref="F47:H47"/>
    <mergeCell ref="C47:E47"/>
    <mergeCell ref="C48:E48"/>
  </mergeCells>
  <phoneticPr fontId="2" type="noConversion"/>
  <printOptions horizontalCentered="1"/>
  <pageMargins left="0" right="0" top="0.19685039370078741" bottom="0.19685039370078741" header="0.23622047244094491" footer="0.23622047244094491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2"/>
  <dimension ref="A1:AC233"/>
  <sheetViews>
    <sheetView showGridLines="0" showZeros="0" workbookViewId="0">
      <selection activeCell="V5" sqref="V5:V37"/>
    </sheetView>
  </sheetViews>
  <sheetFormatPr defaultRowHeight="20.25"/>
  <cols>
    <col min="1" max="1" width="6.7109375" style="74" customWidth="1"/>
    <col min="2" max="2" width="13.140625" style="74" customWidth="1"/>
    <col min="3" max="3" width="2.7109375" style="74" customWidth="1"/>
    <col min="4" max="4" width="5.28515625" style="74" customWidth="1"/>
    <col min="5" max="6" width="7.7109375" style="74" customWidth="1"/>
    <col min="7" max="7" width="10.7109375" style="74" hidden="1" customWidth="1"/>
    <col min="8" max="8" width="7.7109375" style="74" customWidth="1"/>
    <col min="9" max="9" width="6.7109375" style="74" customWidth="1"/>
    <col min="10" max="10" width="14.7109375" style="16" customWidth="1"/>
    <col min="11" max="11" width="2.7109375" style="16" customWidth="1"/>
    <col min="12" max="12" width="6.7109375" style="16" customWidth="1"/>
    <col min="13" max="13" width="6.28515625" style="16" customWidth="1"/>
    <col min="14" max="14" width="6.28515625" style="74" customWidth="1"/>
    <col min="15" max="15" width="12.28515625" style="75" hidden="1" customWidth="1"/>
    <col min="16" max="16" width="8.5703125" style="16" customWidth="1"/>
    <col min="17" max="17" width="8.5703125" style="14" bestFit="1" customWidth="1"/>
    <col min="18" max="18" width="8.5703125" style="15" bestFit="1" customWidth="1"/>
    <col min="19" max="19" width="4.7109375" style="16" bestFit="1" customWidth="1"/>
    <col min="20" max="20" width="3.85546875" style="16" bestFit="1" customWidth="1"/>
    <col min="21" max="22" width="5.7109375" style="17" bestFit="1" customWidth="1"/>
    <col min="23" max="23" width="9.140625" style="18"/>
    <col min="24" max="24" width="0" style="18" hidden="1" customWidth="1"/>
    <col min="25" max="25" width="0" style="17" hidden="1" customWidth="1"/>
    <col min="26" max="29" width="5.7109375" style="16" hidden="1" customWidth="1"/>
    <col min="30" max="71" width="0" style="17" hidden="1" customWidth="1"/>
    <col min="72" max="16384" width="9.140625" style="17"/>
  </cols>
  <sheetData>
    <row r="1" spans="1:29" ht="33.75">
      <c r="A1" s="303" t="s">
        <v>282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</row>
    <row r="2" spans="1:29" ht="31.5">
      <c r="A2" s="118"/>
      <c r="B2" s="118"/>
      <c r="C2" s="118"/>
      <c r="D2" s="118"/>
      <c r="E2" s="118"/>
      <c r="F2" s="118"/>
      <c r="G2" s="118"/>
      <c r="H2" s="118"/>
      <c r="J2" s="119"/>
      <c r="K2" s="119"/>
      <c r="L2" s="119"/>
      <c r="M2" s="119"/>
      <c r="N2" s="119"/>
      <c r="O2" s="119"/>
      <c r="P2" s="119"/>
    </row>
    <row r="3" spans="1:29" ht="23.25" thickBot="1">
      <c r="A3" s="304" t="s">
        <v>283</v>
      </c>
      <c r="B3" s="304"/>
      <c r="C3" s="208"/>
      <c r="D3" s="279">
        <f>'[1]1'!D3+1</f>
        <v>41583</v>
      </c>
      <c r="E3" s="279"/>
      <c r="F3" s="279"/>
      <c r="G3" s="279"/>
      <c r="H3" s="279"/>
      <c r="I3" s="280" t="str">
        <f>IF(WEEKDAY(D3,2)=7,"星期日",IF(WEEKDAY(D3,2)=6,"星期六",IF(WEEKDAY(D3,2)=5,"星期五",IF(WEEKDAY(D3,2)=4,"星期四",IF(WEEKDAY(D3,2)=3,"星期三",IF(WEEKDAY(D3,2)=2,"星期二",IF(WEEKDAY(D3,2)=1,"星期一",WEEKDAY(D3,2))))))))</f>
        <v>星期二</v>
      </c>
      <c r="J3" s="280"/>
      <c r="K3" s="281">
        <f>D3-40908-366</f>
        <v>309</v>
      </c>
      <c r="L3" s="281"/>
      <c r="M3" s="281"/>
      <c r="N3" s="281"/>
      <c r="O3" s="281"/>
      <c r="P3" s="281"/>
      <c r="Q3" s="273" t="s">
        <v>284</v>
      </c>
      <c r="R3" s="273"/>
      <c r="S3" s="273"/>
      <c r="T3" s="273"/>
      <c r="U3" s="272" t="s">
        <v>285</v>
      </c>
      <c r="V3" s="272"/>
    </row>
    <row r="4" spans="1:29" s="31" customFormat="1" ht="13.5" thickTop="1" thickBot="1">
      <c r="A4" s="19" t="s">
        <v>286</v>
      </c>
      <c r="B4" s="20" t="s">
        <v>287</v>
      </c>
      <c r="C4" s="277" t="s">
        <v>288</v>
      </c>
      <c r="D4" s="278"/>
      <c r="E4" s="20" t="s">
        <v>289</v>
      </c>
      <c r="F4" s="20" t="s">
        <v>291</v>
      </c>
      <c r="G4" s="21"/>
      <c r="H4" s="214" t="s">
        <v>292</v>
      </c>
      <c r="I4" s="22" t="s">
        <v>286</v>
      </c>
      <c r="J4" s="23" t="s">
        <v>293</v>
      </c>
      <c r="K4" s="277" t="s">
        <v>288</v>
      </c>
      <c r="L4" s="278"/>
      <c r="M4" s="24" t="s">
        <v>289</v>
      </c>
      <c r="N4" s="23" t="s">
        <v>291</v>
      </c>
      <c r="O4" s="25"/>
      <c r="P4" s="26" t="s">
        <v>292</v>
      </c>
      <c r="Q4" s="27" t="s">
        <v>294</v>
      </c>
      <c r="R4" s="28" t="s">
        <v>295</v>
      </c>
      <c r="S4" s="29" t="s">
        <v>296</v>
      </c>
      <c r="T4" s="29" t="s">
        <v>298</v>
      </c>
      <c r="U4" s="27" t="s">
        <v>294</v>
      </c>
      <c r="V4" s="28" t="s">
        <v>295</v>
      </c>
      <c r="W4" s="30"/>
      <c r="X4" s="30"/>
      <c r="Z4" s="71"/>
      <c r="AA4" s="71"/>
      <c r="AB4" s="71"/>
      <c r="AC4" s="71"/>
    </row>
    <row r="5" spans="1:29" s="31" customFormat="1" ht="13.5" thickTop="1" thickBot="1">
      <c r="A5" s="32">
        <v>270043</v>
      </c>
      <c r="B5" s="199" t="str">
        <f>IF(A5=0,0,VLOOKUP(A5,'00'!$A$1:$F$65536,2,0))</f>
        <v>DJS601(1)出片</v>
      </c>
      <c r="C5" s="5">
        <v>1</v>
      </c>
      <c r="D5" s="3" t="str">
        <f>IF(C5=0,0,VLOOKUP(C5,'01'!$A$2:$B$98,2,0))</f>
        <v>炼胶</v>
      </c>
      <c r="E5" s="12">
        <v>1</v>
      </c>
      <c r="F5" s="33" t="s">
        <v>299</v>
      </c>
      <c r="G5" s="34">
        <f t="shared" ref="G5:G37" si="0">IF(F5="中",1,IF(F5="夜",1000000,IF(F5="早",1000000000000,0)))</f>
        <v>1000000000000</v>
      </c>
      <c r="H5" s="270">
        <f>IF(A5=0,0,VLOOKUP(A5,'00'!$A:$F,4,0))</f>
        <v>1082518</v>
      </c>
      <c r="I5" s="9">
        <v>270098</v>
      </c>
      <c r="J5" s="34" t="str">
        <f>IF(I5=0,0,VLOOKUP(I5,'00'!$A$1:$F$65536,2,0))</f>
        <v>DJS601薄片</v>
      </c>
      <c r="K5" s="10">
        <v>20</v>
      </c>
      <c r="L5" s="11" t="str">
        <f>IF(K5=0,0,VLOOKUP(K5,'01'!$A$2:$B$98,2,0))</f>
        <v>约定</v>
      </c>
      <c r="M5" s="13"/>
      <c r="N5" s="33" t="s">
        <v>299</v>
      </c>
      <c r="O5" s="35">
        <f t="shared" ref="O5:O37" si="1">IF(N5="中",1,IF(N5="夜",10000,IF(N5="日",100000000,0)))</f>
        <v>0</v>
      </c>
      <c r="P5" s="36">
        <f>IF(I5=0,0,VLOOKUP(I5,'00'!$A:$F,4,0))</f>
        <v>1082522</v>
      </c>
      <c r="Q5" s="37">
        <f>IF(A5=0,0,VLOOKUP(A5,'00'!$A$1:$F$65536,5,0))</f>
        <v>172.51</v>
      </c>
      <c r="R5" s="37">
        <f>IF(A5=0,0,VLOOKUP(A5,'00'!$A$1:$G$65536,6,0))</f>
        <v>5.5</v>
      </c>
      <c r="S5" s="38">
        <f t="shared" ref="S5:S37" si="2">IF(A5=270278,1,IF(RIGHT(B5,3)="(0)",1,0))</f>
        <v>0</v>
      </c>
      <c r="T5" s="38">
        <f t="shared" ref="T5:T37" si="3">IF(G5=0,1,0)</f>
        <v>0</v>
      </c>
      <c r="U5" s="37">
        <f>IF(I5=0,0,VLOOKUP(I5,'00'!$A:$F,5,0))+X5</f>
        <v>0</v>
      </c>
      <c r="V5" s="37">
        <f>IF(I5=0,0,VLOOKUP(I5,'00'!$A$1:$F$65536,6,0))</f>
        <v>1.5</v>
      </c>
      <c r="W5" s="37"/>
      <c r="X5" s="30">
        <f t="shared" ref="X5:X37" si="4">IF(K5=9,125,0)</f>
        <v>0</v>
      </c>
      <c r="Y5" s="31">
        <f t="shared" ref="Y5:Y37" si="5">E5*R5</f>
        <v>5.5</v>
      </c>
      <c r="Z5" s="71">
        <f>+E5*Q5</f>
        <v>172.51</v>
      </c>
      <c r="AA5" s="71">
        <f>+S5*Z5</f>
        <v>0</v>
      </c>
      <c r="AB5" s="71">
        <f>+Z5-AA5</f>
        <v>172.51</v>
      </c>
      <c r="AC5" s="71"/>
    </row>
    <row r="6" spans="1:29" s="31" customFormat="1" ht="13.5" thickTop="1" thickBot="1">
      <c r="A6" s="32">
        <v>270037</v>
      </c>
      <c r="B6" s="199" t="str">
        <f>IF(A6=0,0,VLOOKUP(A6,'00'!$A$1:$F$65536,2,0))</f>
        <v>SES372(1)</v>
      </c>
      <c r="C6" s="5">
        <v>2</v>
      </c>
      <c r="D6" s="3" t="str">
        <f>IF(C6=0,0,VLOOKUP(C6,'01'!$A$2:$B$98,2,0))</f>
        <v>挤出</v>
      </c>
      <c r="E6" s="12">
        <v>10</v>
      </c>
      <c r="F6" s="33" t="s">
        <v>299</v>
      </c>
      <c r="G6" s="34">
        <f t="shared" si="0"/>
        <v>1000000000000</v>
      </c>
      <c r="H6" s="270">
        <f>IF(A6=0,0,VLOOKUP(A6,'00'!$A:$F,4,0))</f>
        <v>1082506</v>
      </c>
      <c r="I6" s="32">
        <v>270143</v>
      </c>
      <c r="J6" s="34" t="str">
        <f>IF(I6=0,0,VLOOKUP(I6,'00'!$A$1:$F$65536,2,0))</f>
        <v>DJS702(1)</v>
      </c>
      <c r="K6" s="34">
        <v>12</v>
      </c>
      <c r="L6" s="7" t="str">
        <f>IF(K6=0,0,VLOOKUP(K6,'01'!$A$2:$B$98,2,0))</f>
        <v>申舒窄</v>
      </c>
      <c r="M6" s="39">
        <v>2</v>
      </c>
      <c r="N6" s="40" t="s">
        <v>57</v>
      </c>
      <c r="O6" s="41">
        <f t="shared" si="1"/>
        <v>0</v>
      </c>
      <c r="P6" s="42">
        <f>IF(I6=0,0,VLOOKUP(I6,'00'!$A:$F,4,0))</f>
        <v>1082516</v>
      </c>
      <c r="Q6" s="37">
        <f>IF(A6=0,0,VLOOKUP(A6,'00'!$A$1:$F$65536,5,0))</f>
        <v>175.5</v>
      </c>
      <c r="R6" s="37">
        <f>IF(A6=0,0,VLOOKUP(A6,'00'!$A$1:$G$65536,6,0))</f>
        <v>5.7</v>
      </c>
      <c r="S6" s="38">
        <f t="shared" si="2"/>
        <v>0</v>
      </c>
      <c r="T6" s="38">
        <f t="shared" si="3"/>
        <v>0</v>
      </c>
      <c r="U6" s="37">
        <f>IF(I6=0,0,VLOOKUP(I6,'00'!$A:$F,5,0))+X6</f>
        <v>37</v>
      </c>
      <c r="V6" s="37">
        <f>IF(I6=0,0,VLOOKUP(I6,'00'!$A$1:$F$65536,6,0))</f>
        <v>15</v>
      </c>
      <c r="W6" s="30"/>
      <c r="X6" s="30">
        <f t="shared" si="4"/>
        <v>0</v>
      </c>
      <c r="Y6" s="31">
        <f t="shared" si="5"/>
        <v>57</v>
      </c>
      <c r="Z6" s="71">
        <f t="shared" ref="Z6:Z37" si="6">+E6*Q6</f>
        <v>1755</v>
      </c>
      <c r="AA6" s="71">
        <f t="shared" ref="AA6:AA37" si="7">+S6*Z6</f>
        <v>0</v>
      </c>
      <c r="AB6" s="71">
        <f t="shared" ref="AB6:AB37" si="8">+Z6-AA6</f>
        <v>1755</v>
      </c>
      <c r="AC6" s="71">
        <f>+U6*M6</f>
        <v>74</v>
      </c>
    </row>
    <row r="7" spans="1:29" s="31" customFormat="1" ht="13.5" thickTop="1" thickBot="1">
      <c r="A7" s="32">
        <v>270036</v>
      </c>
      <c r="B7" s="199" t="str">
        <f>IF(A7=0,0,VLOOKUP(A7,'00'!$A$1:$F$65536,2,0))</f>
        <v>SES311(1)</v>
      </c>
      <c r="C7" s="5">
        <v>2</v>
      </c>
      <c r="D7" s="3" t="str">
        <f>IF(C7=0,0,VLOOKUP(C7,'01'!$A$2:$B$98,2,0))</f>
        <v>挤出</v>
      </c>
      <c r="E7" s="12">
        <v>10</v>
      </c>
      <c r="F7" s="33" t="s">
        <v>299</v>
      </c>
      <c r="G7" s="34">
        <f t="shared" si="0"/>
        <v>1000000000000</v>
      </c>
      <c r="H7" s="270">
        <f>IF(A7=0,0,VLOOKUP(A7,'00'!$A:$F,4,0))</f>
        <v>1082503</v>
      </c>
      <c r="I7" s="32">
        <v>270143</v>
      </c>
      <c r="J7" s="34" t="str">
        <f>IF(I7=0,0,VLOOKUP(I7,'00'!$A$1:$F$65536,2,0))</f>
        <v>DJS702(1)</v>
      </c>
      <c r="K7" s="34">
        <v>10</v>
      </c>
      <c r="L7" s="7" t="str">
        <f>IF(K7=0,0,VLOOKUP(K7,'01'!$A$2:$B$98,2,0))</f>
        <v>申舒</v>
      </c>
      <c r="M7" s="39">
        <v>15</v>
      </c>
      <c r="N7" s="40" t="s">
        <v>57</v>
      </c>
      <c r="O7" s="41">
        <f t="shared" si="1"/>
        <v>0</v>
      </c>
      <c r="P7" s="42">
        <f>IF(I7=0,0,VLOOKUP(I7,'00'!$A:$F,4,0))</f>
        <v>1082516</v>
      </c>
      <c r="Q7" s="37">
        <f>IF(A7=0,0,VLOOKUP(A7,'00'!$A$1:$F$65536,5,0))</f>
        <v>175.5</v>
      </c>
      <c r="R7" s="37">
        <f>IF(A7=0,0,VLOOKUP(A7,'00'!$A$1:$G$65536,6,0))</f>
        <v>6</v>
      </c>
      <c r="S7" s="38">
        <f t="shared" si="2"/>
        <v>0</v>
      </c>
      <c r="T7" s="38">
        <f t="shared" si="3"/>
        <v>0</v>
      </c>
      <c r="U7" s="37">
        <f>IF(I7=0,0,VLOOKUP(I7,'00'!$A:$F,5,0))+X7</f>
        <v>37</v>
      </c>
      <c r="V7" s="37">
        <f>IF(I7=0,0,VLOOKUP(I7,'00'!$A$1:$F$65536,6,0))</f>
        <v>15</v>
      </c>
      <c r="W7" s="30"/>
      <c r="X7" s="30">
        <f t="shared" si="4"/>
        <v>0</v>
      </c>
      <c r="Y7" s="31">
        <f t="shared" si="5"/>
        <v>60</v>
      </c>
      <c r="Z7" s="71">
        <f t="shared" si="6"/>
        <v>1755</v>
      </c>
      <c r="AA7" s="71">
        <f t="shared" si="7"/>
        <v>0</v>
      </c>
      <c r="AB7" s="71">
        <f t="shared" si="8"/>
        <v>1755</v>
      </c>
      <c r="AC7" s="71">
        <f t="shared" ref="AC7:AC37" si="9">+U7*M7</f>
        <v>555</v>
      </c>
    </row>
    <row r="8" spans="1:29" s="31" customFormat="1" ht="13.5" thickTop="1" thickBot="1">
      <c r="A8" s="32">
        <v>270232</v>
      </c>
      <c r="B8" s="199" t="str">
        <f>IF(A8=0,0,VLOOKUP(A8,'00'!$A$1:$F$65536,2,0))</f>
        <v>SES401(1)二段</v>
      </c>
      <c r="C8" s="5">
        <v>2</v>
      </c>
      <c r="D8" s="3" t="str">
        <f>IF(C8=0,0,VLOOKUP(C8,'01'!$A$2:$B$98,2,0))</f>
        <v>挤出</v>
      </c>
      <c r="E8" s="12">
        <v>30</v>
      </c>
      <c r="F8" s="33" t="s">
        <v>299</v>
      </c>
      <c r="G8" s="34">
        <f t="shared" si="0"/>
        <v>1000000000000</v>
      </c>
      <c r="H8" s="270">
        <f>IF(A8=0,0,VLOOKUP(A8,'00'!$A:$F,4,0))</f>
        <v>1082509</v>
      </c>
      <c r="I8" s="32">
        <v>270047</v>
      </c>
      <c r="J8" s="34" t="str">
        <f>IF(I8=0,0,VLOOKUP(I8,'00'!$A$1:$F$65536,2,0))</f>
        <v>DJS801(1)</v>
      </c>
      <c r="K8" s="34">
        <v>10</v>
      </c>
      <c r="L8" s="7" t="str">
        <f>IF(K8=0,0,VLOOKUP(K8,'01'!$A$2:$B$98,2,0))</f>
        <v>申舒</v>
      </c>
      <c r="M8" s="39">
        <v>1</v>
      </c>
      <c r="N8" s="40" t="s">
        <v>57</v>
      </c>
      <c r="O8" s="35">
        <f t="shared" si="1"/>
        <v>0</v>
      </c>
      <c r="P8" s="43">
        <f>IF(I8=0,0,VLOOKUP(I8,'00'!$A:$F,4,0))</f>
        <v>1082512</v>
      </c>
      <c r="Q8" s="37">
        <f>IF(A8=0,0,VLOOKUP(A8,'00'!$A$1:$F$65536,5,0))</f>
        <v>144.5</v>
      </c>
      <c r="R8" s="37">
        <f>IF(A8=0,0,VLOOKUP(A8,'00'!$A$1:$G$65536,6,0))</f>
        <v>4</v>
      </c>
      <c r="S8" s="38">
        <f t="shared" si="2"/>
        <v>0</v>
      </c>
      <c r="T8" s="38">
        <f t="shared" si="3"/>
        <v>0</v>
      </c>
      <c r="U8" s="37">
        <f>IF(I8=0,0,VLOOKUP(I8,'00'!$A:$F,5,0))+X8</f>
        <v>37</v>
      </c>
      <c r="V8" s="37">
        <f>IF(I8=0,0,VLOOKUP(I8,'00'!$A$1:$F$65536,6,0))</f>
        <v>15</v>
      </c>
      <c r="W8" s="30"/>
      <c r="X8" s="30">
        <f t="shared" si="4"/>
        <v>0</v>
      </c>
      <c r="Y8" s="31">
        <f t="shared" si="5"/>
        <v>120</v>
      </c>
      <c r="Z8" s="71">
        <f t="shared" si="6"/>
        <v>4335</v>
      </c>
      <c r="AA8" s="71">
        <f t="shared" si="7"/>
        <v>0</v>
      </c>
      <c r="AB8" s="71">
        <f t="shared" si="8"/>
        <v>4335</v>
      </c>
      <c r="AC8" s="71">
        <f t="shared" si="9"/>
        <v>37</v>
      </c>
    </row>
    <row r="9" spans="1:29" s="31" customFormat="1" ht="13.5" thickTop="1" thickBot="1">
      <c r="A9" s="32" t="s">
        <v>66</v>
      </c>
      <c r="B9" s="199" t="str">
        <f>IF(A9=0,0,VLOOKUP(A9,'00'!$A$1:$F$65536,2,0))</f>
        <v>CLEAN</v>
      </c>
      <c r="C9" s="5">
        <v>1</v>
      </c>
      <c r="D9" s="3" t="str">
        <f>IF(C9=0,0,VLOOKUP(C9,'01'!$A$2:$B$98,2,0))</f>
        <v>炼胶</v>
      </c>
      <c r="E9" s="12">
        <v>1</v>
      </c>
      <c r="F9" s="33" t="s">
        <v>299</v>
      </c>
      <c r="G9" s="34">
        <f t="shared" si="0"/>
        <v>1000000000000</v>
      </c>
      <c r="H9" s="270">
        <f>IF(A9=0,0,VLOOKUP(A9,'00'!$A:$F,4,0))</f>
        <v>0</v>
      </c>
      <c r="I9" s="32">
        <v>270032</v>
      </c>
      <c r="J9" s="34" t="str">
        <f>IF(I9=0,0,VLOOKUP(I9,'00'!$A$1:$F$65536,2,0))</f>
        <v>SJS191(1)</v>
      </c>
      <c r="K9" s="34">
        <v>7</v>
      </c>
      <c r="L9" s="7" t="str">
        <f>IF(K9=0,0,VLOOKUP(K9,'01'!$A$2:$B$98,2,0))</f>
        <v>申翔</v>
      </c>
      <c r="M9" s="39">
        <v>4</v>
      </c>
      <c r="N9" s="40" t="s">
        <v>57</v>
      </c>
      <c r="O9" s="35">
        <f t="shared" si="1"/>
        <v>0</v>
      </c>
      <c r="P9" s="43">
        <f>IF(I9=0,0,VLOOKUP(I9,'00'!$A:$F,4,0))</f>
        <v>1082521</v>
      </c>
      <c r="Q9" s="37">
        <f>IF(A9=0,0,VLOOKUP(A9,'00'!$A$1:$F$65536,5,0))</f>
        <v>0</v>
      </c>
      <c r="R9" s="37">
        <f>IF(A9=0,0,VLOOKUP(A9,'00'!$A$1:$G$65536,6,0))</f>
        <v>0</v>
      </c>
      <c r="S9" s="38">
        <f t="shared" si="2"/>
        <v>0</v>
      </c>
      <c r="T9" s="38">
        <f t="shared" si="3"/>
        <v>0</v>
      </c>
      <c r="U9" s="37">
        <f>IF(I9=0,0,VLOOKUP(I9,'00'!$A:$F,5,0))+X9</f>
        <v>37</v>
      </c>
      <c r="V9" s="37">
        <f>IF(I9=0,0,VLOOKUP(I9,'00'!$A$1:$F$65536,6,0))</f>
        <v>15</v>
      </c>
      <c r="W9" s="30"/>
      <c r="X9" s="30">
        <f t="shared" si="4"/>
        <v>0</v>
      </c>
      <c r="Y9" s="31">
        <f t="shared" si="5"/>
        <v>0</v>
      </c>
      <c r="Z9" s="71">
        <f t="shared" si="6"/>
        <v>0</v>
      </c>
      <c r="AA9" s="71">
        <f t="shared" si="7"/>
        <v>0</v>
      </c>
      <c r="AB9" s="71">
        <f t="shared" si="8"/>
        <v>0</v>
      </c>
      <c r="AC9" s="71">
        <f t="shared" si="9"/>
        <v>148</v>
      </c>
    </row>
    <row r="10" spans="1:29" s="31" customFormat="1" ht="13.5" thickTop="1" thickBot="1">
      <c r="A10" s="152">
        <v>270018</v>
      </c>
      <c r="B10" s="199" t="str">
        <f>IF(A10=0,0,VLOOKUP(A10,'00'!$A$1:$F$65536,2,0))</f>
        <v>DEC601(1)</v>
      </c>
      <c r="C10" s="5">
        <v>2</v>
      </c>
      <c r="D10" s="3" t="str">
        <f>IF(C10=0,0,VLOOKUP(C10,'01'!$A$2:$B$98,2,0))</f>
        <v>挤出</v>
      </c>
      <c r="E10" s="12">
        <v>30</v>
      </c>
      <c r="F10" s="33" t="s">
        <v>299</v>
      </c>
      <c r="G10" s="34">
        <f t="shared" si="0"/>
        <v>1000000000000</v>
      </c>
      <c r="H10" s="270">
        <f>IF(A10=0,0,VLOOKUP(A10,'00'!$A:$F,4,0))</f>
        <v>1082500</v>
      </c>
      <c r="I10" s="32">
        <v>270041</v>
      </c>
      <c r="J10" s="34" t="str">
        <f>IF(I10=0,0,VLOOKUP(I10,'00'!$A$1:$F$65536,2,0))</f>
        <v>DJS401(1)</v>
      </c>
      <c r="K10" s="34">
        <v>7</v>
      </c>
      <c r="L10" s="7" t="str">
        <f>IF(K10=0,0,VLOOKUP(K10,'01'!$A$2:$B$98,2,0))</f>
        <v>申翔</v>
      </c>
      <c r="M10" s="39">
        <v>1</v>
      </c>
      <c r="N10" s="44" t="s">
        <v>57</v>
      </c>
      <c r="O10" s="35">
        <f t="shared" si="1"/>
        <v>0</v>
      </c>
      <c r="P10" s="45">
        <f>IF(I10=0,0,VLOOKUP(I10,'00'!$A:$F,4,0))</f>
        <v>1082520</v>
      </c>
      <c r="Q10" s="37">
        <f>IF(A10=0,0,VLOOKUP(A10,'00'!$A$1:$F$65536,5,0))</f>
        <v>165</v>
      </c>
      <c r="R10" s="37">
        <f>IF(A10=0,0,VLOOKUP(A10,'00'!$A$1:$G$65536,6,0))</f>
        <v>5.2</v>
      </c>
      <c r="S10" s="38">
        <f>IF(A10=270278,1,IF(RIGHT(B10,3)="(0)",1,0))</f>
        <v>0</v>
      </c>
      <c r="T10" s="38">
        <f t="shared" si="3"/>
        <v>0</v>
      </c>
      <c r="U10" s="37">
        <f>IF(I10=0,0,VLOOKUP(I10,'00'!$A:$F,5,0))+X10</f>
        <v>37</v>
      </c>
      <c r="V10" s="37">
        <f>IF(I10=0,0,VLOOKUP(I10,'00'!$A$1:$F$65536,6,0))</f>
        <v>15</v>
      </c>
      <c r="W10" s="30"/>
      <c r="X10" s="30">
        <f t="shared" si="4"/>
        <v>0</v>
      </c>
      <c r="Y10" s="31">
        <f t="shared" si="5"/>
        <v>156</v>
      </c>
      <c r="Z10" s="71">
        <f t="shared" si="6"/>
        <v>4950</v>
      </c>
      <c r="AA10" s="71">
        <f t="shared" si="7"/>
        <v>0</v>
      </c>
      <c r="AB10" s="71">
        <f t="shared" si="8"/>
        <v>4950</v>
      </c>
      <c r="AC10" s="71">
        <f t="shared" si="9"/>
        <v>37</v>
      </c>
    </row>
    <row r="11" spans="1:29" s="31" customFormat="1" ht="13.5" thickTop="1" thickBot="1">
      <c r="A11" s="32">
        <v>270437</v>
      </c>
      <c r="B11" s="199" t="str">
        <f>IF(A11=0,0,VLOOKUP(A11,'00'!$A$1:$F$65536,2,0))</f>
        <v>DEM651(1)</v>
      </c>
      <c r="C11" s="5">
        <v>2</v>
      </c>
      <c r="D11" s="3" t="str">
        <f>IF(C11=0,0,VLOOKUP(C11,'01'!$A$2:$B$98,2,0))</f>
        <v>挤出</v>
      </c>
      <c r="E11" s="12">
        <v>6</v>
      </c>
      <c r="F11" s="33" t="s">
        <v>299</v>
      </c>
      <c r="G11" s="34">
        <f t="shared" si="0"/>
        <v>1000000000000</v>
      </c>
      <c r="H11" s="270" t="e">
        <f>IF(A11=0,0,VLOOKUP(A11,'00'!$A:$F,4,0))</f>
        <v>#N/A</v>
      </c>
      <c r="I11" s="32">
        <v>270489</v>
      </c>
      <c r="J11" s="34" t="str">
        <f>IF(I11=0,0,VLOOKUP(I11,'00'!$A$1:$F$65536,2,0))</f>
        <v>SJS192(1)</v>
      </c>
      <c r="K11" s="34">
        <v>6</v>
      </c>
      <c r="L11" s="7" t="str">
        <f>IF(K11=0,0,VLOOKUP(K11,'01'!$A$2:$B$98,2,0))</f>
        <v>工</v>
      </c>
      <c r="M11" s="39">
        <v>1</v>
      </c>
      <c r="N11" s="46" t="s">
        <v>57</v>
      </c>
      <c r="O11" s="47">
        <f t="shared" si="1"/>
        <v>0</v>
      </c>
      <c r="P11" s="48" t="e">
        <f>IF(I11=0,0,VLOOKUP(I11,'00'!$A:$F,4,0))</f>
        <v>#N/A</v>
      </c>
      <c r="Q11" s="37">
        <f>IF(A11=0,0,VLOOKUP(A11,'00'!$A$1:$F$65536,5,0))</f>
        <v>160</v>
      </c>
      <c r="R11" s="37">
        <f>IF(A11=0,0,VLOOKUP(A11,'00'!$A$1:$G$65536,6,0))</f>
        <v>5.5</v>
      </c>
      <c r="S11" s="38">
        <f t="shared" si="2"/>
        <v>0</v>
      </c>
      <c r="T11" s="38">
        <f t="shared" si="3"/>
        <v>0</v>
      </c>
      <c r="U11" s="37">
        <f>IF(I11=0,0,VLOOKUP(I11,'00'!$A:$F,5,0))+X11</f>
        <v>38.6</v>
      </c>
      <c r="V11" s="37">
        <f>IF(I11=0,0,VLOOKUP(I11,'00'!$A$1:$F$65536,6,0))</f>
        <v>15</v>
      </c>
      <c r="W11" s="30"/>
      <c r="X11" s="30">
        <f t="shared" si="4"/>
        <v>0</v>
      </c>
      <c r="Y11" s="31">
        <f t="shared" si="5"/>
        <v>33</v>
      </c>
      <c r="Z11" s="71">
        <f t="shared" si="6"/>
        <v>960</v>
      </c>
      <c r="AA11" s="71">
        <f t="shared" si="7"/>
        <v>0</v>
      </c>
      <c r="AB11" s="71">
        <f t="shared" si="8"/>
        <v>960</v>
      </c>
      <c r="AC11" s="71">
        <f t="shared" si="9"/>
        <v>38.6</v>
      </c>
    </row>
    <row r="12" spans="1:29" s="31" customFormat="1" ht="13.5" thickTop="1" thickBot="1">
      <c r="A12" s="32">
        <v>270017</v>
      </c>
      <c r="B12" s="233" t="str">
        <f>IF(A12=0,0,VLOOKUP(A12,'00'!$A$1:$F$65536,2,0))</f>
        <v>DES601(1)</v>
      </c>
      <c r="C12" s="5">
        <v>2</v>
      </c>
      <c r="D12" s="3" t="str">
        <f>IF(C12=0,0,VLOOKUP(C12,'01'!$A$2:$B$98,2,0))</f>
        <v>挤出</v>
      </c>
      <c r="E12" s="12">
        <v>3</v>
      </c>
      <c r="F12" s="33" t="s">
        <v>299</v>
      </c>
      <c r="G12" s="33" t="s">
        <v>299</v>
      </c>
      <c r="H12" s="270">
        <f>IF(A12=0,0,VLOOKUP(A12,'00'!$A:$F,4,0))</f>
        <v>1082497</v>
      </c>
      <c r="I12" s="32"/>
      <c r="J12" s="34">
        <f>IF(I12=0,0,VLOOKUP(I12,'00'!$A$1:$F$65536,2,0))</f>
        <v>0</v>
      </c>
      <c r="K12" s="34"/>
      <c r="L12" s="8">
        <f>IF(K12=0,0,VLOOKUP(K12,'01'!$A$2:$B$98,2,0))</f>
        <v>0</v>
      </c>
      <c r="M12" s="39"/>
      <c r="N12" s="49" t="s">
        <v>57</v>
      </c>
      <c r="O12" s="50">
        <f t="shared" si="1"/>
        <v>0</v>
      </c>
      <c r="P12" s="51">
        <f>IF(I12=0,0,VLOOKUP(I12,'00'!$A:$F,4,0))</f>
        <v>0</v>
      </c>
      <c r="Q12" s="37">
        <f>IF(A12=0,0,VLOOKUP(A12,'00'!$A$1:$F$65536,5,0))</f>
        <v>160</v>
      </c>
      <c r="R12" s="37">
        <f>IF(A12=0,0,VLOOKUP(A12,'00'!$A$1:$G$65536,6,0))</f>
        <v>5.2</v>
      </c>
      <c r="S12" s="38">
        <f t="shared" si="2"/>
        <v>0</v>
      </c>
      <c r="T12" s="38">
        <f t="shared" si="3"/>
        <v>0</v>
      </c>
      <c r="U12" s="37">
        <f>IF(I12=0,0,VLOOKUP(I12,'00'!$A:$F,5,0))+X12</f>
        <v>0</v>
      </c>
      <c r="V12" s="37">
        <f>IF(I12=0,0,VLOOKUP(I12,'00'!$A$1:$F$65536,6,0))</f>
        <v>0</v>
      </c>
      <c r="W12" s="30"/>
      <c r="X12" s="30">
        <f t="shared" si="4"/>
        <v>0</v>
      </c>
      <c r="Y12" s="31">
        <f t="shared" si="5"/>
        <v>15.600000000000001</v>
      </c>
      <c r="Z12" s="71">
        <f t="shared" si="6"/>
        <v>480</v>
      </c>
      <c r="AA12" s="71">
        <f t="shared" si="7"/>
        <v>0</v>
      </c>
      <c r="AB12" s="71">
        <f t="shared" si="8"/>
        <v>480</v>
      </c>
      <c r="AC12" s="71">
        <f t="shared" si="9"/>
        <v>0</v>
      </c>
    </row>
    <row r="13" spans="1:29" s="31" customFormat="1" ht="13.5" thickTop="1" thickBot="1">
      <c r="A13" s="32">
        <v>270017</v>
      </c>
      <c r="B13" s="199" t="str">
        <f>IF(A13=0,0,VLOOKUP(A13,'00'!$A$1:$F$65536,2,0))</f>
        <v>DES601(1)</v>
      </c>
      <c r="C13" s="5">
        <v>2</v>
      </c>
      <c r="D13" s="3" t="str">
        <f>IF(C13=0,0,VLOOKUP(C13,'01'!$A$2:$B$98,2,0))</f>
        <v>挤出</v>
      </c>
      <c r="E13" s="12">
        <v>33</v>
      </c>
      <c r="F13" s="33" t="s">
        <v>0</v>
      </c>
      <c r="G13" s="34">
        <f t="shared" si="0"/>
        <v>1</v>
      </c>
      <c r="H13" s="270">
        <f>IF(A13=0,0,VLOOKUP(A13,'00'!$A:$F,4,0))</f>
        <v>1082497</v>
      </c>
      <c r="I13" s="32"/>
      <c r="J13" s="34">
        <f>IF(I13=0,0,VLOOKUP(I13,'00'!$A$1:$F$65536,2,0))</f>
        <v>0</v>
      </c>
      <c r="K13" s="34"/>
      <c r="L13" s="7">
        <f>IF(K13=0,0,VLOOKUP(K13,'01'!$A$2:$B$98,2,0))</f>
        <v>0</v>
      </c>
      <c r="M13" s="39"/>
      <c r="N13" s="46" t="s">
        <v>57</v>
      </c>
      <c r="O13" s="47">
        <f t="shared" si="1"/>
        <v>0</v>
      </c>
      <c r="P13" s="48">
        <f>IF(I13=0,0,VLOOKUP(I13,'00'!$A:$F,4,0))</f>
        <v>0</v>
      </c>
      <c r="Q13" s="37">
        <f>IF(A13=0,0,VLOOKUP(A13,'00'!$A$1:$F$65536,5,0))</f>
        <v>160</v>
      </c>
      <c r="R13" s="37">
        <f>IF(A13=0,0,VLOOKUP(A13,'00'!$A$1:$G$65536,6,0))</f>
        <v>5.2</v>
      </c>
      <c r="S13" s="38">
        <f t="shared" si="2"/>
        <v>0</v>
      </c>
      <c r="T13" s="38">
        <f t="shared" si="3"/>
        <v>0</v>
      </c>
      <c r="U13" s="37">
        <f>IF(I13=0,0,VLOOKUP(I13,'00'!$A:$F,5,0))+X13</f>
        <v>0</v>
      </c>
      <c r="V13" s="37">
        <f>IF(I13=0,0,VLOOKUP(I13,'00'!$A$1:$F$65536,6,0))</f>
        <v>0</v>
      </c>
      <c r="W13" s="30"/>
      <c r="X13" s="30">
        <f t="shared" si="4"/>
        <v>0</v>
      </c>
      <c r="Y13" s="31">
        <f t="shared" si="5"/>
        <v>171.6</v>
      </c>
      <c r="Z13" s="71">
        <f t="shared" si="6"/>
        <v>5280</v>
      </c>
      <c r="AA13" s="71">
        <f t="shared" si="7"/>
        <v>0</v>
      </c>
      <c r="AB13" s="71">
        <f t="shared" si="8"/>
        <v>5280</v>
      </c>
      <c r="AC13" s="71">
        <f t="shared" si="9"/>
        <v>0</v>
      </c>
    </row>
    <row r="14" spans="1:29" s="31" customFormat="1" ht="13.5" thickTop="1" thickBot="1">
      <c r="A14" s="32">
        <v>270026</v>
      </c>
      <c r="B14" s="233" t="str">
        <f>IF(A14=0,0,VLOOKUP(A14,'00'!$A$1:$F$65536,2,0))</f>
        <v>DES801(1)</v>
      </c>
      <c r="C14" s="5">
        <v>2</v>
      </c>
      <c r="D14" s="3" t="str">
        <f>IF(C14=0,0,VLOOKUP(C14,'01'!$A$2:$B$98,2,0))</f>
        <v>挤出</v>
      </c>
      <c r="E14" s="12">
        <v>18</v>
      </c>
      <c r="F14" s="33" t="s">
        <v>0</v>
      </c>
      <c r="G14" s="34">
        <f t="shared" si="0"/>
        <v>1</v>
      </c>
      <c r="H14" s="270">
        <f>IF(A14=0,0,VLOOKUP(A14,'00'!$A:$F,4,0))</f>
        <v>1082490</v>
      </c>
      <c r="I14" s="32"/>
      <c r="J14" s="34">
        <f>IF(I14=0,0,VLOOKUP(I14,'00'!$A$1:$F$65536,2,0))</f>
        <v>0</v>
      </c>
      <c r="K14" s="34"/>
      <c r="L14" s="8">
        <f>IF(K14=0,0,VLOOKUP(K14,'01'!$A$2:$B$98,2,0))</f>
        <v>0</v>
      </c>
      <c r="M14" s="39"/>
      <c r="N14" s="46" t="s">
        <v>57</v>
      </c>
      <c r="O14" s="47">
        <f t="shared" si="1"/>
        <v>0</v>
      </c>
      <c r="P14" s="48">
        <f>IF(I14=0,0,VLOOKUP(I14,'00'!$A:$F,4,0))</f>
        <v>0</v>
      </c>
      <c r="Q14" s="37">
        <f>IF(A14=0,0,VLOOKUP(A14,'00'!$A$1:$F$65536,5,0))</f>
        <v>155</v>
      </c>
      <c r="R14" s="37">
        <f>IF(A14=0,0,VLOOKUP(A14,'00'!$A$1:$G$65536,6,0))</f>
        <v>5.2</v>
      </c>
      <c r="S14" s="38">
        <f>IF(A14=270278,1,IF(RIGHT(B14,3)="(0)",1,0))</f>
        <v>0</v>
      </c>
      <c r="T14" s="38">
        <f t="shared" si="3"/>
        <v>0</v>
      </c>
      <c r="U14" s="37">
        <f>IF(I14=0,0,VLOOKUP(I14,'00'!$A:$F,5,0))+X14</f>
        <v>0</v>
      </c>
      <c r="V14" s="37">
        <f>IF(I14=0,0,VLOOKUP(I14,'00'!$A$1:$F$65536,6,0))</f>
        <v>0</v>
      </c>
      <c r="W14" s="30"/>
      <c r="X14" s="30">
        <f t="shared" si="4"/>
        <v>0</v>
      </c>
      <c r="Y14" s="31">
        <f t="shared" si="5"/>
        <v>93.600000000000009</v>
      </c>
      <c r="Z14" s="71">
        <f t="shared" si="6"/>
        <v>2790</v>
      </c>
      <c r="AA14" s="71">
        <f t="shared" si="7"/>
        <v>0</v>
      </c>
      <c r="AB14" s="71">
        <f t="shared" si="8"/>
        <v>2790</v>
      </c>
      <c r="AC14" s="71">
        <f t="shared" si="9"/>
        <v>0</v>
      </c>
    </row>
    <row r="15" spans="1:29" s="31" customFormat="1" ht="13.5" thickTop="1" thickBot="1">
      <c r="A15" s="32">
        <v>270518</v>
      </c>
      <c r="B15" s="233" t="str">
        <f>IF(A15=0,0,VLOOKUP(A15,'00'!$A$1:$F$65536,2,0))</f>
        <v>DEC852(1)</v>
      </c>
      <c r="C15" s="5">
        <v>2</v>
      </c>
      <c r="D15" s="3" t="str">
        <f>IF(C15=0,0,VLOOKUP(C15,'01'!$A$2:$B$98,2,0))</f>
        <v>挤出</v>
      </c>
      <c r="E15" s="12">
        <v>18</v>
      </c>
      <c r="F15" s="33" t="s">
        <v>0</v>
      </c>
      <c r="G15" s="34">
        <f t="shared" si="0"/>
        <v>1</v>
      </c>
      <c r="H15" s="270">
        <f>IF(A15=0,0,VLOOKUP(A15,'00'!$A:$F,4,0))</f>
        <v>1082492</v>
      </c>
      <c r="I15" s="92"/>
      <c r="J15" s="34">
        <f>IF(I15=0,0,VLOOKUP(I15,'00'!$A$1:$F$65536,2,0))</f>
        <v>0</v>
      </c>
      <c r="K15" s="195"/>
      <c r="L15" s="88">
        <f>IF(K15=0,0,VLOOKUP(K15,'01'!$A$2:$B$98,2,0))</f>
        <v>0</v>
      </c>
      <c r="M15" s="196"/>
      <c r="N15" s="89" t="s">
        <v>57</v>
      </c>
      <c r="O15" s="90">
        <f t="shared" si="1"/>
        <v>0</v>
      </c>
      <c r="P15" s="91">
        <f>IF(I15=0,0,VLOOKUP(I15,'00'!$A:$F,4,0))</f>
        <v>0</v>
      </c>
      <c r="Q15" s="37">
        <f>IF(A15=0,0,VLOOKUP(A15,'00'!$A$1:$F$65536,5,0))</f>
        <v>160</v>
      </c>
      <c r="R15" s="37">
        <f>IF(A15=0,0,VLOOKUP(A15,'00'!$A$1:$G$65536,6,0))</f>
        <v>5.5</v>
      </c>
      <c r="S15" s="38">
        <f t="shared" ref="S15:S26" si="10">IF(A15=270278,1,IF(RIGHT(B15,3)="(0)",1,0))</f>
        <v>0</v>
      </c>
      <c r="T15" s="38">
        <f t="shared" si="3"/>
        <v>0</v>
      </c>
      <c r="U15" s="37">
        <f>IF(I15=0,0,VLOOKUP(I15,'00'!$A:$F,5,0))+X15</f>
        <v>0</v>
      </c>
      <c r="V15" s="37">
        <f>IF(I15=0,0,VLOOKUP(I15,'00'!$A$1:$F$65536,6,0))</f>
        <v>0</v>
      </c>
      <c r="W15" s="30">
        <v>0</v>
      </c>
      <c r="X15" s="30">
        <f t="shared" si="4"/>
        <v>0</v>
      </c>
      <c r="Y15" s="31">
        <f t="shared" si="5"/>
        <v>99</v>
      </c>
      <c r="Z15" s="71">
        <f t="shared" si="6"/>
        <v>2880</v>
      </c>
      <c r="AA15" s="71">
        <f t="shared" si="7"/>
        <v>0</v>
      </c>
      <c r="AB15" s="71">
        <f t="shared" si="8"/>
        <v>2880</v>
      </c>
      <c r="AC15" s="71">
        <f t="shared" si="9"/>
        <v>0</v>
      </c>
    </row>
    <row r="16" spans="1:29" s="31" customFormat="1" ht="13.5" thickTop="1" thickBot="1">
      <c r="A16" s="32">
        <v>270028</v>
      </c>
      <c r="B16" s="199" t="str">
        <f>IF(A16=0,0,VLOOKUP(A16,'00'!$A$1:$F$65536,2,0))</f>
        <v>DES851(1)</v>
      </c>
      <c r="C16" s="5">
        <v>2</v>
      </c>
      <c r="D16" s="3" t="str">
        <f>IF(C16=0,0,VLOOKUP(C16,'01'!$A$2:$B$98,2,0))</f>
        <v>挤出</v>
      </c>
      <c r="E16" s="12">
        <v>21</v>
      </c>
      <c r="F16" s="33" t="s">
        <v>0</v>
      </c>
      <c r="G16" s="34">
        <f t="shared" si="0"/>
        <v>1</v>
      </c>
      <c r="H16" s="270">
        <f>IF(A16=0,0,VLOOKUP(A16,'00'!$A:$F,4,0))</f>
        <v>1082488</v>
      </c>
      <c r="I16" s="126">
        <v>270098</v>
      </c>
      <c r="J16" s="127" t="str">
        <f>IF(I16=0,0,VLOOKUP(I16,'00'!$A$1:$F$65536,2,0))</f>
        <v>DJS601薄片</v>
      </c>
      <c r="K16" s="128">
        <v>20</v>
      </c>
      <c r="L16" s="129" t="str">
        <f>IF(K16=0,0,VLOOKUP(K16,'01'!$A$2:$B$98,2,0))</f>
        <v>约定</v>
      </c>
      <c r="M16" s="130"/>
      <c r="N16" s="40" t="s">
        <v>0</v>
      </c>
      <c r="O16" s="41">
        <f t="shared" si="1"/>
        <v>1</v>
      </c>
      <c r="P16" s="42">
        <f>IF(I16=0,0,VLOOKUP(I16,'00'!$A:$F,4,0))</f>
        <v>1082522</v>
      </c>
      <c r="Q16" s="37">
        <f>IF(A16=0,0,VLOOKUP(A16,'00'!$A$1:$F$65536,5,0))</f>
        <v>155</v>
      </c>
      <c r="R16" s="37">
        <f>IF(A16=0,0,VLOOKUP(A16,'00'!$A$1:$G$65536,6,0))</f>
        <v>5.3</v>
      </c>
      <c r="S16" s="38">
        <f t="shared" si="10"/>
        <v>0</v>
      </c>
      <c r="T16" s="38">
        <f t="shared" si="3"/>
        <v>0</v>
      </c>
      <c r="U16" s="37">
        <f>IF(I16=0,0,VLOOKUP(I16,'00'!$A:$F,5,0))+X16</f>
        <v>0</v>
      </c>
      <c r="V16" s="37">
        <f>IF(I16=0,0,VLOOKUP(I16,'00'!$A$1:$F$65536,6,0))</f>
        <v>1.5</v>
      </c>
      <c r="W16" s="37"/>
      <c r="X16" s="30">
        <f t="shared" si="4"/>
        <v>0</v>
      </c>
      <c r="Y16" s="31">
        <f t="shared" si="5"/>
        <v>111.3</v>
      </c>
      <c r="Z16" s="71">
        <f t="shared" si="6"/>
        <v>3255</v>
      </c>
      <c r="AA16" s="71">
        <f t="shared" si="7"/>
        <v>0</v>
      </c>
      <c r="AB16" s="71">
        <f t="shared" si="8"/>
        <v>3255</v>
      </c>
      <c r="AC16" s="71"/>
    </row>
    <row r="17" spans="1:29" s="31" customFormat="1" ht="13.5" thickTop="1" thickBot="1">
      <c r="A17" s="32">
        <v>270028</v>
      </c>
      <c r="B17" s="233" t="str">
        <f>IF(A17=0,0,VLOOKUP(A17,'00'!$A$1:$F$65536,2,0))</f>
        <v>DES851(1)</v>
      </c>
      <c r="C17" s="5">
        <v>2</v>
      </c>
      <c r="D17" s="3" t="str">
        <f>IF(C17=0,0,VLOOKUP(C17,'01'!$A$2:$B$98,2,0))</f>
        <v>挤出</v>
      </c>
      <c r="E17" s="12">
        <v>3</v>
      </c>
      <c r="F17" s="33" t="s">
        <v>302</v>
      </c>
      <c r="G17" s="34">
        <f t="shared" si="0"/>
        <v>1000000</v>
      </c>
      <c r="H17" s="270">
        <f>IF(A17=0,0,VLOOKUP(A17,'00'!$A:$F,4,0))</f>
        <v>1082488</v>
      </c>
      <c r="I17" s="32" t="s">
        <v>358</v>
      </c>
      <c r="J17" s="34" t="str">
        <f>IF(I17=0,0,VLOOKUP(I17,'00'!$A$1:$F$65536,2,0))</f>
        <v>DJM604(1)</v>
      </c>
      <c r="K17" s="34">
        <v>23</v>
      </c>
      <c r="L17" s="7" t="str">
        <f>IF(K17=0,0,VLOOKUP(K17,'01'!$A$2:$B$98,2,0))</f>
        <v>三区</v>
      </c>
      <c r="M17" s="39">
        <v>3</v>
      </c>
      <c r="N17" s="40" t="s">
        <v>0</v>
      </c>
      <c r="O17" s="41">
        <f t="shared" si="1"/>
        <v>1</v>
      </c>
      <c r="P17" s="42">
        <f>IF(I17=0,0,VLOOKUP(I17,'00'!$A:$F,4,0))</f>
        <v>1082517</v>
      </c>
      <c r="Q17" s="37">
        <f>IF(A17=0,0,VLOOKUP(A17,'00'!$A$1:$F$65536,5,0))</f>
        <v>155</v>
      </c>
      <c r="R17" s="37">
        <f>IF(A17=0,0,VLOOKUP(A17,'00'!$A$1:$G$65536,6,0))</f>
        <v>5.3</v>
      </c>
      <c r="S17" s="38">
        <f t="shared" si="10"/>
        <v>0</v>
      </c>
      <c r="T17" s="38">
        <f t="shared" si="3"/>
        <v>0</v>
      </c>
      <c r="U17" s="37">
        <f>IF(I17=0,0,VLOOKUP(I17,'00'!$A:$F,5,0))+X17</f>
        <v>37</v>
      </c>
      <c r="V17" s="37">
        <f>IF(I17=0,0,VLOOKUP(I17,'00'!$A$1:$F$65536,6,0))</f>
        <v>15</v>
      </c>
      <c r="W17" s="30"/>
      <c r="X17" s="30">
        <f t="shared" si="4"/>
        <v>0</v>
      </c>
      <c r="Y17" s="31">
        <f t="shared" si="5"/>
        <v>15.899999999999999</v>
      </c>
      <c r="Z17" s="71">
        <f t="shared" si="6"/>
        <v>465</v>
      </c>
      <c r="AA17" s="71">
        <f t="shared" si="7"/>
        <v>0</v>
      </c>
      <c r="AB17" s="71">
        <f t="shared" si="8"/>
        <v>465</v>
      </c>
      <c r="AC17" s="71">
        <f t="shared" ref="AC17:AC24" si="11">+U17*M17</f>
        <v>111</v>
      </c>
    </row>
    <row r="18" spans="1:29" s="31" customFormat="1" ht="13.5" thickTop="1" thickBot="1">
      <c r="A18" s="32">
        <v>270278</v>
      </c>
      <c r="B18" s="199" t="str">
        <f>IF(A18=0,0,VLOOKUP(A18,'00'!$A$1:$F$65536,2,0))</f>
        <v>SES401(0)二段</v>
      </c>
      <c r="C18" s="5">
        <v>1</v>
      </c>
      <c r="D18" s="3" t="str">
        <f>IF(C18=0,0,VLOOKUP(C18,'01'!$A$2:$B$98,2,0))</f>
        <v>炼胶</v>
      </c>
      <c r="E18" s="12">
        <v>32</v>
      </c>
      <c r="F18" s="33" t="s">
        <v>302</v>
      </c>
      <c r="G18" s="34">
        <f t="shared" si="0"/>
        <v>1000000</v>
      </c>
      <c r="H18" s="270">
        <f>IF(A18=0,0,VLOOKUP(A18,'00'!$A:$F,4,0))</f>
        <v>1082528</v>
      </c>
      <c r="I18" s="32">
        <v>270143</v>
      </c>
      <c r="J18" s="34" t="str">
        <f>IF(I18=0,0,VLOOKUP(I18,'00'!$A$1:$F$65536,2,0))</f>
        <v>DJS702(1)</v>
      </c>
      <c r="K18" s="34">
        <v>23</v>
      </c>
      <c r="L18" s="7" t="str">
        <f>IF(K18=0,0,VLOOKUP(K18,'01'!$A$2:$B$98,2,0))</f>
        <v>三区</v>
      </c>
      <c r="M18" s="39">
        <v>2</v>
      </c>
      <c r="N18" s="33" t="s">
        <v>0</v>
      </c>
      <c r="O18" s="35">
        <f t="shared" si="1"/>
        <v>1</v>
      </c>
      <c r="P18" s="43">
        <f>IF(I18=0,0,VLOOKUP(I18,'00'!$A:$F,4,0))</f>
        <v>1082516</v>
      </c>
      <c r="Q18" s="37">
        <f>IF(A18=0,0,VLOOKUP(A18,'00'!$A$1:$F$65536,5,0))</f>
        <v>153</v>
      </c>
      <c r="R18" s="37">
        <f>IF(A18=0,0,VLOOKUP(A18,'00'!$A$1:$G$65536,6,0))</f>
        <v>6</v>
      </c>
      <c r="S18" s="38">
        <f t="shared" si="10"/>
        <v>1</v>
      </c>
      <c r="T18" s="38">
        <f t="shared" si="3"/>
        <v>0</v>
      </c>
      <c r="U18" s="37">
        <f>IF(I18=0,0,VLOOKUP(I18,'00'!$A:$F,5,0))+X18</f>
        <v>37</v>
      </c>
      <c r="V18" s="37">
        <f>IF(I18=0,0,VLOOKUP(I18,'00'!$A$1:$F$65536,6,0))</f>
        <v>15</v>
      </c>
      <c r="W18" s="30"/>
      <c r="X18" s="30">
        <f t="shared" si="4"/>
        <v>0</v>
      </c>
      <c r="Y18" s="31">
        <f t="shared" si="5"/>
        <v>192</v>
      </c>
      <c r="Z18" s="71">
        <f t="shared" si="6"/>
        <v>4896</v>
      </c>
      <c r="AA18" s="71">
        <f t="shared" si="7"/>
        <v>4896</v>
      </c>
      <c r="AB18" s="71">
        <f t="shared" si="8"/>
        <v>0</v>
      </c>
      <c r="AC18" s="71">
        <f t="shared" si="11"/>
        <v>74</v>
      </c>
    </row>
    <row r="19" spans="1:29" s="31" customFormat="1" ht="13.5" thickTop="1" thickBot="1">
      <c r="A19" s="32">
        <v>270006</v>
      </c>
      <c r="B19" s="233" t="str">
        <f>IF(A19=0,0,VLOOKUP(A19,'00'!$A$1:$F$65536,2,0))</f>
        <v>SES371(0)</v>
      </c>
      <c r="C19" s="5">
        <v>17</v>
      </c>
      <c r="D19" s="3" t="str">
        <f>IF(C19=0,0,VLOOKUP(C19,'01'!$A$2:$B$98,2,0))</f>
        <v>淮安</v>
      </c>
      <c r="E19" s="12">
        <v>16</v>
      </c>
      <c r="F19" s="33" t="s">
        <v>302</v>
      </c>
      <c r="G19" s="34">
        <f t="shared" si="0"/>
        <v>1000000</v>
      </c>
      <c r="H19" s="270">
        <f>IF(A19=0,0,VLOOKUP(A19,'00'!$A:$F,4,0))</f>
        <v>1082542</v>
      </c>
      <c r="I19" s="32">
        <v>270310</v>
      </c>
      <c r="J19" s="34" t="str">
        <f>IF(I19=0,0,VLOOKUP(I19,'00'!$A$1:$F$65536,2,0))</f>
        <v>DJS704(1)</v>
      </c>
      <c r="K19" s="34">
        <v>23</v>
      </c>
      <c r="L19" s="7" t="str">
        <f>IF(K19=0,0,VLOOKUP(K19,'01'!$A$2:$B$98,2,0))</f>
        <v>三区</v>
      </c>
      <c r="M19" s="39">
        <v>1</v>
      </c>
      <c r="N19" s="33" t="s">
        <v>0</v>
      </c>
      <c r="O19" s="35">
        <f t="shared" si="1"/>
        <v>1</v>
      </c>
      <c r="P19" s="43" t="e">
        <f>IF(I19=0,0,VLOOKUP(I19,'00'!$A:$F,4,0))</f>
        <v>#N/A</v>
      </c>
      <c r="Q19" s="37">
        <f>IF(A19=0,0,VLOOKUP(A19,'00'!$A$1:$F$65536,5,0))</f>
        <v>154.5</v>
      </c>
      <c r="R19" s="37">
        <f>IF(A19=0,0,VLOOKUP(A19,'00'!$A$1:$G$65536,6,0))</f>
        <v>5.5</v>
      </c>
      <c r="S19" s="38">
        <f>IF(A19=270278,1,IF(RIGHT(B19,3)="(0)",1,0))</f>
        <v>1</v>
      </c>
      <c r="T19" s="38">
        <f t="shared" si="3"/>
        <v>0</v>
      </c>
      <c r="U19" s="37">
        <f>IF(I19=0,0,VLOOKUP(I19,'00'!$A:$F,5,0))+X19</f>
        <v>37</v>
      </c>
      <c r="V19" s="37">
        <f>IF(I19=0,0,VLOOKUP(I19,'00'!$A$1:$F$65536,6,0))</f>
        <v>15</v>
      </c>
      <c r="W19" s="30"/>
      <c r="X19" s="30">
        <f t="shared" si="4"/>
        <v>0</v>
      </c>
      <c r="Y19" s="31">
        <f>E19*R19</f>
        <v>88</v>
      </c>
      <c r="Z19" s="71">
        <f>+E19*Q19</f>
        <v>2472</v>
      </c>
      <c r="AA19" s="71">
        <f t="shared" si="7"/>
        <v>2472</v>
      </c>
      <c r="AB19" s="71">
        <f t="shared" si="8"/>
        <v>0</v>
      </c>
      <c r="AC19" s="71">
        <f t="shared" si="11"/>
        <v>37</v>
      </c>
    </row>
    <row r="20" spans="1:29" s="31" customFormat="1" ht="13.5" thickTop="1" thickBot="1">
      <c r="A20" s="152">
        <v>270142</v>
      </c>
      <c r="B20" s="199" t="str">
        <f>IF(A20=0,0,VLOOKUP(A20,'00'!$A$1:$F$65536,2,0))</f>
        <v>DJS702(0)</v>
      </c>
      <c r="C20" s="5">
        <v>17</v>
      </c>
      <c r="D20" s="3" t="str">
        <f>IF(C20=0,0,VLOOKUP(C20,'01'!$A$2:$B$98,2,0))</f>
        <v>淮安</v>
      </c>
      <c r="E20" s="12">
        <v>8</v>
      </c>
      <c r="F20" s="33" t="s">
        <v>302</v>
      </c>
      <c r="G20" s="34">
        <f t="shared" si="0"/>
        <v>1000000</v>
      </c>
      <c r="H20" s="270">
        <f>IF(A20=0,0,VLOOKUP(A20,'00'!$A:$F,4,0))</f>
        <v>1082539</v>
      </c>
      <c r="I20" s="32">
        <v>270057</v>
      </c>
      <c r="J20" s="34" t="str">
        <f>IF(I20=0,0,VLOOKUP(I20,'00'!$A$1:$F$65536,2,0))</f>
        <v>CES009(1)</v>
      </c>
      <c r="K20" s="34">
        <v>2</v>
      </c>
      <c r="L20" s="7" t="str">
        <f>IF(K20=0,0,VLOOKUP(K20,'01'!$A$2:$B$98,2,0))</f>
        <v>挤出</v>
      </c>
      <c r="M20" s="39">
        <v>10</v>
      </c>
      <c r="N20" s="40" t="s">
        <v>0</v>
      </c>
      <c r="O20" s="35">
        <f t="shared" si="1"/>
        <v>1</v>
      </c>
      <c r="P20" s="43">
        <f>IF(I20=0,0,VLOOKUP(I20,'00'!$A:$F,4,0))</f>
        <v>1082502</v>
      </c>
      <c r="Q20" s="37">
        <f>IF(A20=0,0,VLOOKUP(A20,'00'!$A$1:$F$65536,5,0))</f>
        <v>152</v>
      </c>
      <c r="R20" s="37">
        <f>IF(A20=0,0,VLOOKUP(A20,'00'!$A$1:$G$65536,6,0))</f>
        <v>5.2</v>
      </c>
      <c r="S20" s="38">
        <f t="shared" si="10"/>
        <v>1</v>
      </c>
      <c r="T20" s="38">
        <f t="shared" si="3"/>
        <v>0</v>
      </c>
      <c r="U20" s="37">
        <f>IF(I20=0,0,VLOOKUP(I20,'00'!$A:$F,5,0))+X20</f>
        <v>32</v>
      </c>
      <c r="V20" s="37">
        <f>IF(I20=0,0,VLOOKUP(I20,'00'!$A$1:$F$65536,6,0))</f>
        <v>30</v>
      </c>
      <c r="W20" s="30"/>
      <c r="X20" s="30">
        <f t="shared" si="4"/>
        <v>0</v>
      </c>
      <c r="Y20" s="31">
        <f t="shared" si="5"/>
        <v>41.6</v>
      </c>
      <c r="Z20" s="71">
        <f t="shared" si="6"/>
        <v>1216</v>
      </c>
      <c r="AA20" s="71">
        <f t="shared" si="7"/>
        <v>1216</v>
      </c>
      <c r="AB20" s="71">
        <f t="shared" si="8"/>
        <v>0</v>
      </c>
      <c r="AC20" s="71">
        <f t="shared" si="11"/>
        <v>320</v>
      </c>
    </row>
    <row r="21" spans="1:29" s="31" customFormat="1" ht="13.5" thickTop="1" thickBot="1">
      <c r="A21" s="152">
        <v>270014</v>
      </c>
      <c r="B21" s="199" t="str">
        <f>IF(A21=0,0,VLOOKUP(A21,'00'!$A$1:$F$65536,2,0))</f>
        <v>DJS751(0)</v>
      </c>
      <c r="C21" s="5">
        <v>1</v>
      </c>
      <c r="D21" s="3" t="str">
        <f>IF(C21=0,0,VLOOKUP(C21,'01'!$A$2:$B$98,2,0))</f>
        <v>炼胶</v>
      </c>
      <c r="E21" s="12">
        <v>2</v>
      </c>
      <c r="F21" s="33" t="s">
        <v>302</v>
      </c>
      <c r="G21" s="34">
        <f t="shared" si="0"/>
        <v>1000000</v>
      </c>
      <c r="H21" s="270">
        <f>IF(A21=0,0,VLOOKUP(A21,'00'!$A:$F,4,0))</f>
        <v>1082535</v>
      </c>
      <c r="I21" s="32"/>
      <c r="J21" s="34">
        <f>IF(I21=0,0,VLOOKUP(I21,'00'!$A$1:$F$65536,2,0))</f>
        <v>0</v>
      </c>
      <c r="K21" s="34"/>
      <c r="L21" s="7">
        <f>IF(K21=0,0,VLOOKUP(K21,'01'!$A$2:$B$98,2,0))</f>
        <v>0</v>
      </c>
      <c r="M21" s="39"/>
      <c r="N21" s="40" t="s">
        <v>0</v>
      </c>
      <c r="O21" s="41">
        <f t="shared" si="1"/>
        <v>1</v>
      </c>
      <c r="P21" s="42">
        <f>IF(I21=0,0,VLOOKUP(I21,'00'!$A:$F,4,0))</f>
        <v>0</v>
      </c>
      <c r="Q21" s="37">
        <f>IF(A21=0,0,VLOOKUP(A21,'00'!$A$1:$F$65536,5,0))</f>
        <v>158.5</v>
      </c>
      <c r="R21" s="37">
        <f>IF(A21=0,0,VLOOKUP(A21,'00'!$A$1:$G$65536,6,0))</f>
        <v>5.2</v>
      </c>
      <c r="S21" s="38">
        <f t="shared" si="10"/>
        <v>1</v>
      </c>
      <c r="T21" s="38">
        <f t="shared" si="3"/>
        <v>0</v>
      </c>
      <c r="U21" s="37">
        <f>IF(I21=0,0,VLOOKUP(I21,'00'!$A:$F,5,0))+X21</f>
        <v>0</v>
      </c>
      <c r="V21" s="37">
        <f>IF(I21=0,0,VLOOKUP(I21,'00'!$A$1:$F$65536,6,0))</f>
        <v>0</v>
      </c>
      <c r="W21" s="30"/>
      <c r="X21" s="30">
        <f t="shared" si="4"/>
        <v>0</v>
      </c>
      <c r="Y21" s="31">
        <f t="shared" si="5"/>
        <v>10.4</v>
      </c>
      <c r="Z21" s="71">
        <f t="shared" si="6"/>
        <v>317</v>
      </c>
      <c r="AA21" s="71">
        <f t="shared" si="7"/>
        <v>317</v>
      </c>
      <c r="AB21" s="71">
        <f t="shared" si="8"/>
        <v>0</v>
      </c>
      <c r="AC21" s="71">
        <f t="shared" si="11"/>
        <v>0</v>
      </c>
    </row>
    <row r="22" spans="1:29" s="31" customFormat="1" ht="13.5" thickTop="1" thickBot="1">
      <c r="A22" s="32">
        <v>270020</v>
      </c>
      <c r="B22" s="199" t="str">
        <f>IF(A22=0,0,VLOOKUP(A22,'00'!$A$1:$F$65536,2,0))</f>
        <v>DEC701(1)</v>
      </c>
      <c r="C22" s="5">
        <v>2</v>
      </c>
      <c r="D22" s="3" t="str">
        <f>IF(C22=0,0,VLOOKUP(C22,'01'!$A$2:$B$98,2,0))</f>
        <v>挤出</v>
      </c>
      <c r="E22" s="12">
        <v>18</v>
      </c>
      <c r="F22" s="33" t="s">
        <v>302</v>
      </c>
      <c r="G22" s="34">
        <f t="shared" si="0"/>
        <v>1000000</v>
      </c>
      <c r="H22" s="270">
        <f>IF(A22=0,0,VLOOKUP(A22,'00'!$A:$F,4,0))</f>
        <v>1082493</v>
      </c>
      <c r="I22" s="32"/>
      <c r="J22" s="34">
        <f>IF(I22=0,0,VLOOKUP(I22,'00'!$A$1:$F$65536,2,0))</f>
        <v>0</v>
      </c>
      <c r="K22" s="34"/>
      <c r="L22" s="7">
        <f>IF(K22=0,0,VLOOKUP(K22,'01'!$A$2:$B$98,2,0))</f>
        <v>0</v>
      </c>
      <c r="M22" s="39"/>
      <c r="N22" s="33" t="s">
        <v>0</v>
      </c>
      <c r="O22" s="35">
        <f t="shared" si="1"/>
        <v>1</v>
      </c>
      <c r="P22" s="43">
        <f>IF(I22=0,0,VLOOKUP(I22,'00'!$A:$F,4,0))</f>
        <v>0</v>
      </c>
      <c r="Q22" s="37">
        <f>IF(A22=0,0,VLOOKUP(A22,'00'!$A$1:$F$65536,5,0))</f>
        <v>160</v>
      </c>
      <c r="R22" s="37">
        <f>IF(A22=0,0,VLOOKUP(A22,'00'!$A$1:$G$65536,6,0))</f>
        <v>5.5</v>
      </c>
      <c r="S22" s="38">
        <f t="shared" si="10"/>
        <v>0</v>
      </c>
      <c r="T22" s="38">
        <f t="shared" si="3"/>
        <v>0</v>
      </c>
      <c r="U22" s="37">
        <f>IF(I22=0,0,VLOOKUP(I22,'00'!$A:$F,5,0))+X22</f>
        <v>0</v>
      </c>
      <c r="V22" s="37">
        <f>IF(I22=0,0,VLOOKUP(I22,'00'!$A$1:$F$65536,6,0))</f>
        <v>0</v>
      </c>
      <c r="W22" s="30"/>
      <c r="X22" s="30">
        <f t="shared" si="4"/>
        <v>0</v>
      </c>
      <c r="Y22" s="31">
        <f t="shared" si="5"/>
        <v>99</v>
      </c>
      <c r="Z22" s="71">
        <f t="shared" si="6"/>
        <v>2880</v>
      </c>
      <c r="AA22" s="71">
        <f t="shared" si="7"/>
        <v>0</v>
      </c>
      <c r="AB22" s="71">
        <f t="shared" si="8"/>
        <v>2880</v>
      </c>
      <c r="AC22" s="71">
        <f t="shared" si="11"/>
        <v>0</v>
      </c>
    </row>
    <row r="23" spans="1:29" s="31" customFormat="1" ht="13.5" thickTop="1" thickBot="1">
      <c r="A23" s="152"/>
      <c r="B23" s="199">
        <f>IF(A23=0,0,VLOOKUP(A23,'00'!$A$1:$F$65536,2,0))</f>
        <v>0</v>
      </c>
      <c r="C23" s="5"/>
      <c r="D23" s="3">
        <f>IF(C23=0,0,VLOOKUP(C23,'01'!$A$2:$B$98,2,0))</f>
        <v>0</v>
      </c>
      <c r="E23" s="12"/>
      <c r="F23" s="33" t="s">
        <v>302</v>
      </c>
      <c r="G23" s="34">
        <f t="shared" si="0"/>
        <v>1000000</v>
      </c>
      <c r="H23" s="270">
        <f>IF(A23=0,0,VLOOKUP(A23,'00'!$A:$F,4,0))</f>
        <v>0</v>
      </c>
      <c r="I23" s="32"/>
      <c r="J23" s="34">
        <f>IF(I23=0,0,VLOOKUP(I23,'00'!$A$1:$F$65536,2,0))</f>
        <v>0</v>
      </c>
      <c r="K23" s="34"/>
      <c r="L23" s="7">
        <f>IF(K23=0,0,VLOOKUP(K23,'01'!$A$2:$B$98,2,0))</f>
        <v>0</v>
      </c>
      <c r="M23" s="39"/>
      <c r="N23" s="33" t="s">
        <v>0</v>
      </c>
      <c r="O23" s="35">
        <f t="shared" si="1"/>
        <v>1</v>
      </c>
      <c r="P23" s="43">
        <f>IF(I23=0,0,VLOOKUP(I23,'00'!$A:$F,4,0))</f>
        <v>0</v>
      </c>
      <c r="Q23" s="37">
        <f>IF(A23=0,0,VLOOKUP(A23,'00'!$A$1:$F$65536,5,0))</f>
        <v>0</v>
      </c>
      <c r="R23" s="37">
        <f>IF(A23=0,0,VLOOKUP(A23,'00'!$A$1:$G$65536,6,0))</f>
        <v>0</v>
      </c>
      <c r="S23" s="38">
        <f t="shared" si="10"/>
        <v>0</v>
      </c>
      <c r="T23" s="38">
        <f t="shared" si="3"/>
        <v>0</v>
      </c>
      <c r="U23" s="37">
        <f>IF(I23=0,0,VLOOKUP(I23,'00'!$A:$F,5,0))+X23</f>
        <v>0</v>
      </c>
      <c r="V23" s="37">
        <f>IF(I23=0,0,VLOOKUP(I23,'00'!$A$1:$F$65536,6,0))</f>
        <v>0</v>
      </c>
      <c r="W23" s="30"/>
      <c r="X23" s="30">
        <f t="shared" si="4"/>
        <v>0</v>
      </c>
      <c r="Y23" s="31">
        <f t="shared" si="5"/>
        <v>0</v>
      </c>
      <c r="Z23" s="71">
        <f t="shared" si="6"/>
        <v>0</v>
      </c>
      <c r="AA23" s="71">
        <f t="shared" si="7"/>
        <v>0</v>
      </c>
      <c r="AB23" s="71">
        <f t="shared" si="8"/>
        <v>0</v>
      </c>
      <c r="AC23" s="71">
        <f t="shared" si="11"/>
        <v>0</v>
      </c>
    </row>
    <row r="24" spans="1:29" s="31" customFormat="1" ht="13.5" thickTop="1" thickBot="1">
      <c r="A24" s="152"/>
      <c r="B24" s="199">
        <f>IF(A24=0,0,VLOOKUP(A24,'00'!$A$1:$F$65536,2,0))</f>
        <v>0</v>
      </c>
      <c r="C24" s="5"/>
      <c r="D24" s="3">
        <f>IF(C24=0,0,VLOOKUP(C24,'01'!$A$2:$B$98,2,0))</f>
        <v>0</v>
      </c>
      <c r="E24" s="12"/>
      <c r="F24" s="33" t="s">
        <v>302</v>
      </c>
      <c r="G24" s="34">
        <f t="shared" si="0"/>
        <v>1000000</v>
      </c>
      <c r="H24" s="270">
        <f>IF(A24=0,0,VLOOKUP(A24,'00'!$A:$F,4,0))</f>
        <v>0</v>
      </c>
      <c r="I24" s="32"/>
      <c r="J24" s="34">
        <f>IF(I24=0,0,VLOOKUP(I24,'00'!$A$1:$F$65536,2,0))</f>
        <v>0</v>
      </c>
      <c r="K24" s="34"/>
      <c r="L24" s="7">
        <f>IF(K24=0,0,VLOOKUP(K24,'01'!$A$2:$B$98,2,0))</f>
        <v>0</v>
      </c>
      <c r="M24" s="39"/>
      <c r="N24" s="78" t="s">
        <v>0</v>
      </c>
      <c r="O24" s="47">
        <f t="shared" si="1"/>
        <v>1</v>
      </c>
      <c r="P24" s="79">
        <f>IF(I24=0,0,VLOOKUP(I24,'00'!$A:$F,4,0))</f>
        <v>0</v>
      </c>
      <c r="Q24" s="37">
        <f>IF(A24=0,0,VLOOKUP(A24,'00'!$A$1:$F$65536,5,0))</f>
        <v>0</v>
      </c>
      <c r="R24" s="37">
        <f>IF(A24=0,0,VLOOKUP(A24,'00'!$A$1:$G$65536,6,0))</f>
        <v>0</v>
      </c>
      <c r="S24" s="38">
        <f t="shared" si="10"/>
        <v>0</v>
      </c>
      <c r="T24" s="38">
        <f t="shared" si="3"/>
        <v>0</v>
      </c>
      <c r="U24" s="37">
        <f>IF(I24=0,0,VLOOKUP(I24,'00'!$A:$F,5,0))+X24</f>
        <v>0</v>
      </c>
      <c r="V24" s="37">
        <f>IF(I24=0,0,VLOOKUP(I24,'00'!$A$1:$F$65536,6,0))</f>
        <v>0</v>
      </c>
      <c r="W24" s="30"/>
      <c r="X24" s="30">
        <f t="shared" si="4"/>
        <v>0</v>
      </c>
      <c r="Y24" s="31">
        <f t="shared" si="5"/>
        <v>0</v>
      </c>
      <c r="Z24" s="71">
        <f t="shared" si="6"/>
        <v>0</v>
      </c>
      <c r="AA24" s="71">
        <f t="shared" si="7"/>
        <v>0</v>
      </c>
      <c r="AB24" s="71">
        <f t="shared" si="8"/>
        <v>0</v>
      </c>
      <c r="AC24" s="71">
        <f t="shared" si="11"/>
        <v>0</v>
      </c>
    </row>
    <row r="25" spans="1:29" s="31" customFormat="1" ht="13.5" thickTop="1" thickBot="1">
      <c r="A25" s="143"/>
      <c r="B25" s="5">
        <f>IF(A25=0,0,VLOOKUP(A25,'00'!$A$1:$F$65536,2,0))</f>
        <v>0</v>
      </c>
      <c r="C25" s="193"/>
      <c r="D25" s="193">
        <f>IF(C25=0,0,VLOOKUP(C25,'01'!$A$2:$B$98,2,0))</f>
        <v>0</v>
      </c>
      <c r="E25" s="194"/>
      <c r="F25" s="33" t="s">
        <v>302</v>
      </c>
      <c r="G25" s="34">
        <f t="shared" si="0"/>
        <v>1000000</v>
      </c>
      <c r="H25" s="270">
        <f>IF(A25=0,0,VLOOKUP(A25,'00'!$A:$F,4,0))</f>
        <v>0</v>
      </c>
      <c r="I25" s="32"/>
      <c r="J25" s="34">
        <f>IF(I25=0,0,VLOOKUP(I25,'00'!$A$1:$F$65536,2,0))</f>
        <v>0</v>
      </c>
      <c r="K25" s="34"/>
      <c r="L25" s="7">
        <f>IF(K25=0,0,VLOOKUP(K25,'01'!$A$2:$B$98,2,0))</f>
        <v>0</v>
      </c>
      <c r="M25" s="39"/>
      <c r="N25" s="33" t="s">
        <v>0</v>
      </c>
      <c r="O25" s="35">
        <f t="shared" si="1"/>
        <v>1</v>
      </c>
      <c r="P25" s="43">
        <f>IF(I25=0,0,VLOOKUP(I25,'00'!$A:$F,4,0))</f>
        <v>0</v>
      </c>
      <c r="Q25" s="37">
        <f>IF(A25=0,0,VLOOKUP(A25,'00'!$A$1:$F$65536,5,0))</f>
        <v>0</v>
      </c>
      <c r="R25" s="37">
        <f>IF(A25=0,0,VLOOKUP(A25,'00'!$A$1:$G$65536,6,0))</f>
        <v>0</v>
      </c>
      <c r="S25" s="38">
        <f t="shared" si="10"/>
        <v>0</v>
      </c>
      <c r="T25" s="38">
        <f t="shared" si="3"/>
        <v>0</v>
      </c>
      <c r="U25" s="37">
        <f>IF(I25=0,0,VLOOKUP(I25,'00'!$A:$F,5,0))+X25</f>
        <v>0</v>
      </c>
      <c r="V25" s="37">
        <f>IF(I25=0,0,VLOOKUP(I25,'00'!$A$1:$F$65536,6,0))</f>
        <v>0</v>
      </c>
      <c r="W25" s="30">
        <v>0</v>
      </c>
      <c r="X25" s="30">
        <f t="shared" si="4"/>
        <v>0</v>
      </c>
      <c r="Y25" s="31">
        <f t="shared" si="5"/>
        <v>0</v>
      </c>
      <c r="Z25" s="71">
        <f t="shared" si="6"/>
        <v>0</v>
      </c>
      <c r="AA25" s="71">
        <f t="shared" si="7"/>
        <v>0</v>
      </c>
      <c r="AB25" s="71">
        <f t="shared" si="8"/>
        <v>0</v>
      </c>
      <c r="AC25" s="71">
        <f t="shared" si="9"/>
        <v>0</v>
      </c>
    </row>
    <row r="26" spans="1:29" s="31" customFormat="1" ht="13.5" thickTop="1" thickBot="1">
      <c r="A26" s="143"/>
      <c r="B26" s="5">
        <f>IF(A26=0,0,VLOOKUP(A26,'00'!$A$1:$F$65536,2,0))</f>
        <v>0</v>
      </c>
      <c r="C26" s="193"/>
      <c r="D26" s="193">
        <f>IF(C26=0,0,VLOOKUP(C26,'01'!$A$2:$B$98,2,0))</f>
        <v>0</v>
      </c>
      <c r="E26" s="194"/>
      <c r="F26" s="33" t="s">
        <v>302</v>
      </c>
      <c r="G26" s="34">
        <f t="shared" si="0"/>
        <v>1000000</v>
      </c>
      <c r="H26" s="270">
        <f>IF(A26=0,0,VLOOKUP(A26,'00'!$A:$F,4,0))</f>
        <v>0</v>
      </c>
      <c r="I26" s="55"/>
      <c r="J26" s="56">
        <f>IF(I26=0,0,VLOOKUP(I26,'00'!$A$1:$F$65536,2,0))</f>
        <v>0</v>
      </c>
      <c r="K26" s="56"/>
      <c r="L26" s="8">
        <f>IF(K26=0,0,VLOOKUP(K26,'01'!$A$2:$B$98,2,0))</f>
        <v>0</v>
      </c>
      <c r="M26" s="76"/>
      <c r="N26" s="78" t="s">
        <v>0</v>
      </c>
      <c r="O26" s="47">
        <f t="shared" si="1"/>
        <v>1</v>
      </c>
      <c r="P26" s="79">
        <f>IF(I26=0,0,VLOOKUP(I26,'00'!$A:$F,4,0))</f>
        <v>0</v>
      </c>
      <c r="Q26" s="37">
        <f>IF(A26=0,0,VLOOKUP(A26,'00'!$A$1:$F$65536,5,0))</f>
        <v>0</v>
      </c>
      <c r="R26" s="37">
        <f>IF(A26=0,0,VLOOKUP(A26,'00'!$A$1:$G$65536,6,0))</f>
        <v>0</v>
      </c>
      <c r="S26" s="38">
        <f t="shared" si="10"/>
        <v>0</v>
      </c>
      <c r="T26" s="38">
        <f t="shared" si="3"/>
        <v>0</v>
      </c>
      <c r="U26" s="37">
        <f>IF(I26=0,0,VLOOKUP(I26,'00'!$A:$F,5,0))+X26</f>
        <v>0</v>
      </c>
      <c r="V26" s="37">
        <f>IF(I26=0,0,VLOOKUP(I26,'00'!$A$1:$F$65536,6,0))</f>
        <v>0</v>
      </c>
      <c r="W26" s="30"/>
      <c r="X26" s="30">
        <f t="shared" si="4"/>
        <v>0</v>
      </c>
      <c r="Y26" s="31">
        <f t="shared" si="5"/>
        <v>0</v>
      </c>
      <c r="Z26" s="71">
        <f t="shared" si="6"/>
        <v>0</v>
      </c>
      <c r="AA26" s="71">
        <f t="shared" si="7"/>
        <v>0</v>
      </c>
      <c r="AB26" s="71">
        <f t="shared" si="8"/>
        <v>0</v>
      </c>
      <c r="AC26" s="71">
        <f t="shared" si="9"/>
        <v>0</v>
      </c>
    </row>
    <row r="27" spans="1:29" s="31" customFormat="1" ht="13.5" thickTop="1" thickBot="1">
      <c r="A27" s="32"/>
      <c r="B27" s="5">
        <f>IF(A27=0,0,VLOOKUP(A27,'00'!$A$1:$F$65536,2,0))</f>
        <v>0</v>
      </c>
      <c r="C27" s="5"/>
      <c r="D27" s="3">
        <f>IF(C27=0,0,VLOOKUP(C27,'01'!$A$2:$B$98,2,0))</f>
        <v>0</v>
      </c>
      <c r="E27" s="12"/>
      <c r="F27" s="33" t="s">
        <v>302</v>
      </c>
      <c r="G27" s="34">
        <f t="shared" si="0"/>
        <v>1000000</v>
      </c>
      <c r="H27" s="270">
        <f>IF(A27=0,0,VLOOKUP(A27,'00'!$A:$F,4,0))</f>
        <v>0</v>
      </c>
      <c r="I27" s="126">
        <v>270098</v>
      </c>
      <c r="J27" s="127" t="str">
        <f>IF(I27=0,0,VLOOKUP(I27,'00'!$A$1:$F$65536,2,0))</f>
        <v>DJS601薄片</v>
      </c>
      <c r="K27" s="128">
        <v>23</v>
      </c>
      <c r="L27" s="129" t="str">
        <f>IF(K27=0,0,VLOOKUP(K27,'01'!$A$2:$B$98,2,0))</f>
        <v>三区</v>
      </c>
      <c r="M27" s="130">
        <v>93</v>
      </c>
      <c r="N27" s="131" t="s">
        <v>1</v>
      </c>
      <c r="O27" s="132">
        <f t="shared" si="1"/>
        <v>10000</v>
      </c>
      <c r="P27" s="133">
        <f>IF(I27=0,0,VLOOKUP(I27,'00'!$A:$F,4,0))</f>
        <v>1082522</v>
      </c>
      <c r="Q27" s="37">
        <f>IF(A27=0,0,VLOOKUP(A27,'00'!$A$1:$F$65536,5,0))</f>
        <v>0</v>
      </c>
      <c r="R27" s="37">
        <f>IF(A27=0,0,VLOOKUP(A27,'00'!$A$1:$G$65536,6,0))</f>
        <v>0</v>
      </c>
      <c r="S27" s="38">
        <f t="shared" si="2"/>
        <v>0</v>
      </c>
      <c r="T27" s="38">
        <f t="shared" si="3"/>
        <v>0</v>
      </c>
      <c r="U27" s="37">
        <f>IF(I27=0,0,VLOOKUP(I27,'00'!$A:$F,5,0))+X27</f>
        <v>0</v>
      </c>
      <c r="V27" s="37">
        <f>IF(I27=0,0,VLOOKUP(I27,'00'!$A$1:$F$65536,6,0))</f>
        <v>1.5</v>
      </c>
      <c r="W27" s="37">
        <v>93</v>
      </c>
      <c r="X27" s="30">
        <f t="shared" si="4"/>
        <v>0</v>
      </c>
      <c r="Y27" s="31">
        <f t="shared" si="5"/>
        <v>0</v>
      </c>
      <c r="Z27" s="71">
        <f t="shared" si="6"/>
        <v>0</v>
      </c>
      <c r="AA27" s="71">
        <f t="shared" si="7"/>
        <v>0</v>
      </c>
      <c r="AB27" s="71">
        <f t="shared" si="8"/>
        <v>0</v>
      </c>
      <c r="AC27" s="71"/>
    </row>
    <row r="28" spans="1:29" s="31" customFormat="1" ht="13.5" thickTop="1" thickBot="1">
      <c r="A28" s="32"/>
      <c r="B28" s="3">
        <f>IF(A28=0,0,VLOOKUP(A28,'00'!$A$1:$F$65536,2,0))</f>
        <v>0</v>
      </c>
      <c r="C28" s="5"/>
      <c r="D28" s="3">
        <f>IF(C28=0,0,VLOOKUP(C28,'01'!$A$2:$B$98,2,0))</f>
        <v>0</v>
      </c>
      <c r="E28" s="12"/>
      <c r="F28" s="33" t="s">
        <v>302</v>
      </c>
      <c r="G28" s="34">
        <f t="shared" si="0"/>
        <v>1000000</v>
      </c>
      <c r="H28" s="270">
        <f>IF(A28=0,0,VLOOKUP(A28,'00'!$A:$F,4,0))</f>
        <v>0</v>
      </c>
      <c r="I28" s="32">
        <v>270389</v>
      </c>
      <c r="J28" s="34" t="str">
        <f>IF(I28=0,0,VLOOKUP(I28,'00'!$A$1:$F$65536,2,0))</f>
        <v>CES024(1)</v>
      </c>
      <c r="K28" s="34">
        <v>2</v>
      </c>
      <c r="L28" s="7" t="str">
        <f>IF(K28=0,0,VLOOKUP(K28,'01'!$A$2:$B$98,2,0))</f>
        <v>挤出</v>
      </c>
      <c r="M28" s="39">
        <v>9</v>
      </c>
      <c r="N28" s="33" t="s">
        <v>1</v>
      </c>
      <c r="O28" s="35">
        <f t="shared" si="1"/>
        <v>10000</v>
      </c>
      <c r="P28" s="43" t="e">
        <f>IF(I28=0,0,VLOOKUP(I28,'00'!$A:$F,4,0))</f>
        <v>#N/A</v>
      </c>
      <c r="Q28" s="37">
        <f>IF(A28=0,0,VLOOKUP(A28,'00'!$A$1:$F$65536,5,0))</f>
        <v>0</v>
      </c>
      <c r="R28" s="37">
        <f>IF(A28=0,0,VLOOKUP(A28,'00'!$A$1:$G$65536,6,0))</f>
        <v>0</v>
      </c>
      <c r="S28" s="38">
        <f t="shared" si="2"/>
        <v>0</v>
      </c>
      <c r="T28" s="38">
        <f t="shared" si="3"/>
        <v>0</v>
      </c>
      <c r="U28" s="37">
        <f>IF(I28=0,0,VLOOKUP(I28,'00'!$A:$F,5,0))+X28</f>
        <v>32</v>
      </c>
      <c r="V28" s="37">
        <f>IF(I28=0,0,VLOOKUP(I28,'00'!$A$1:$F$65536,6,0))</f>
        <v>30</v>
      </c>
      <c r="W28" s="30"/>
      <c r="X28" s="30">
        <f t="shared" si="4"/>
        <v>0</v>
      </c>
      <c r="Y28" s="31">
        <f t="shared" si="5"/>
        <v>0</v>
      </c>
      <c r="Z28" s="71">
        <f t="shared" si="6"/>
        <v>0</v>
      </c>
      <c r="AA28" s="71">
        <f t="shared" si="7"/>
        <v>0</v>
      </c>
      <c r="AB28" s="71">
        <f t="shared" si="8"/>
        <v>0</v>
      </c>
      <c r="AC28" s="71">
        <f t="shared" si="9"/>
        <v>288</v>
      </c>
    </row>
    <row r="29" spans="1:29" s="31" customFormat="1" ht="13.5" thickTop="1" thickBot="1">
      <c r="A29" s="32"/>
      <c r="B29" s="3">
        <f>IF(A29=0,0,VLOOKUP(A29,'00'!$A$1:$F$65536,2,0))</f>
        <v>0</v>
      </c>
      <c r="C29" s="5"/>
      <c r="D29" s="3">
        <f>IF(C29=0,0,VLOOKUP(C29,'01'!$A$2:$B$98,2,0))</f>
        <v>0</v>
      </c>
      <c r="E29" s="12"/>
      <c r="F29" s="33" t="s">
        <v>302</v>
      </c>
      <c r="G29" s="34">
        <f t="shared" si="0"/>
        <v>1000000</v>
      </c>
      <c r="H29" s="270">
        <f>IF(A29=0,0,VLOOKUP(A29,'00'!$A:$F,4,0))</f>
        <v>0</v>
      </c>
      <c r="I29" s="32"/>
      <c r="J29" s="34">
        <f>IF(I29=0,0,VLOOKUP(I29,'00'!$A$1:$F$65536,2,0))</f>
        <v>0</v>
      </c>
      <c r="K29" s="34"/>
      <c r="L29" s="7">
        <f>IF(K29=0,0,VLOOKUP(K29,'01'!$A$2:$B$98,2,0))</f>
        <v>0</v>
      </c>
      <c r="M29" s="39"/>
      <c r="N29" s="33" t="s">
        <v>1</v>
      </c>
      <c r="O29" s="35">
        <f t="shared" si="1"/>
        <v>10000</v>
      </c>
      <c r="P29" s="43">
        <f>IF(I29=0,0,VLOOKUP(I29,'00'!$A:$F,4,0))</f>
        <v>0</v>
      </c>
      <c r="Q29" s="37">
        <f>IF(A29=0,0,VLOOKUP(A29,'00'!$A$1:$F$65536,5,0))</f>
        <v>0</v>
      </c>
      <c r="R29" s="37">
        <f>IF(A29=0,0,VLOOKUP(A29,'00'!$A$1:$G$65536,6,0))</f>
        <v>0</v>
      </c>
      <c r="S29" s="38">
        <f t="shared" si="2"/>
        <v>0</v>
      </c>
      <c r="T29" s="38">
        <f t="shared" si="3"/>
        <v>0</v>
      </c>
      <c r="U29" s="37">
        <f>IF(I29=0,0,VLOOKUP(I29,'00'!$A:$F,5,0))+X29</f>
        <v>0</v>
      </c>
      <c r="V29" s="37">
        <f>IF(I29=0,0,VLOOKUP(I29,'00'!$A$1:$F$65536,6,0))</f>
        <v>0</v>
      </c>
      <c r="W29" s="30"/>
      <c r="X29" s="30">
        <f t="shared" si="4"/>
        <v>0</v>
      </c>
      <c r="Y29" s="31">
        <f t="shared" si="5"/>
        <v>0</v>
      </c>
      <c r="Z29" s="71">
        <f t="shared" si="6"/>
        <v>0</v>
      </c>
      <c r="AA29" s="71">
        <f t="shared" si="7"/>
        <v>0</v>
      </c>
      <c r="AB29" s="71">
        <f t="shared" si="8"/>
        <v>0</v>
      </c>
      <c r="AC29" s="71">
        <f t="shared" si="9"/>
        <v>0</v>
      </c>
    </row>
    <row r="30" spans="1:29" s="31" customFormat="1" ht="13.5" thickTop="1" thickBot="1">
      <c r="A30" s="32"/>
      <c r="B30" s="3">
        <f>IF(A30=0,0,VLOOKUP(A30,'00'!$A$1:$F$65536,2,0))</f>
        <v>0</v>
      </c>
      <c r="C30" s="5"/>
      <c r="D30" s="3">
        <f>IF(C30=0,0,VLOOKUP(C30,'01'!$A$2:$B$98,2,0))</f>
        <v>0</v>
      </c>
      <c r="E30" s="12"/>
      <c r="F30" s="33" t="s">
        <v>302</v>
      </c>
      <c r="G30" s="34">
        <f t="shared" si="0"/>
        <v>1000000</v>
      </c>
      <c r="H30" s="270">
        <f>IF(A30=0,0,VLOOKUP(A30,'00'!$A:$F,4,0))</f>
        <v>0</v>
      </c>
      <c r="I30" s="32"/>
      <c r="J30" s="34">
        <f>IF(I30=0,0,VLOOKUP(I30,'00'!$A$1:$F$65536,2,0))</f>
        <v>0</v>
      </c>
      <c r="K30" s="34"/>
      <c r="L30" s="7">
        <f>IF(K30=0,0,VLOOKUP(K30,'01'!$A$2:$B$98,2,0))</f>
        <v>0</v>
      </c>
      <c r="M30" s="39"/>
      <c r="N30" s="33" t="s">
        <v>1</v>
      </c>
      <c r="O30" s="35">
        <f t="shared" si="1"/>
        <v>10000</v>
      </c>
      <c r="P30" s="43">
        <f>IF(I30=0,0,VLOOKUP(I30,'00'!$A:$F,4,0))</f>
        <v>0</v>
      </c>
      <c r="Q30" s="37">
        <f>IF(A30=0,0,VLOOKUP(A30,'00'!$A$1:$F$65536,5,0))</f>
        <v>0</v>
      </c>
      <c r="R30" s="37">
        <f>IF(A30=0,0,VLOOKUP(A30,'00'!$A$1:$G$65536,6,0))</f>
        <v>0</v>
      </c>
      <c r="S30" s="38">
        <f t="shared" si="2"/>
        <v>0</v>
      </c>
      <c r="T30" s="38">
        <f t="shared" si="3"/>
        <v>0</v>
      </c>
      <c r="U30" s="37">
        <f>IF(I30=0,0,VLOOKUP(I30,'00'!$A:$F,5,0))+X30</f>
        <v>0</v>
      </c>
      <c r="V30" s="37">
        <f>IF(I30=0,0,VLOOKUP(I30,'00'!$A$1:$F$65536,6,0))</f>
        <v>0</v>
      </c>
      <c r="W30" s="30"/>
      <c r="X30" s="30">
        <f t="shared" si="4"/>
        <v>0</v>
      </c>
      <c r="Y30" s="31">
        <f t="shared" si="5"/>
        <v>0</v>
      </c>
      <c r="Z30" s="71">
        <f t="shared" si="6"/>
        <v>0</v>
      </c>
      <c r="AA30" s="71">
        <f t="shared" si="7"/>
        <v>0</v>
      </c>
      <c r="AB30" s="71">
        <f t="shared" si="8"/>
        <v>0</v>
      </c>
      <c r="AC30" s="71">
        <f t="shared" si="9"/>
        <v>0</v>
      </c>
    </row>
    <row r="31" spans="1:29" s="31" customFormat="1" ht="13.5" thickTop="1" thickBot="1">
      <c r="A31" s="32"/>
      <c r="B31" s="3">
        <f>IF(A31=0,0,VLOOKUP(A31,'00'!$A$1:$F$65536,2,0))</f>
        <v>0</v>
      </c>
      <c r="C31" s="5"/>
      <c r="D31" s="3">
        <f>IF(C31=0,0,VLOOKUP(C31,'01'!$A$2:$B$98,2,0))</f>
        <v>0</v>
      </c>
      <c r="E31" s="12"/>
      <c r="F31" s="33" t="s">
        <v>302</v>
      </c>
      <c r="G31" s="34">
        <f t="shared" si="0"/>
        <v>1000000</v>
      </c>
      <c r="H31" s="270">
        <f>IF(A31=0,0,VLOOKUP(A31,'00'!$A:$F,4,0))</f>
        <v>0</v>
      </c>
      <c r="I31" s="32"/>
      <c r="J31" s="34">
        <f>IF(I31=0,0,VLOOKUP(I31,'00'!$A$1:$F$65536,2,0))</f>
        <v>0</v>
      </c>
      <c r="K31" s="34"/>
      <c r="L31" s="7">
        <f>IF(K31=0,0,VLOOKUP(K31,'01'!$A$2:$B$98,2,0))</f>
        <v>0</v>
      </c>
      <c r="M31" s="39"/>
      <c r="N31" s="33" t="s">
        <v>1</v>
      </c>
      <c r="O31" s="35">
        <f t="shared" si="1"/>
        <v>10000</v>
      </c>
      <c r="P31" s="43">
        <f>IF(I31=0,0,VLOOKUP(I31,'00'!$A:$F,4,0))</f>
        <v>0</v>
      </c>
      <c r="Q31" s="37">
        <f>IF(A31=0,0,VLOOKUP(A31,'00'!$A$1:$F$65536,5,0))</f>
        <v>0</v>
      </c>
      <c r="R31" s="37">
        <f>IF(A31=0,0,VLOOKUP(A31,'00'!$A$1:$G$65536,6,0))</f>
        <v>0</v>
      </c>
      <c r="S31" s="38">
        <f t="shared" si="2"/>
        <v>0</v>
      </c>
      <c r="T31" s="38">
        <f t="shared" si="3"/>
        <v>0</v>
      </c>
      <c r="U31" s="37">
        <f>IF(I31=0,0,VLOOKUP(I31,'00'!$A:$F,5,0))+X31</f>
        <v>0</v>
      </c>
      <c r="V31" s="37">
        <f>IF(I31=0,0,VLOOKUP(I31,'00'!$A$1:$F$65536,6,0))</f>
        <v>0</v>
      </c>
      <c r="W31" s="30"/>
      <c r="X31" s="30">
        <f t="shared" si="4"/>
        <v>0</v>
      </c>
      <c r="Y31" s="31">
        <f t="shared" si="5"/>
        <v>0</v>
      </c>
      <c r="Z31" s="71">
        <f t="shared" si="6"/>
        <v>0</v>
      </c>
      <c r="AA31" s="71">
        <f t="shared" si="7"/>
        <v>0</v>
      </c>
      <c r="AB31" s="71">
        <f t="shared" si="8"/>
        <v>0</v>
      </c>
      <c r="AC31" s="71">
        <f t="shared" si="9"/>
        <v>0</v>
      </c>
    </row>
    <row r="32" spans="1:29" s="31" customFormat="1" ht="13.5" thickTop="1" thickBot="1">
      <c r="A32" s="32"/>
      <c r="B32" s="3">
        <f>IF(A32=0,0,VLOOKUP(A32,'00'!$A$1:$F$65536,2,0))</f>
        <v>0</v>
      </c>
      <c r="C32" s="5"/>
      <c r="D32" s="3">
        <f>IF(C32=0,0,VLOOKUP(C32,'01'!$A$2:$B$98,2,0))</f>
        <v>0</v>
      </c>
      <c r="E32" s="12"/>
      <c r="F32" s="33" t="s">
        <v>1</v>
      </c>
      <c r="G32" s="34">
        <f t="shared" si="0"/>
        <v>1000000</v>
      </c>
      <c r="H32" s="270">
        <f>IF(A32=0,0,VLOOKUP(A32,'00'!$A:$F,4,0))</f>
        <v>0</v>
      </c>
      <c r="I32" s="32"/>
      <c r="J32" s="34">
        <f>IF(I32=0,0,VLOOKUP(I32,'00'!$A$1:$F$65536,2,0))</f>
        <v>0</v>
      </c>
      <c r="K32" s="34"/>
      <c r="L32" s="7">
        <f>IF(K32=0,0,VLOOKUP(K32,'01'!$A$2:$B$98,2,0))</f>
        <v>0</v>
      </c>
      <c r="M32" s="39"/>
      <c r="N32" s="33" t="s">
        <v>1</v>
      </c>
      <c r="O32" s="35">
        <f t="shared" si="1"/>
        <v>10000</v>
      </c>
      <c r="P32" s="43">
        <f>IF(I32=0,0,VLOOKUP(I32,'00'!$A:$F,4,0))</f>
        <v>0</v>
      </c>
      <c r="Q32" s="37">
        <f>IF(A32=0,0,VLOOKUP(A32,'00'!$A$1:$F$65536,5,0))</f>
        <v>0</v>
      </c>
      <c r="R32" s="37">
        <f>IF(A32=0,0,VLOOKUP(A32,'00'!$A$1:$G$65536,6,0))</f>
        <v>0</v>
      </c>
      <c r="S32" s="38">
        <f t="shared" si="2"/>
        <v>0</v>
      </c>
      <c r="T32" s="38">
        <f t="shared" si="3"/>
        <v>0</v>
      </c>
      <c r="U32" s="37">
        <f>IF(I32=0,0,VLOOKUP(I32,'00'!$A:$F,5,0))+X32</f>
        <v>0</v>
      </c>
      <c r="V32" s="37">
        <f>IF(I32=0,0,VLOOKUP(I32,'00'!$A$1:$F$65536,6,0))</f>
        <v>0</v>
      </c>
      <c r="W32" s="30"/>
      <c r="X32" s="30">
        <f t="shared" si="4"/>
        <v>0</v>
      </c>
      <c r="Y32" s="31">
        <f t="shared" si="5"/>
        <v>0</v>
      </c>
      <c r="Z32" s="71">
        <f t="shared" si="6"/>
        <v>0</v>
      </c>
      <c r="AA32" s="71">
        <f t="shared" si="7"/>
        <v>0</v>
      </c>
      <c r="AB32" s="71">
        <f t="shared" si="8"/>
        <v>0</v>
      </c>
      <c r="AC32" s="71">
        <f t="shared" si="9"/>
        <v>0</v>
      </c>
    </row>
    <row r="33" spans="1:29" s="31" customFormat="1" ht="13.5" thickTop="1" thickBot="1">
      <c r="A33" s="143"/>
      <c r="B33" s="5">
        <f>IF(A33=0,0,VLOOKUP(A33,'00'!$A$1:$F$65536,2,0))</f>
        <v>0</v>
      </c>
      <c r="C33" s="193"/>
      <c r="D33" s="193">
        <f>IF(C33=0,0,VLOOKUP(C33,'01'!$A$2:$B$98,2,0))</f>
        <v>0</v>
      </c>
      <c r="E33" s="194"/>
      <c r="F33" s="33" t="s">
        <v>302</v>
      </c>
      <c r="G33" s="34">
        <f t="shared" si="0"/>
        <v>1000000</v>
      </c>
      <c r="H33" s="270">
        <f>IF(A33=0,0,VLOOKUP(A33,'00'!$A:$F,4,0))</f>
        <v>0</v>
      </c>
      <c r="I33" s="32"/>
      <c r="J33" s="34">
        <f>IF(I33=0,0,VLOOKUP(I33,'00'!$A$1:$F$65536,2,0))</f>
        <v>0</v>
      </c>
      <c r="K33" s="34"/>
      <c r="L33" s="7">
        <f>IF(K33=0,0,VLOOKUP(K33,'01'!$A$2:$B$98,2,0))</f>
        <v>0</v>
      </c>
      <c r="M33" s="39"/>
      <c r="N33" s="33" t="s">
        <v>1</v>
      </c>
      <c r="O33" s="35">
        <f t="shared" si="1"/>
        <v>10000</v>
      </c>
      <c r="P33" s="43">
        <f>IF(I33=0,0,VLOOKUP(I33,'00'!$A:$F,4,0))</f>
        <v>0</v>
      </c>
      <c r="Q33" s="37">
        <f>IF(A33=0,0,VLOOKUP(A33,'00'!$A$1:$F$65536,5,0))</f>
        <v>0</v>
      </c>
      <c r="R33" s="37">
        <f>IF(A33=0,0,VLOOKUP(A33,'00'!$A$1:$G$65536,6,0))</f>
        <v>0</v>
      </c>
      <c r="S33" s="38">
        <f t="shared" si="2"/>
        <v>0</v>
      </c>
      <c r="T33" s="38">
        <f t="shared" si="3"/>
        <v>0</v>
      </c>
      <c r="U33" s="37">
        <f>IF(I33=0,0,VLOOKUP(I33,'00'!$A:$F,5,0))+X33</f>
        <v>0</v>
      </c>
      <c r="V33" s="37">
        <f>IF(I33=0,0,VLOOKUP(I33,'00'!$A$1:$F$65536,6,0))</f>
        <v>0</v>
      </c>
      <c r="W33" s="30"/>
      <c r="X33" s="30">
        <f t="shared" si="4"/>
        <v>0</v>
      </c>
      <c r="Y33" s="31">
        <f t="shared" si="5"/>
        <v>0</v>
      </c>
      <c r="Z33" s="71">
        <f t="shared" si="6"/>
        <v>0</v>
      </c>
      <c r="AA33" s="71">
        <f t="shared" si="7"/>
        <v>0</v>
      </c>
      <c r="AB33" s="71">
        <f t="shared" si="8"/>
        <v>0</v>
      </c>
      <c r="AC33" s="71">
        <f t="shared" si="9"/>
        <v>0</v>
      </c>
    </row>
    <row r="34" spans="1:29" s="31" customFormat="1" ht="13.5" thickTop="1" thickBot="1">
      <c r="A34" s="32"/>
      <c r="B34" s="5">
        <f>IF(A34=0,0,VLOOKUP(A34,'00'!$A$1:$F$65536,2,0))</f>
        <v>0</v>
      </c>
      <c r="C34" s="5"/>
      <c r="D34" s="3">
        <f>IF(C34=0,0,VLOOKUP(C34,'01'!$A$2:$B$98,2,0))</f>
        <v>0</v>
      </c>
      <c r="E34" s="12"/>
      <c r="F34" s="33" t="s">
        <v>1</v>
      </c>
      <c r="G34" s="34">
        <f t="shared" si="0"/>
        <v>1000000</v>
      </c>
      <c r="H34" s="270">
        <f>IF(A34=0,0,VLOOKUP(A34,'00'!$A:$F,4,0))</f>
        <v>0</v>
      </c>
      <c r="I34" s="32"/>
      <c r="J34" s="34">
        <f>IF(I34=0,0,VLOOKUP(I34,'00'!$A$1:$F$65536,2,0))</f>
        <v>0</v>
      </c>
      <c r="K34" s="34"/>
      <c r="L34" s="7">
        <f>IF(K34=0,0,VLOOKUP(K34,'01'!$A$2:$B$98,2,0))</f>
        <v>0</v>
      </c>
      <c r="M34" s="39"/>
      <c r="N34" s="78" t="s">
        <v>1</v>
      </c>
      <c r="O34" s="47">
        <f t="shared" si="1"/>
        <v>10000</v>
      </c>
      <c r="P34" s="79">
        <f>IF(I34=0,0,VLOOKUP(I34,'00'!$A:$F,4,0))</f>
        <v>0</v>
      </c>
      <c r="Q34" s="37">
        <f>IF(A34=0,0,VLOOKUP(A34,'00'!$A$1:$F$65536,5,0))</f>
        <v>0</v>
      </c>
      <c r="R34" s="37">
        <f>IF(A34=0,0,VLOOKUP(A34,'00'!$A$1:$G$65536,6,0))</f>
        <v>0</v>
      </c>
      <c r="S34" s="38">
        <f t="shared" si="2"/>
        <v>0</v>
      </c>
      <c r="T34" s="38">
        <f t="shared" si="3"/>
        <v>0</v>
      </c>
      <c r="U34" s="37">
        <f>IF(I34=0,0,VLOOKUP(I34,'00'!$A:$F,5,0))+X34</f>
        <v>0</v>
      </c>
      <c r="V34" s="37">
        <f>IF(I34=0,0,VLOOKUP(I34,'00'!$A$1:$F$65536,6,0))</f>
        <v>0</v>
      </c>
      <c r="W34" s="30"/>
      <c r="X34" s="30">
        <f t="shared" si="4"/>
        <v>0</v>
      </c>
      <c r="Y34" s="31">
        <f t="shared" si="5"/>
        <v>0</v>
      </c>
      <c r="Z34" s="71">
        <f t="shared" si="6"/>
        <v>0</v>
      </c>
      <c r="AA34" s="71">
        <f t="shared" si="7"/>
        <v>0</v>
      </c>
      <c r="AB34" s="71">
        <f t="shared" si="8"/>
        <v>0</v>
      </c>
      <c r="AC34" s="71">
        <f t="shared" si="9"/>
        <v>0</v>
      </c>
    </row>
    <row r="35" spans="1:29" s="31" customFormat="1" ht="13.5" thickTop="1" thickBot="1">
      <c r="A35" s="32"/>
      <c r="B35" s="5">
        <f>IF(A35=0,0,VLOOKUP(A35,'00'!$A$1:$F$65536,2,0))</f>
        <v>0</v>
      </c>
      <c r="C35" s="5"/>
      <c r="D35" s="3">
        <f>IF(C35=0,0,VLOOKUP(C35,'01'!$A$2:$B$98,2,0))</f>
        <v>0</v>
      </c>
      <c r="E35" s="12"/>
      <c r="F35" s="33" t="s">
        <v>1</v>
      </c>
      <c r="G35" s="34">
        <f t="shared" si="0"/>
        <v>1000000</v>
      </c>
      <c r="H35" s="270">
        <f>IF(A35=0,0,VLOOKUP(A35,'00'!$A:$F,4,0))</f>
        <v>0</v>
      </c>
      <c r="I35" s="32"/>
      <c r="J35" s="34">
        <f>IF(I35=0,0,VLOOKUP(I35,'00'!$A$1:$F$65536,2,0))</f>
        <v>0</v>
      </c>
      <c r="K35" s="34"/>
      <c r="L35" s="7">
        <f>IF(K35=0,0,VLOOKUP(K35,'01'!$A$2:$B$98,2,0))</f>
        <v>0</v>
      </c>
      <c r="M35" s="39"/>
      <c r="N35" s="33" t="s">
        <v>1</v>
      </c>
      <c r="O35" s="35">
        <f t="shared" si="1"/>
        <v>10000</v>
      </c>
      <c r="P35" s="43">
        <f>IF(I35=0,0,VLOOKUP(I35,'00'!$A:$F,4,0))</f>
        <v>0</v>
      </c>
      <c r="Q35" s="37">
        <f>IF(A35=0,0,VLOOKUP(A35,'00'!$A$1:$F$65536,5,0))</f>
        <v>0</v>
      </c>
      <c r="R35" s="37">
        <f>IF(A35=0,0,VLOOKUP(A35,'00'!$A$1:$G$65536,6,0))</f>
        <v>0</v>
      </c>
      <c r="S35" s="38">
        <f t="shared" si="2"/>
        <v>0</v>
      </c>
      <c r="T35" s="38">
        <f t="shared" si="3"/>
        <v>0</v>
      </c>
      <c r="U35" s="37">
        <f>IF(I35=0,0,VLOOKUP(I35,'00'!$A:$F,5,0))+X35</f>
        <v>0</v>
      </c>
      <c r="V35" s="37">
        <f>IF(I35=0,0,VLOOKUP(I35,'00'!$A$1:$F$65536,6,0))</f>
        <v>0</v>
      </c>
      <c r="W35" s="30"/>
      <c r="X35" s="30">
        <f t="shared" si="4"/>
        <v>0</v>
      </c>
      <c r="Y35" s="31">
        <f t="shared" si="5"/>
        <v>0</v>
      </c>
      <c r="Z35" s="71">
        <f t="shared" si="6"/>
        <v>0</v>
      </c>
      <c r="AA35" s="71">
        <f t="shared" si="7"/>
        <v>0</v>
      </c>
      <c r="AB35" s="71">
        <f t="shared" si="8"/>
        <v>0</v>
      </c>
      <c r="AC35" s="71">
        <f t="shared" si="9"/>
        <v>0</v>
      </c>
    </row>
    <row r="36" spans="1:29" s="31" customFormat="1" ht="13.5" thickTop="1" thickBot="1">
      <c r="A36" s="32"/>
      <c r="B36" s="108">
        <f>IF(A36=0,0,VLOOKUP(A36,'00'!$A$1:$F$65536,2,0))</f>
        <v>0</v>
      </c>
      <c r="C36" s="109"/>
      <c r="D36" s="108">
        <f>IF(C36=0,0,VLOOKUP(C36,'01'!$A$2:$B$98,2,0))</f>
        <v>0</v>
      </c>
      <c r="E36" s="110"/>
      <c r="F36" s="78" t="s">
        <v>1</v>
      </c>
      <c r="G36" s="56">
        <f t="shared" si="0"/>
        <v>1000000</v>
      </c>
      <c r="H36" s="270">
        <f>IF(A36=0,0,VLOOKUP(A36,'00'!$A:$F,4,0))</f>
        <v>0</v>
      </c>
      <c r="I36" s="32"/>
      <c r="J36" s="34">
        <f>IF(I36=0,0,VLOOKUP(I36,'00'!$A$1:$F$65536,2,0))</f>
        <v>0</v>
      </c>
      <c r="K36" s="34"/>
      <c r="L36" s="7">
        <f>IF(K36=0,0,VLOOKUP(K36,'01'!$A$2:$B$98,2,0))</f>
        <v>0</v>
      </c>
      <c r="M36" s="39"/>
      <c r="N36" s="33" t="s">
        <v>1</v>
      </c>
      <c r="O36" s="35">
        <f t="shared" si="1"/>
        <v>10000</v>
      </c>
      <c r="P36" s="43">
        <f>IF(I36=0,0,VLOOKUP(I36,'00'!$A:$F,4,0))</f>
        <v>0</v>
      </c>
      <c r="Q36" s="37">
        <f>IF(A36=0,0,VLOOKUP(A36,'00'!$A$1:$F$65536,5,0))</f>
        <v>0</v>
      </c>
      <c r="R36" s="37">
        <f>IF(A36=0,0,VLOOKUP(A36,'00'!$A$1:$G$65536,6,0))</f>
        <v>0</v>
      </c>
      <c r="S36" s="38">
        <f t="shared" si="2"/>
        <v>0</v>
      </c>
      <c r="T36" s="38">
        <f t="shared" si="3"/>
        <v>0</v>
      </c>
      <c r="U36" s="37">
        <f>IF(I36=0,0,VLOOKUP(I36,'00'!$A:$F,5,0))+X36</f>
        <v>0</v>
      </c>
      <c r="V36" s="37">
        <f>IF(I36=0,0,VLOOKUP(I36,'00'!$A$1:$F$65536,6,0))</f>
        <v>0</v>
      </c>
      <c r="W36" s="30"/>
      <c r="X36" s="30">
        <f t="shared" si="4"/>
        <v>0</v>
      </c>
      <c r="Y36" s="31">
        <f t="shared" si="5"/>
        <v>0</v>
      </c>
      <c r="Z36" s="71">
        <f t="shared" si="6"/>
        <v>0</v>
      </c>
      <c r="AA36" s="71">
        <f t="shared" si="7"/>
        <v>0</v>
      </c>
      <c r="AB36" s="71">
        <f t="shared" si="8"/>
        <v>0</v>
      </c>
      <c r="AC36" s="71">
        <f t="shared" si="9"/>
        <v>0</v>
      </c>
    </row>
    <row r="37" spans="1:29" s="31" customFormat="1" ht="13.5" thickTop="1" thickBot="1">
      <c r="A37" s="137"/>
      <c r="B37" s="138">
        <f>IF(A37=0,0,VLOOKUP(A37,'00'!$A$1:$F$65536,2,0))</f>
        <v>0</v>
      </c>
      <c r="C37" s="138"/>
      <c r="D37" s="138">
        <f>IF(C37=0,0,VLOOKUP(C37,'01'!$A$2:$B$98,2,0))</f>
        <v>0</v>
      </c>
      <c r="E37" s="139"/>
      <c r="F37" s="84" t="s">
        <v>298</v>
      </c>
      <c r="G37" s="140">
        <f t="shared" si="0"/>
        <v>0</v>
      </c>
      <c r="H37" s="141">
        <f>IF(A37=0,0,VLOOKUP(A37,'00'!$A:$F,4,0))</f>
        <v>0</v>
      </c>
      <c r="I37" s="80"/>
      <c r="J37" s="81">
        <f>IF(I37=0,0,VLOOKUP(I37,'00'!$A$1:$F$65536,2,0))</f>
        <v>0</v>
      </c>
      <c r="K37" s="81"/>
      <c r="L37" s="82">
        <f>IF(K37=0,0,VLOOKUP(K37,'01'!$A$2:$B$98,2,0))</f>
        <v>0</v>
      </c>
      <c r="M37" s="83"/>
      <c r="N37" s="84" t="s">
        <v>1</v>
      </c>
      <c r="O37" s="85">
        <f t="shared" si="1"/>
        <v>10000</v>
      </c>
      <c r="P37" s="86">
        <f>IF(I37=0,0,VLOOKUP(I37,'00'!$A:$F,4,0))</f>
        <v>0</v>
      </c>
      <c r="Q37" s="37">
        <f>IF(A37=0,0,VLOOKUP(A37,'00'!$A$1:$F$65536,5,0))</f>
        <v>0</v>
      </c>
      <c r="R37" s="37">
        <f>IF(A37=0,0,VLOOKUP(A37,'00'!$A$1:$G$65536,6,0))</f>
        <v>0</v>
      </c>
      <c r="S37" s="38">
        <f t="shared" si="2"/>
        <v>0</v>
      </c>
      <c r="T37" s="38">
        <f t="shared" si="3"/>
        <v>1</v>
      </c>
      <c r="U37" s="37">
        <f>IF(I37=0,0,VLOOKUP(I37,'00'!$A:$F,5,0))+X37</f>
        <v>0</v>
      </c>
      <c r="V37" s="37">
        <f>IF(I37=0,0,VLOOKUP(I37,'00'!$A$1:$F$65536,6,0))</f>
        <v>0</v>
      </c>
      <c r="W37" s="30"/>
      <c r="X37" s="30">
        <f t="shared" si="4"/>
        <v>0</v>
      </c>
      <c r="Y37" s="31">
        <f t="shared" si="5"/>
        <v>0</v>
      </c>
      <c r="Z37" s="71">
        <f t="shared" si="6"/>
        <v>0</v>
      </c>
      <c r="AA37" s="71">
        <f t="shared" si="7"/>
        <v>0</v>
      </c>
      <c r="AB37" s="71">
        <f t="shared" si="8"/>
        <v>0</v>
      </c>
      <c r="AC37" s="71">
        <f t="shared" si="9"/>
        <v>0</v>
      </c>
    </row>
    <row r="38" spans="1:29" s="31" customFormat="1" ht="13.5" thickTop="1" thickBot="1">
      <c r="A38" s="136" t="s">
        <v>303</v>
      </c>
      <c r="B38" s="236" t="s">
        <v>309</v>
      </c>
      <c r="C38" s="243"/>
      <c r="D38" s="243"/>
      <c r="E38" s="243"/>
      <c r="F38" s="243"/>
      <c r="G38" s="243"/>
      <c r="H38" s="244"/>
      <c r="I38" s="238"/>
      <c r="J38" s="209"/>
      <c r="K38" s="328" t="s">
        <v>305</v>
      </c>
      <c r="L38" s="328"/>
      <c r="M38" s="328"/>
      <c r="N38" s="328"/>
      <c r="O38" s="328"/>
      <c r="P38" s="329"/>
      <c r="Q38" s="37"/>
      <c r="R38" s="37"/>
      <c r="S38" s="38"/>
      <c r="T38" s="38"/>
      <c r="U38" s="54"/>
      <c r="V38" s="54"/>
      <c r="W38" s="30"/>
      <c r="X38" s="30"/>
      <c r="Z38" s="71"/>
      <c r="AA38" s="71"/>
      <c r="AB38" s="71"/>
      <c r="AC38" s="71"/>
    </row>
    <row r="39" spans="1:29" s="31" customFormat="1" ht="13.5" thickTop="1" thickBot="1">
      <c r="A39" s="58" t="s">
        <v>161</v>
      </c>
      <c r="B39" s="212" t="s">
        <v>304</v>
      </c>
      <c r="C39" s="212"/>
      <c r="D39" s="212"/>
      <c r="E39" s="212"/>
      <c r="F39" s="212"/>
      <c r="G39" s="212"/>
      <c r="H39" s="213"/>
      <c r="I39" s="240"/>
      <c r="J39" s="241"/>
      <c r="K39" s="241"/>
      <c r="L39" s="241"/>
      <c r="M39" s="241"/>
      <c r="N39" s="241"/>
      <c r="O39" s="241"/>
      <c r="P39" s="242"/>
      <c r="Q39" s="37"/>
      <c r="R39" s="37"/>
      <c r="S39" s="38"/>
      <c r="T39" s="38"/>
      <c r="U39" s="54"/>
      <c r="V39" s="54"/>
      <c r="W39" s="30"/>
      <c r="X39" s="30"/>
      <c r="Z39" s="71"/>
      <c r="AA39" s="71"/>
      <c r="AB39" s="71"/>
      <c r="AC39" s="71"/>
    </row>
    <row r="40" spans="1:29" s="31" customFormat="1" ht="13.5" thickTop="1" thickBot="1">
      <c r="A40" s="58" t="s">
        <v>308</v>
      </c>
      <c r="B40" s="212" t="s">
        <v>328</v>
      </c>
      <c r="C40" s="212"/>
      <c r="D40" s="212"/>
      <c r="E40" s="212"/>
      <c r="F40" s="212"/>
      <c r="G40" s="212"/>
      <c r="H40" s="213"/>
      <c r="I40" s="240"/>
      <c r="J40" s="241"/>
      <c r="K40" s="241"/>
      <c r="L40" s="241"/>
      <c r="M40" s="241"/>
      <c r="N40" s="241"/>
      <c r="O40" s="241"/>
      <c r="P40" s="242"/>
      <c r="Q40" s="37"/>
      <c r="R40" s="37"/>
      <c r="S40" s="38"/>
      <c r="T40" s="38"/>
      <c r="U40" s="54"/>
      <c r="V40" s="54"/>
      <c r="W40" s="30"/>
      <c r="X40" s="30"/>
      <c r="Z40" s="71"/>
      <c r="AA40" s="71"/>
      <c r="AB40" s="71"/>
      <c r="AC40" s="71"/>
    </row>
    <row r="41" spans="1:29" s="31" customFormat="1" ht="13.5" thickTop="1" thickBot="1">
      <c r="A41" s="58" t="s">
        <v>41</v>
      </c>
      <c r="B41" s="226" t="s">
        <v>312</v>
      </c>
      <c r="C41" s="212"/>
      <c r="D41" s="212"/>
      <c r="E41" s="212"/>
      <c r="F41" s="212"/>
      <c r="G41" s="212"/>
      <c r="H41" s="213"/>
      <c r="I41" s="200"/>
      <c r="J41" s="201"/>
      <c r="K41" s="201"/>
      <c r="L41" s="201"/>
      <c r="M41" s="201"/>
      <c r="N41" s="201"/>
      <c r="O41" s="201"/>
      <c r="P41" s="202"/>
      <c r="Q41" s="37"/>
      <c r="R41" s="37"/>
      <c r="S41" s="38"/>
      <c r="T41" s="38"/>
      <c r="U41" s="54"/>
      <c r="V41" s="54"/>
      <c r="W41" s="30"/>
      <c r="X41" s="30"/>
      <c r="Z41" s="71"/>
      <c r="AA41" s="71"/>
      <c r="AB41" s="71"/>
      <c r="AC41" s="71"/>
    </row>
    <row r="42" spans="1:29" s="31" customFormat="1" ht="13.5" thickTop="1" thickBot="1">
      <c r="A42" s="58" t="s">
        <v>311</v>
      </c>
      <c r="B42" s="219" t="s">
        <v>329</v>
      </c>
      <c r="C42" s="219"/>
      <c r="D42" s="219"/>
      <c r="E42" s="219"/>
      <c r="F42" s="219"/>
      <c r="G42" s="219"/>
      <c r="H42" s="222"/>
      <c r="I42" s="240"/>
      <c r="J42" s="241"/>
      <c r="K42" s="241"/>
      <c r="L42" s="241"/>
      <c r="M42" s="241"/>
      <c r="N42" s="241"/>
      <c r="O42" s="241"/>
      <c r="P42" s="242"/>
      <c r="Q42" s="37"/>
      <c r="R42" s="37"/>
      <c r="S42" s="38"/>
      <c r="T42" s="38"/>
      <c r="U42" s="54"/>
      <c r="V42" s="54"/>
      <c r="W42" s="30"/>
      <c r="X42" s="30"/>
      <c r="Z42" s="71"/>
      <c r="AA42" s="71"/>
      <c r="AB42" s="71"/>
      <c r="AC42" s="71"/>
    </row>
    <row r="43" spans="1:29" s="31" customFormat="1" ht="13.5" thickTop="1" thickBot="1">
      <c r="A43" s="98" t="s">
        <v>330</v>
      </c>
      <c r="B43" s="225"/>
      <c r="C43" s="219"/>
      <c r="D43" s="219"/>
      <c r="E43" s="219"/>
      <c r="F43" s="219"/>
      <c r="G43" s="219"/>
      <c r="H43" s="222"/>
      <c r="I43" s="308"/>
      <c r="J43" s="309"/>
      <c r="K43" s="309"/>
      <c r="L43" s="309"/>
      <c r="M43" s="309"/>
      <c r="N43" s="309"/>
      <c r="O43" s="309"/>
      <c r="P43" s="310"/>
      <c r="Q43" s="37"/>
      <c r="R43" s="37"/>
      <c r="S43" s="38"/>
      <c r="T43" s="38"/>
      <c r="U43" s="54"/>
      <c r="V43" s="54"/>
      <c r="W43" s="30"/>
      <c r="X43" s="30"/>
      <c r="Z43" s="71"/>
      <c r="AA43" s="71"/>
      <c r="AB43" s="71"/>
      <c r="AC43" s="71"/>
    </row>
    <row r="44" spans="1:29" s="31" customFormat="1" ht="13.5" thickTop="1" thickBot="1">
      <c r="A44" s="314" t="s">
        <v>313</v>
      </c>
      <c r="B44" s="53" t="s">
        <v>291</v>
      </c>
      <c r="C44" s="305" t="s">
        <v>314</v>
      </c>
      <c r="D44" s="306"/>
      <c r="E44" s="307"/>
      <c r="F44" s="274" t="s">
        <v>68</v>
      </c>
      <c r="G44" s="275"/>
      <c r="H44" s="276"/>
      <c r="I44" s="282" t="s">
        <v>315</v>
      </c>
      <c r="J44" s="53" t="s">
        <v>67</v>
      </c>
      <c r="K44" s="305" t="s">
        <v>314</v>
      </c>
      <c r="L44" s="306"/>
      <c r="M44" s="307"/>
      <c r="N44" s="274" t="s">
        <v>68</v>
      </c>
      <c r="O44" s="275"/>
      <c r="P44" s="276"/>
      <c r="Q44" s="37"/>
      <c r="R44" s="37"/>
      <c r="S44" s="38"/>
      <c r="T44" s="38"/>
      <c r="U44" s="54"/>
      <c r="V44" s="54"/>
      <c r="W44" s="30"/>
      <c r="X44" s="30"/>
      <c r="Z44" s="71"/>
      <c r="AA44" s="71"/>
      <c r="AB44" s="71"/>
      <c r="AC44" s="71"/>
    </row>
    <row r="45" spans="1:29" s="31" customFormat="1" ht="13.5" thickTop="1" thickBot="1">
      <c r="A45" s="315" t="s">
        <v>286</v>
      </c>
      <c r="B45" s="34" t="s">
        <v>299</v>
      </c>
      <c r="C45" s="285">
        <f>+SUMIF(F:F,B45,Y:Y)*Q48</f>
        <v>0</v>
      </c>
      <c r="D45" s="286"/>
      <c r="E45" s="288"/>
      <c r="F45" s="285">
        <f>(SUMPRODUCT(M5:M15,V5:V15)+W5*V5)*Q48</f>
        <v>0</v>
      </c>
      <c r="G45" s="286"/>
      <c r="H45" s="287"/>
      <c r="I45" s="283" t="s">
        <v>286</v>
      </c>
      <c r="J45" s="34" t="s">
        <v>331</v>
      </c>
      <c r="K45" s="317"/>
      <c r="L45" s="318"/>
      <c r="M45" s="124">
        <f>IF(K45=0,0,K50/K45*1000)</f>
        <v>0</v>
      </c>
      <c r="N45" s="124"/>
      <c r="O45" s="215"/>
      <c r="P45" s="216"/>
      <c r="Q45" s="37"/>
      <c r="R45" s="37"/>
      <c r="S45" s="38"/>
      <c r="T45" s="38"/>
      <c r="U45" s="54"/>
      <c r="V45" s="54"/>
      <c r="W45" s="30"/>
      <c r="X45" s="30"/>
      <c r="Z45" s="71"/>
      <c r="AA45" s="71"/>
      <c r="AB45" s="71"/>
      <c r="AC45" s="71"/>
    </row>
    <row r="46" spans="1:29" s="31" customFormat="1" ht="13.5" thickTop="1" thickBot="1">
      <c r="A46" s="315">
        <v>270172</v>
      </c>
      <c r="B46" s="34" t="s">
        <v>301</v>
      </c>
      <c r="C46" s="285">
        <f>+SUMIF(F:F,B46,Y:Y)*Q48</f>
        <v>0</v>
      </c>
      <c r="D46" s="286"/>
      <c r="E46" s="288"/>
      <c r="F46" s="285">
        <f>(SUMPRODUCT(M16:M26,V16:V26)+W16*V16)*Q48</f>
        <v>0</v>
      </c>
      <c r="G46" s="286"/>
      <c r="H46" s="287"/>
      <c r="I46" s="283">
        <v>270172</v>
      </c>
      <c r="J46" s="34" t="s">
        <v>332</v>
      </c>
      <c r="K46" s="317"/>
      <c r="L46" s="318"/>
      <c r="M46" s="124">
        <f>IF(K46=0,0,K51/K46*1000)</f>
        <v>0</v>
      </c>
      <c r="N46" s="124"/>
      <c r="O46" s="215"/>
      <c r="P46" s="216"/>
      <c r="Q46" s="37"/>
      <c r="R46" s="37"/>
      <c r="S46" s="38"/>
      <c r="T46" s="38"/>
      <c r="U46" s="54"/>
      <c r="V46" s="54"/>
      <c r="W46" s="30"/>
      <c r="X46" s="30"/>
      <c r="Z46" s="71"/>
      <c r="AA46" s="71"/>
      <c r="AB46" s="71"/>
      <c r="AC46" s="71"/>
    </row>
    <row r="47" spans="1:29" s="31" customFormat="1" ht="13.5" thickTop="1" thickBot="1">
      <c r="A47" s="315">
        <v>270127</v>
      </c>
      <c r="B47" s="34" t="s">
        <v>302</v>
      </c>
      <c r="C47" s="285">
        <f>+SUMIF(F:F,B47,Y:Y)*Q48</f>
        <v>0</v>
      </c>
      <c r="D47" s="286"/>
      <c r="E47" s="288"/>
      <c r="F47" s="285">
        <f>(SUMPRODUCT(M27:M37,V27:V37)+W27*V27)*Q48</f>
        <v>0</v>
      </c>
      <c r="G47" s="286"/>
      <c r="H47" s="287"/>
      <c r="I47" s="283">
        <v>270127</v>
      </c>
      <c r="J47" s="34" t="s">
        <v>333</v>
      </c>
      <c r="K47" s="317"/>
      <c r="L47" s="318"/>
      <c r="M47" s="124">
        <f>IF(K47=0,0,K52/K47*1000)</f>
        <v>0</v>
      </c>
      <c r="N47" s="124"/>
      <c r="O47" s="215"/>
      <c r="P47" s="216"/>
      <c r="Q47" s="37"/>
      <c r="R47" s="37"/>
      <c r="S47" s="38"/>
      <c r="T47" s="38"/>
      <c r="U47" s="54"/>
      <c r="V47" s="54"/>
      <c r="W47" s="30"/>
      <c r="X47" s="30"/>
      <c r="Z47" s="71"/>
      <c r="AA47" s="71"/>
      <c r="AB47" s="71"/>
      <c r="AC47" s="71"/>
    </row>
    <row r="48" spans="1:29" s="31" customFormat="1" ht="13.5" thickTop="1" thickBot="1">
      <c r="A48" s="316">
        <v>270127</v>
      </c>
      <c r="B48" s="107" t="s">
        <v>319</v>
      </c>
      <c r="C48" s="289">
        <f>SUM(C45:E47)</f>
        <v>0</v>
      </c>
      <c r="D48" s="290"/>
      <c r="E48" s="291"/>
      <c r="F48" s="289">
        <f>SUM(F45:H47)</f>
        <v>0</v>
      </c>
      <c r="G48" s="290"/>
      <c r="H48" s="300"/>
      <c r="I48" s="284">
        <v>270127</v>
      </c>
      <c r="J48" s="107" t="s">
        <v>319</v>
      </c>
      <c r="K48" s="301">
        <f>SUM(K45:L47)</f>
        <v>0</v>
      </c>
      <c r="L48" s="302"/>
      <c r="M48" s="120">
        <f>IF(K48=0,0,K53/K48*1000)</f>
        <v>0</v>
      </c>
      <c r="N48" s="121"/>
      <c r="O48" s="122">
        <f>SUM(O45:P47)</f>
        <v>0</v>
      </c>
      <c r="P48" s="123"/>
      <c r="Q48" s="332"/>
      <c r="R48" s="333"/>
      <c r="S48" s="38"/>
      <c r="T48" s="38"/>
      <c r="U48" s="54"/>
      <c r="V48" s="54"/>
      <c r="W48" s="30"/>
      <c r="X48" s="30"/>
      <c r="Z48" s="71"/>
      <c r="AA48" s="71"/>
      <c r="AB48" s="71"/>
      <c r="AC48" s="71"/>
    </row>
    <row r="49" spans="1:29" s="31" customFormat="1" ht="13.5" thickTop="1" thickBot="1">
      <c r="A49" s="315" t="s">
        <v>320</v>
      </c>
      <c r="B49" s="99" t="s">
        <v>291</v>
      </c>
      <c r="C49" s="296" t="s">
        <v>321</v>
      </c>
      <c r="D49" s="325"/>
      <c r="E49" s="100" t="s">
        <v>322</v>
      </c>
      <c r="F49" s="101" t="s">
        <v>323</v>
      </c>
      <c r="G49" s="101"/>
      <c r="H49" s="102" t="s">
        <v>319</v>
      </c>
      <c r="I49" s="315" t="s">
        <v>324</v>
      </c>
      <c r="J49" s="99" t="s">
        <v>291</v>
      </c>
      <c r="K49" s="296" t="s">
        <v>319</v>
      </c>
      <c r="L49" s="297"/>
      <c r="M49" s="103" t="s">
        <v>322</v>
      </c>
      <c r="N49" s="104" t="s">
        <v>323</v>
      </c>
      <c r="O49" s="105"/>
      <c r="P49" s="106" t="s">
        <v>321</v>
      </c>
      <c r="Q49" s="330" t="s">
        <v>325</v>
      </c>
      <c r="R49" s="331"/>
      <c r="S49" s="38"/>
      <c r="T49" s="38"/>
      <c r="U49" s="54"/>
      <c r="V49" s="54"/>
      <c r="W49" s="30"/>
      <c r="X49" s="30"/>
      <c r="Z49" s="71"/>
      <c r="AA49" s="71"/>
      <c r="AB49" s="71"/>
      <c r="AC49" s="71"/>
    </row>
    <row r="50" spans="1:29" s="31" customFormat="1" ht="13.5" thickTop="1" thickBot="1">
      <c r="A50" s="315"/>
      <c r="B50" s="34" t="s">
        <v>299</v>
      </c>
      <c r="C50" s="321">
        <f>SUMIF($N$5:$N$37,B50,$AC$5:$AC$37)/1000</f>
        <v>0.88960000000000006</v>
      </c>
      <c r="D50" s="322"/>
      <c r="E50" s="191">
        <f>SUMIF($F$5:$F$37,B50,$AA$5:$AA$37)/1000</f>
        <v>0</v>
      </c>
      <c r="F50" s="192">
        <f>SUMIF($F$5:$F$37,B50,$AB$5:$AB$37)/1000</f>
        <v>14.40751</v>
      </c>
      <c r="G50" s="192"/>
      <c r="H50" s="207">
        <f>+E50+F50</f>
        <v>14.40751</v>
      </c>
      <c r="I50" s="315"/>
      <c r="J50" s="34" t="s">
        <v>299</v>
      </c>
      <c r="K50" s="298">
        <f>SUM(M50:N50)</f>
        <v>0</v>
      </c>
      <c r="L50" s="299"/>
      <c r="M50" s="111"/>
      <c r="N50" s="112"/>
      <c r="O50" s="59"/>
      <c r="P50" s="116"/>
      <c r="Q50" s="145">
        <f>+Q51+Q52</f>
        <v>40.858510000000003</v>
      </c>
      <c r="R50" s="144">
        <f>+FLOOR(SUM(SUMPRODUCT(E5:E37,G5:G37,R5:R37))/100000000000,1)/10</f>
        <v>431.5</v>
      </c>
      <c r="S50" s="38"/>
      <c r="T50" s="38"/>
      <c r="U50" s="54"/>
      <c r="V50" s="54"/>
      <c r="W50" s="30"/>
      <c r="X50" s="30"/>
      <c r="Z50" s="71"/>
      <c r="AA50" s="71"/>
      <c r="AB50" s="71"/>
      <c r="AC50" s="71"/>
    </row>
    <row r="51" spans="1:29" s="31" customFormat="1" ht="15.75" thickTop="1" thickBot="1">
      <c r="A51" s="315"/>
      <c r="B51" s="34" t="s">
        <v>301</v>
      </c>
      <c r="C51" s="321">
        <f>SUMIF($N$5:$N$37,B51,$AC$5:$AC$37)/1000</f>
        <v>0.54200000000000004</v>
      </c>
      <c r="D51" s="322"/>
      <c r="E51" s="191">
        <f>SUMIF($F$5:$F$37,B51,$AA$5:$AA$37)/1000</f>
        <v>0</v>
      </c>
      <c r="F51" s="192">
        <f>SUMIF($F$5:$F$37,B51,$AB$5:$AB$37)/1000</f>
        <v>14.205</v>
      </c>
      <c r="G51" s="192"/>
      <c r="H51" s="207">
        <f>+E51+F51</f>
        <v>14.205</v>
      </c>
      <c r="I51" s="315"/>
      <c r="J51" s="206" t="s">
        <v>301</v>
      </c>
      <c r="K51" s="298">
        <f>SUM(M51:N51)</f>
        <v>0</v>
      </c>
      <c r="L51" s="299"/>
      <c r="M51" s="111"/>
      <c r="N51" s="112"/>
      <c r="O51" s="59"/>
      <c r="P51" s="116"/>
      <c r="Q51" s="145">
        <f>+H53</f>
        <v>40.858510000000003</v>
      </c>
      <c r="R51" s="144">
        <f>+SUMPRODUCT(E5:E37,G5:G37,R5:R37)-R50*1000000000000-R52*1000000</f>
        <v>475.5625</v>
      </c>
      <c r="S51" s="38"/>
      <c r="T51" s="38"/>
      <c r="U51" s="17"/>
      <c r="V51" s="17"/>
      <c r="W51" s="30"/>
      <c r="X51" s="30"/>
      <c r="Z51" s="71"/>
      <c r="AA51" s="71"/>
      <c r="AB51" s="71"/>
      <c r="AC51" s="71"/>
    </row>
    <row r="52" spans="1:29" s="31" customFormat="1" ht="15.75" thickTop="1" thickBot="1">
      <c r="A52" s="315"/>
      <c r="B52" s="34" t="s">
        <v>302</v>
      </c>
      <c r="C52" s="321">
        <f>SUMIF($N$5:$N$37,B52,$AC$5:$AC$37)/1000</f>
        <v>0.28799999999999998</v>
      </c>
      <c r="D52" s="322"/>
      <c r="E52" s="191">
        <f>SUMIF($F$5:$F$37,B52,$AA$5:$AA$37)/1000</f>
        <v>8.9009999999999998</v>
      </c>
      <c r="F52" s="192">
        <f>SUMIF($F$5:$F$37,B52,$AB$5:$AB$37)/1000</f>
        <v>3.3450000000000002</v>
      </c>
      <c r="G52" s="192"/>
      <c r="H52" s="207">
        <f>+E52+F52</f>
        <v>12.246</v>
      </c>
      <c r="I52" s="315"/>
      <c r="J52" s="60" t="s">
        <v>302</v>
      </c>
      <c r="K52" s="298">
        <f>SUM(M52:N52)</f>
        <v>0</v>
      </c>
      <c r="L52" s="299"/>
      <c r="M52" s="111"/>
      <c r="N52" s="113"/>
      <c r="O52" s="61"/>
      <c r="P52" s="116"/>
      <c r="Q52" s="145">
        <f>SUMPRODUCT(E5:E37,T5:T37,Q5:Q37)/1000</f>
        <v>0</v>
      </c>
      <c r="R52" s="144">
        <f>+FLOOR(MOD(SUMPRODUCT(E5:E37,G5:G37,R5:R37),100000000000)/100000,1)/10</f>
        <v>446.9</v>
      </c>
      <c r="S52" s="38"/>
      <c r="T52" s="38"/>
      <c r="U52" s="17"/>
      <c r="V52" s="17"/>
      <c r="W52" s="30"/>
      <c r="X52" s="30"/>
      <c r="Z52" s="71"/>
      <c r="AA52" s="71"/>
      <c r="AB52" s="71"/>
      <c r="AC52" s="71"/>
    </row>
    <row r="53" spans="1:29" s="31" customFormat="1" ht="15.75" thickTop="1" thickBot="1">
      <c r="A53" s="320"/>
      <c r="B53" s="62" t="s">
        <v>319</v>
      </c>
      <c r="C53" s="323">
        <f>SUM(C50:C52)</f>
        <v>1.7196</v>
      </c>
      <c r="D53" s="324"/>
      <c r="E53" s="149">
        <f>SUM(E50:E52)</f>
        <v>8.9009999999999998</v>
      </c>
      <c r="F53" s="147">
        <f>SUM(F50:F52)</f>
        <v>31.957509999999999</v>
      </c>
      <c r="G53" s="147"/>
      <c r="H53" s="148">
        <f>SUM(H50:H52)</f>
        <v>40.858510000000003</v>
      </c>
      <c r="I53" s="320"/>
      <c r="J53" s="63" t="s">
        <v>319</v>
      </c>
      <c r="K53" s="326">
        <f>+M53+N53</f>
        <v>0</v>
      </c>
      <c r="L53" s="327"/>
      <c r="M53" s="114">
        <f>SUM(M50:M52)</f>
        <v>0</v>
      </c>
      <c r="N53" s="115">
        <f>SUM(N50:N52)</f>
        <v>0</v>
      </c>
      <c r="O53" s="64">
        <f>SUM(O50:O52)</f>
        <v>0</v>
      </c>
      <c r="P53" s="117">
        <f>SUM(P50:P52)</f>
        <v>0</v>
      </c>
      <c r="Q53" s="145">
        <f>SUMPRODUCT(Q5:Q28,E5:E28)/1000</f>
        <v>40.858510000000003</v>
      </c>
      <c r="R53" s="144">
        <f>SUM(R50:R52)</f>
        <v>1353.9625000000001</v>
      </c>
      <c r="S53" s="38">
        <v>0</v>
      </c>
      <c r="T53" s="38"/>
      <c r="U53" s="17"/>
      <c r="V53" s="17"/>
      <c r="W53" s="30"/>
      <c r="X53" s="30"/>
      <c r="Z53" s="71"/>
      <c r="AA53" s="71"/>
      <c r="AB53" s="71"/>
      <c r="AC53" s="71"/>
    </row>
    <row r="54" spans="1:29" s="66" customFormat="1" ht="25.5">
      <c r="A54" s="319" t="s">
        <v>326</v>
      </c>
      <c r="B54" s="319"/>
      <c r="C54" s="319"/>
      <c r="D54" s="319"/>
      <c r="E54" s="319"/>
      <c r="F54" s="319"/>
      <c r="G54" s="319"/>
      <c r="H54" s="319"/>
      <c r="I54" s="319" t="s">
        <v>327</v>
      </c>
      <c r="J54" s="319"/>
      <c r="K54" s="319"/>
      <c r="L54" s="319"/>
      <c r="M54" s="319"/>
      <c r="N54" s="319"/>
      <c r="O54" s="319"/>
      <c r="P54" s="319"/>
      <c r="Q54" s="14"/>
      <c r="R54" s="15">
        <v>0</v>
      </c>
      <c r="S54" s="16"/>
      <c r="T54" s="16"/>
      <c r="U54" s="17"/>
      <c r="V54" s="17"/>
      <c r="W54" s="65"/>
      <c r="X54" s="65"/>
      <c r="Z54" s="69"/>
      <c r="AA54" s="69"/>
      <c r="AB54" s="69"/>
      <c r="AC54" s="69"/>
    </row>
    <row r="55" spans="1:29" s="66" customFormat="1">
      <c r="A55" s="67"/>
      <c r="B55" s="67"/>
      <c r="C55" s="67"/>
      <c r="D55" s="67"/>
      <c r="E55" s="67"/>
      <c r="F55" s="77"/>
      <c r="G55" s="68"/>
      <c r="H55" s="67"/>
      <c r="I55" s="67"/>
      <c r="J55" s="69"/>
      <c r="K55" s="69"/>
      <c r="L55" s="69"/>
      <c r="M55" s="69"/>
      <c r="N55" s="67"/>
      <c r="O55" s="70"/>
      <c r="P55" s="69"/>
      <c r="Q55" s="14">
        <v>0</v>
      </c>
      <c r="R55" s="15">
        <v>0</v>
      </c>
      <c r="S55" s="16"/>
      <c r="T55" s="16"/>
      <c r="U55" s="17"/>
      <c r="V55" s="17"/>
      <c r="W55" s="65"/>
      <c r="X55" s="65"/>
      <c r="Z55" s="69"/>
      <c r="AA55" s="69"/>
      <c r="AB55" s="69"/>
      <c r="AC55" s="69"/>
    </row>
    <row r="56" spans="1:29" s="66" customFormat="1">
      <c r="A56" s="67"/>
      <c r="B56" s="67"/>
      <c r="C56" s="67"/>
      <c r="D56" s="67"/>
      <c r="E56" s="67"/>
      <c r="F56" s="69"/>
      <c r="G56" s="68"/>
      <c r="H56" s="67"/>
      <c r="I56" s="67"/>
      <c r="J56" s="69"/>
      <c r="K56" s="69"/>
      <c r="L56" s="69"/>
      <c r="M56" s="71"/>
      <c r="N56" s="72"/>
      <c r="O56" s="70"/>
      <c r="P56" s="69"/>
      <c r="Q56" s="14">
        <v>0</v>
      </c>
      <c r="R56" s="15"/>
      <c r="S56" s="16"/>
      <c r="T56" s="16"/>
      <c r="U56" s="17"/>
      <c r="V56" s="17"/>
      <c r="W56" s="65"/>
      <c r="X56" s="65"/>
      <c r="Z56" s="69"/>
      <c r="AA56" s="69"/>
      <c r="AB56" s="69"/>
      <c r="AC56" s="69"/>
    </row>
    <row r="57" spans="1:29" s="66" customFormat="1">
      <c r="A57" s="67"/>
      <c r="B57" s="67"/>
      <c r="C57" s="67"/>
      <c r="D57" s="67"/>
      <c r="E57" s="67"/>
      <c r="F57" s="67"/>
      <c r="G57" s="68"/>
      <c r="H57" s="67"/>
      <c r="I57" s="69"/>
      <c r="J57" s="73"/>
      <c r="K57" s="73"/>
      <c r="L57" s="73"/>
      <c r="M57" s="69"/>
      <c r="N57" s="67"/>
      <c r="O57" s="70"/>
      <c r="P57" s="69"/>
      <c r="Q57" s="14"/>
      <c r="R57" s="15"/>
      <c r="S57" s="16"/>
      <c r="T57" s="16"/>
      <c r="U57" s="17"/>
      <c r="V57" s="17"/>
      <c r="W57" s="65"/>
      <c r="X57" s="65"/>
      <c r="Z57" s="69"/>
      <c r="AA57" s="69"/>
      <c r="AB57" s="69"/>
      <c r="AC57" s="69"/>
    </row>
    <row r="58" spans="1:29" s="66" customFormat="1">
      <c r="A58" s="67"/>
      <c r="B58" s="67"/>
      <c r="C58" s="67"/>
      <c r="D58" s="67"/>
      <c r="E58" s="67"/>
      <c r="F58" s="67"/>
      <c r="G58" s="68"/>
      <c r="H58" s="67"/>
      <c r="I58" s="67"/>
      <c r="J58" s="69"/>
      <c r="K58" s="69"/>
      <c r="L58" s="69"/>
      <c r="M58" s="69"/>
      <c r="N58" s="67"/>
      <c r="O58" s="70"/>
      <c r="P58" s="69"/>
      <c r="Q58" s="14"/>
      <c r="R58" s="15"/>
      <c r="S58" s="16"/>
      <c r="T58" s="16"/>
      <c r="U58" s="17"/>
      <c r="V58" s="17"/>
      <c r="W58" s="65"/>
      <c r="X58" s="65"/>
      <c r="Z58" s="69"/>
      <c r="AA58" s="69"/>
      <c r="AB58" s="69"/>
      <c r="AC58" s="69"/>
    </row>
    <row r="59" spans="1:29" s="66" customFormat="1">
      <c r="A59" s="67"/>
      <c r="B59" s="67"/>
      <c r="C59" s="67"/>
      <c r="D59" s="67"/>
      <c r="E59" s="67"/>
      <c r="F59" s="67"/>
      <c r="G59" s="68"/>
      <c r="H59" s="67"/>
      <c r="I59" s="67"/>
      <c r="J59" s="69"/>
      <c r="K59" s="69"/>
      <c r="L59" s="69"/>
      <c r="M59" s="69"/>
      <c r="N59" s="67"/>
      <c r="O59" s="70"/>
      <c r="P59" s="69"/>
      <c r="Q59" s="14"/>
      <c r="R59" s="15"/>
      <c r="S59" s="16"/>
      <c r="T59" s="16"/>
      <c r="U59" s="17"/>
      <c r="V59" s="17"/>
      <c r="W59" s="65"/>
      <c r="X59" s="65"/>
      <c r="Z59" s="69"/>
      <c r="AA59" s="69"/>
      <c r="AB59" s="69"/>
      <c r="AC59" s="69"/>
    </row>
    <row r="60" spans="1:29" s="66" customFormat="1">
      <c r="A60" s="67"/>
      <c r="B60" s="67"/>
      <c r="C60" s="67"/>
      <c r="D60" s="67"/>
      <c r="E60" s="67"/>
      <c r="F60" s="67"/>
      <c r="G60" s="68"/>
      <c r="H60" s="67"/>
      <c r="I60" s="67"/>
      <c r="J60" s="69"/>
      <c r="K60" s="69"/>
      <c r="L60" s="69"/>
      <c r="M60" s="69"/>
      <c r="N60" s="67"/>
      <c r="O60" s="70"/>
      <c r="P60" s="69"/>
      <c r="Q60" s="14"/>
      <c r="R60" s="15"/>
      <c r="S60" s="16"/>
      <c r="T60" s="16"/>
      <c r="U60" s="17"/>
      <c r="V60" s="17"/>
      <c r="W60" s="65"/>
      <c r="X60" s="65"/>
      <c r="Z60" s="69"/>
      <c r="AA60" s="69"/>
      <c r="AB60" s="69"/>
      <c r="AC60" s="69"/>
    </row>
    <row r="61" spans="1:29" s="66" customFormat="1">
      <c r="A61" s="67"/>
      <c r="B61" s="67"/>
      <c r="C61" s="67"/>
      <c r="D61" s="67"/>
      <c r="E61" s="67"/>
      <c r="F61" s="67"/>
      <c r="G61" s="68"/>
      <c r="H61" s="67"/>
      <c r="I61" s="67"/>
      <c r="J61" s="69"/>
      <c r="K61" s="69"/>
      <c r="L61" s="69"/>
      <c r="M61" s="69"/>
      <c r="N61" s="67"/>
      <c r="O61" s="70"/>
      <c r="P61" s="69"/>
      <c r="Q61" s="14"/>
      <c r="R61" s="15"/>
      <c r="S61" s="16"/>
      <c r="T61" s="16"/>
      <c r="U61" s="17"/>
      <c r="V61" s="17"/>
      <c r="W61" s="65"/>
      <c r="X61" s="65"/>
      <c r="Z61" s="69"/>
      <c r="AA61" s="69"/>
      <c r="AB61" s="69"/>
      <c r="AC61" s="69"/>
    </row>
    <row r="62" spans="1:29" s="66" customFormat="1">
      <c r="A62" s="67"/>
      <c r="B62" s="67"/>
      <c r="C62" s="67"/>
      <c r="D62" s="67"/>
      <c r="E62" s="67"/>
      <c r="F62" s="67"/>
      <c r="G62" s="68"/>
      <c r="H62" s="67"/>
      <c r="I62" s="67"/>
      <c r="J62" s="69"/>
      <c r="K62" s="69"/>
      <c r="L62" s="69"/>
      <c r="M62" s="69"/>
      <c r="N62" s="67"/>
      <c r="O62" s="70"/>
      <c r="P62" s="69"/>
      <c r="Q62" s="14"/>
      <c r="R62" s="15"/>
      <c r="S62" s="16"/>
      <c r="T62" s="16"/>
      <c r="U62" s="17"/>
      <c r="V62" s="17"/>
      <c r="W62" s="65"/>
      <c r="X62" s="65"/>
      <c r="Z62" s="69"/>
      <c r="AA62" s="69"/>
      <c r="AB62" s="69"/>
      <c r="AC62" s="69"/>
    </row>
    <row r="63" spans="1:29" s="66" customFormat="1">
      <c r="A63" s="67"/>
      <c r="B63" s="67"/>
      <c r="C63" s="67"/>
      <c r="D63" s="67"/>
      <c r="E63" s="67"/>
      <c r="F63" s="67"/>
      <c r="G63" s="68"/>
      <c r="H63" s="67"/>
      <c r="I63" s="67"/>
      <c r="J63" s="69"/>
      <c r="K63" s="69"/>
      <c r="L63" s="69"/>
      <c r="M63" s="69"/>
      <c r="N63" s="67"/>
      <c r="O63" s="70"/>
      <c r="P63" s="69"/>
      <c r="Q63" s="14"/>
      <c r="R63" s="15"/>
      <c r="S63" s="16"/>
      <c r="T63" s="16"/>
      <c r="U63" s="17"/>
      <c r="V63" s="17"/>
      <c r="W63" s="65"/>
      <c r="X63" s="65"/>
      <c r="Z63" s="69"/>
      <c r="AA63" s="69"/>
      <c r="AB63" s="69"/>
      <c r="AC63" s="69"/>
    </row>
    <row r="64" spans="1:29" s="66" customFormat="1">
      <c r="A64" s="67"/>
      <c r="B64" s="67"/>
      <c r="C64" s="67"/>
      <c r="D64" s="67"/>
      <c r="E64" s="67"/>
      <c r="F64" s="67"/>
      <c r="G64" s="68"/>
      <c r="H64" s="67"/>
      <c r="I64" s="67"/>
      <c r="J64" s="69"/>
      <c r="K64" s="69"/>
      <c r="L64" s="69"/>
      <c r="M64" s="69"/>
      <c r="N64" s="67"/>
      <c r="O64" s="70"/>
      <c r="P64" s="69"/>
      <c r="Q64" s="14"/>
      <c r="R64" s="15"/>
      <c r="S64" s="16"/>
      <c r="T64" s="16"/>
      <c r="U64" s="17"/>
      <c r="V64" s="17"/>
      <c r="W64" s="65"/>
      <c r="X64" s="65"/>
      <c r="Z64" s="69"/>
      <c r="AA64" s="69"/>
      <c r="AB64" s="69"/>
      <c r="AC64" s="69"/>
    </row>
    <row r="65" spans="1:29" s="66" customFormat="1">
      <c r="A65" s="67"/>
      <c r="B65" s="67"/>
      <c r="C65" s="67"/>
      <c r="D65" s="67"/>
      <c r="E65" s="67"/>
      <c r="F65" s="67"/>
      <c r="G65" s="68"/>
      <c r="H65" s="67"/>
      <c r="I65" s="67"/>
      <c r="J65" s="69"/>
      <c r="K65" s="69"/>
      <c r="L65" s="69"/>
      <c r="M65" s="69"/>
      <c r="N65" s="67"/>
      <c r="O65" s="70"/>
      <c r="P65" s="69"/>
      <c r="Q65" s="14"/>
      <c r="R65" s="15"/>
      <c r="S65" s="16"/>
      <c r="T65" s="16"/>
      <c r="U65" s="17"/>
      <c r="V65" s="17"/>
      <c r="W65" s="65"/>
      <c r="X65" s="65"/>
      <c r="Z65" s="69"/>
      <c r="AA65" s="69"/>
      <c r="AB65" s="69"/>
      <c r="AC65" s="69"/>
    </row>
    <row r="66" spans="1:29" s="66" customFormat="1">
      <c r="A66" s="67"/>
      <c r="B66" s="67"/>
      <c r="C66" s="67"/>
      <c r="D66" s="67"/>
      <c r="E66" s="67"/>
      <c r="F66" s="67"/>
      <c r="G66" s="68"/>
      <c r="H66" s="67"/>
      <c r="I66" s="67"/>
      <c r="J66" s="69"/>
      <c r="K66" s="69"/>
      <c r="L66" s="69"/>
      <c r="M66" s="69"/>
      <c r="N66" s="67"/>
      <c r="O66" s="70"/>
      <c r="P66" s="69"/>
      <c r="Q66" s="14"/>
      <c r="R66" s="15"/>
      <c r="S66" s="16"/>
      <c r="T66" s="16"/>
      <c r="U66" s="17"/>
      <c r="V66" s="17"/>
      <c r="W66" s="65"/>
      <c r="X66" s="65"/>
      <c r="Z66" s="69"/>
      <c r="AA66" s="69"/>
      <c r="AB66" s="69"/>
      <c r="AC66" s="69"/>
    </row>
    <row r="67" spans="1:29" s="66" customFormat="1">
      <c r="A67" s="67"/>
      <c r="B67" s="67"/>
      <c r="C67" s="67"/>
      <c r="D67" s="67"/>
      <c r="E67" s="67"/>
      <c r="F67" s="67"/>
      <c r="G67" s="68"/>
      <c r="H67" s="67"/>
      <c r="I67" s="67"/>
      <c r="J67" s="69"/>
      <c r="K67" s="69"/>
      <c r="L67" s="69"/>
      <c r="M67" s="69"/>
      <c r="N67" s="67"/>
      <c r="O67" s="70"/>
      <c r="P67" s="69"/>
      <c r="Q67" s="14"/>
      <c r="R67" s="15"/>
      <c r="S67" s="16"/>
      <c r="T67" s="16"/>
      <c r="U67" s="17"/>
      <c r="V67" s="17"/>
      <c r="W67" s="65"/>
      <c r="X67" s="65"/>
      <c r="Z67" s="69"/>
      <c r="AA67" s="69"/>
      <c r="AB67" s="69"/>
      <c r="AC67" s="69"/>
    </row>
    <row r="68" spans="1:29" s="66" customFormat="1">
      <c r="A68" s="67"/>
      <c r="B68" s="67"/>
      <c r="C68" s="67"/>
      <c r="D68" s="67"/>
      <c r="E68" s="67"/>
      <c r="F68" s="67"/>
      <c r="G68" s="68"/>
      <c r="H68" s="67"/>
      <c r="I68" s="67"/>
      <c r="J68" s="69"/>
      <c r="K68" s="69"/>
      <c r="L68" s="69"/>
      <c r="M68" s="69"/>
      <c r="N68" s="67"/>
      <c r="O68" s="70"/>
      <c r="P68" s="69"/>
      <c r="Q68" s="14"/>
      <c r="R68" s="15"/>
      <c r="S68" s="16"/>
      <c r="T68" s="16"/>
      <c r="U68" s="17"/>
      <c r="V68" s="17"/>
      <c r="W68" s="65"/>
      <c r="X68" s="65"/>
      <c r="Z68" s="69"/>
      <c r="AA68" s="69"/>
      <c r="AB68" s="69"/>
      <c r="AC68" s="69"/>
    </row>
    <row r="69" spans="1:29" s="66" customFormat="1">
      <c r="A69" s="67"/>
      <c r="B69" s="67"/>
      <c r="C69" s="67"/>
      <c r="D69" s="67"/>
      <c r="E69" s="67"/>
      <c r="F69" s="67"/>
      <c r="G69" s="68"/>
      <c r="H69" s="67"/>
      <c r="I69" s="67"/>
      <c r="J69" s="69"/>
      <c r="K69" s="69"/>
      <c r="L69" s="69"/>
      <c r="M69" s="69"/>
      <c r="N69" s="67"/>
      <c r="O69" s="70"/>
      <c r="P69" s="69"/>
      <c r="Q69" s="14"/>
      <c r="R69" s="15"/>
      <c r="S69" s="16"/>
      <c r="T69" s="16"/>
      <c r="U69" s="17"/>
      <c r="V69" s="17"/>
      <c r="W69" s="65"/>
      <c r="X69" s="65"/>
      <c r="Z69" s="69"/>
      <c r="AA69" s="69"/>
      <c r="AB69" s="69"/>
      <c r="AC69" s="69"/>
    </row>
    <row r="70" spans="1:29" s="66" customFormat="1">
      <c r="A70" s="67"/>
      <c r="B70" s="67"/>
      <c r="C70" s="67"/>
      <c r="D70" s="67"/>
      <c r="E70" s="67"/>
      <c r="F70" s="67"/>
      <c r="G70" s="68"/>
      <c r="H70" s="67"/>
      <c r="I70" s="67"/>
      <c r="J70" s="69"/>
      <c r="K70" s="69"/>
      <c r="L70" s="69"/>
      <c r="M70" s="69"/>
      <c r="N70" s="67"/>
      <c r="O70" s="70"/>
      <c r="P70" s="69"/>
      <c r="Q70" s="14"/>
      <c r="R70" s="15"/>
      <c r="S70" s="16"/>
      <c r="T70" s="16"/>
      <c r="U70" s="17"/>
      <c r="V70" s="17"/>
      <c r="W70" s="65"/>
      <c r="X70" s="65"/>
      <c r="Z70" s="69"/>
      <c r="AA70" s="69"/>
      <c r="AB70" s="69"/>
      <c r="AC70" s="69"/>
    </row>
    <row r="71" spans="1:29" s="66" customFormat="1">
      <c r="A71" s="67"/>
      <c r="B71" s="67"/>
      <c r="C71" s="67"/>
      <c r="D71" s="67"/>
      <c r="E71" s="67"/>
      <c r="F71" s="67"/>
      <c r="G71" s="68"/>
      <c r="H71" s="67"/>
      <c r="I71" s="67"/>
      <c r="J71" s="69"/>
      <c r="K71" s="69"/>
      <c r="L71" s="69"/>
      <c r="M71" s="69"/>
      <c r="N71" s="67"/>
      <c r="O71" s="70"/>
      <c r="P71" s="69"/>
      <c r="Q71" s="14"/>
      <c r="R71" s="15"/>
      <c r="S71" s="16"/>
      <c r="T71" s="16"/>
      <c r="U71" s="17"/>
      <c r="V71" s="17"/>
      <c r="W71" s="65"/>
      <c r="X71" s="65"/>
      <c r="Z71" s="69"/>
      <c r="AA71" s="69"/>
      <c r="AB71" s="69"/>
      <c r="AC71" s="69"/>
    </row>
    <row r="72" spans="1:29" s="66" customFormat="1">
      <c r="A72" s="67"/>
      <c r="B72" s="67"/>
      <c r="C72" s="67"/>
      <c r="D72" s="67"/>
      <c r="E72" s="67"/>
      <c r="F72" s="67"/>
      <c r="G72" s="68"/>
      <c r="H72" s="67"/>
      <c r="I72" s="67"/>
      <c r="J72" s="69"/>
      <c r="K72" s="69"/>
      <c r="L72" s="69"/>
      <c r="M72" s="69"/>
      <c r="N72" s="67"/>
      <c r="O72" s="70"/>
      <c r="P72" s="69"/>
      <c r="Q72" s="14"/>
      <c r="R72" s="15"/>
      <c r="S72" s="16"/>
      <c r="T72" s="16"/>
      <c r="U72" s="17"/>
      <c r="V72" s="17"/>
      <c r="W72" s="65"/>
      <c r="X72" s="65"/>
      <c r="Z72" s="69"/>
      <c r="AA72" s="69"/>
      <c r="AB72" s="69"/>
      <c r="AC72" s="69"/>
    </row>
    <row r="73" spans="1:29" s="66" customFormat="1">
      <c r="A73" s="67"/>
      <c r="B73" s="67"/>
      <c r="C73" s="67"/>
      <c r="D73" s="67"/>
      <c r="E73" s="67"/>
      <c r="F73" s="67"/>
      <c r="G73" s="68"/>
      <c r="H73" s="67"/>
      <c r="I73" s="67"/>
      <c r="J73" s="69"/>
      <c r="K73" s="69"/>
      <c r="L73" s="69"/>
      <c r="M73" s="69"/>
      <c r="N73" s="67"/>
      <c r="O73" s="70"/>
      <c r="P73" s="69"/>
      <c r="Q73" s="14"/>
      <c r="R73" s="15"/>
      <c r="S73" s="16"/>
      <c r="T73" s="16"/>
      <c r="U73" s="17"/>
      <c r="V73" s="17"/>
      <c r="W73" s="65"/>
      <c r="X73" s="65"/>
      <c r="Z73" s="69"/>
      <c r="AA73" s="69"/>
      <c r="AB73" s="69"/>
      <c r="AC73" s="69"/>
    </row>
    <row r="74" spans="1:29" s="66" customFormat="1">
      <c r="A74" s="67"/>
      <c r="B74" s="67"/>
      <c r="C74" s="67"/>
      <c r="D74" s="67"/>
      <c r="E74" s="67"/>
      <c r="F74" s="67"/>
      <c r="G74" s="68"/>
      <c r="H74" s="67"/>
      <c r="I74" s="67"/>
      <c r="J74" s="69"/>
      <c r="K74" s="69"/>
      <c r="L74" s="69"/>
      <c r="M74" s="69"/>
      <c r="N74" s="67"/>
      <c r="O74" s="70"/>
      <c r="P74" s="69"/>
      <c r="Q74" s="14"/>
      <c r="R74" s="15"/>
      <c r="S74" s="16"/>
      <c r="T74" s="16"/>
      <c r="U74" s="17"/>
      <c r="V74" s="17"/>
      <c r="W74" s="65"/>
      <c r="X74" s="65"/>
      <c r="Z74" s="69"/>
      <c r="AA74" s="69"/>
      <c r="AB74" s="69"/>
      <c r="AC74" s="69"/>
    </row>
    <row r="75" spans="1:29" s="66" customFormat="1">
      <c r="A75" s="67"/>
      <c r="B75" s="67"/>
      <c r="C75" s="67"/>
      <c r="D75" s="67"/>
      <c r="E75" s="67"/>
      <c r="F75" s="67"/>
      <c r="G75" s="68"/>
      <c r="H75" s="67"/>
      <c r="I75" s="67"/>
      <c r="J75" s="69"/>
      <c r="K75" s="69"/>
      <c r="L75" s="69"/>
      <c r="M75" s="69"/>
      <c r="N75" s="67"/>
      <c r="O75" s="70"/>
      <c r="P75" s="69"/>
      <c r="Q75" s="14"/>
      <c r="R75" s="15"/>
      <c r="S75" s="16"/>
      <c r="T75" s="16"/>
      <c r="U75" s="17"/>
      <c r="V75" s="17"/>
      <c r="W75" s="65"/>
      <c r="X75" s="65"/>
      <c r="Z75" s="69"/>
      <c r="AA75" s="69"/>
      <c r="AB75" s="69"/>
      <c r="AC75" s="69"/>
    </row>
    <row r="76" spans="1:29" s="66" customFormat="1">
      <c r="A76" s="67"/>
      <c r="B76" s="67"/>
      <c r="C76" s="67"/>
      <c r="D76" s="67"/>
      <c r="E76" s="67"/>
      <c r="F76" s="67"/>
      <c r="G76" s="68"/>
      <c r="H76" s="67"/>
      <c r="I76" s="67"/>
      <c r="J76" s="69"/>
      <c r="K76" s="69"/>
      <c r="L76" s="69"/>
      <c r="M76" s="69"/>
      <c r="N76" s="67"/>
      <c r="O76" s="70"/>
      <c r="P76" s="69"/>
      <c r="Q76" s="14"/>
      <c r="R76" s="15"/>
      <c r="S76" s="16"/>
      <c r="T76" s="16"/>
      <c r="U76" s="17"/>
      <c r="V76" s="17"/>
      <c r="W76" s="65"/>
      <c r="X76" s="65"/>
      <c r="Z76" s="69"/>
      <c r="AA76" s="69"/>
      <c r="AB76" s="69"/>
      <c r="AC76" s="69"/>
    </row>
    <row r="77" spans="1:29" s="66" customFormat="1">
      <c r="A77" s="67"/>
      <c r="B77" s="67"/>
      <c r="C77" s="67"/>
      <c r="D77" s="67"/>
      <c r="E77" s="67"/>
      <c r="F77" s="67"/>
      <c r="G77" s="68"/>
      <c r="H77" s="67"/>
      <c r="I77" s="67"/>
      <c r="J77" s="69"/>
      <c r="K77" s="69"/>
      <c r="L77" s="69"/>
      <c r="M77" s="69"/>
      <c r="N77" s="67"/>
      <c r="O77" s="70"/>
      <c r="P77" s="69"/>
      <c r="Q77" s="14"/>
      <c r="R77" s="15"/>
      <c r="S77" s="16"/>
      <c r="T77" s="16"/>
      <c r="U77" s="17"/>
      <c r="V77" s="17"/>
      <c r="W77" s="65"/>
      <c r="X77" s="65"/>
      <c r="Z77" s="69"/>
      <c r="AA77" s="69"/>
      <c r="AB77" s="69"/>
      <c r="AC77" s="69"/>
    </row>
    <row r="78" spans="1:29" s="66" customFormat="1">
      <c r="A78" s="67"/>
      <c r="B78" s="67"/>
      <c r="C78" s="67"/>
      <c r="D78" s="67"/>
      <c r="E78" s="67"/>
      <c r="F78" s="67"/>
      <c r="G78" s="68"/>
      <c r="H78" s="67"/>
      <c r="I78" s="67"/>
      <c r="J78" s="69"/>
      <c r="K78" s="69"/>
      <c r="L78" s="69"/>
      <c r="M78" s="69"/>
      <c r="N78" s="67"/>
      <c r="O78" s="70"/>
      <c r="P78" s="69"/>
      <c r="Q78" s="14"/>
      <c r="R78" s="15"/>
      <c r="S78" s="16"/>
      <c r="T78" s="16"/>
      <c r="U78" s="17"/>
      <c r="V78" s="17"/>
      <c r="W78" s="65"/>
      <c r="X78" s="65"/>
      <c r="Z78" s="69"/>
      <c r="AA78" s="69"/>
      <c r="AB78" s="69"/>
      <c r="AC78" s="69"/>
    </row>
    <row r="79" spans="1:29" s="66" customFormat="1">
      <c r="A79" s="67"/>
      <c r="B79" s="67"/>
      <c r="C79" s="67"/>
      <c r="D79" s="67"/>
      <c r="E79" s="67"/>
      <c r="F79" s="67"/>
      <c r="G79" s="68"/>
      <c r="H79" s="67"/>
      <c r="I79" s="67"/>
      <c r="J79" s="69"/>
      <c r="K79" s="69"/>
      <c r="L79" s="69"/>
      <c r="M79" s="69"/>
      <c r="N79" s="67"/>
      <c r="O79" s="70"/>
      <c r="P79" s="69"/>
      <c r="Q79" s="14"/>
      <c r="R79" s="15"/>
      <c r="S79" s="16"/>
      <c r="T79" s="16"/>
      <c r="U79" s="17"/>
      <c r="V79" s="17"/>
      <c r="W79" s="65"/>
      <c r="X79" s="65"/>
      <c r="Z79" s="69"/>
      <c r="AA79" s="69"/>
      <c r="AB79" s="69"/>
      <c r="AC79" s="69"/>
    </row>
    <row r="80" spans="1:29" s="66" customFormat="1">
      <c r="A80" s="67"/>
      <c r="B80" s="67"/>
      <c r="C80" s="67"/>
      <c r="D80" s="67"/>
      <c r="E80" s="67"/>
      <c r="F80" s="67"/>
      <c r="G80" s="68"/>
      <c r="H80" s="67"/>
      <c r="I80" s="67"/>
      <c r="J80" s="69"/>
      <c r="K80" s="69"/>
      <c r="L80" s="69"/>
      <c r="M80" s="69"/>
      <c r="N80" s="67"/>
      <c r="O80" s="70"/>
      <c r="P80" s="69"/>
      <c r="Q80" s="14"/>
      <c r="R80" s="15"/>
      <c r="S80" s="16"/>
      <c r="T80" s="16"/>
      <c r="U80" s="17"/>
      <c r="V80" s="17"/>
      <c r="W80" s="65"/>
      <c r="X80" s="65"/>
      <c r="Z80" s="69"/>
      <c r="AA80" s="69"/>
      <c r="AB80" s="69"/>
      <c r="AC80" s="69"/>
    </row>
    <row r="81" spans="1:29" s="66" customFormat="1">
      <c r="A81" s="67"/>
      <c r="B81" s="67"/>
      <c r="C81" s="67"/>
      <c r="D81" s="67"/>
      <c r="E81" s="67"/>
      <c r="F81" s="67"/>
      <c r="G81" s="68"/>
      <c r="H81" s="67"/>
      <c r="I81" s="67"/>
      <c r="J81" s="69"/>
      <c r="K81" s="69"/>
      <c r="L81" s="69"/>
      <c r="M81" s="69"/>
      <c r="N81" s="67"/>
      <c r="O81" s="70"/>
      <c r="P81" s="69"/>
      <c r="Q81" s="14"/>
      <c r="R81" s="15"/>
      <c r="S81" s="16"/>
      <c r="T81" s="16"/>
      <c r="U81" s="17"/>
      <c r="V81" s="17"/>
      <c r="W81" s="65"/>
      <c r="X81" s="65"/>
      <c r="Z81" s="69"/>
      <c r="AA81" s="69"/>
      <c r="AB81" s="69"/>
      <c r="AC81" s="69"/>
    </row>
    <row r="82" spans="1:29" s="66" customFormat="1">
      <c r="A82" s="67"/>
      <c r="B82" s="67"/>
      <c r="C82" s="67"/>
      <c r="D82" s="67"/>
      <c r="E82" s="67"/>
      <c r="F82" s="67"/>
      <c r="G82" s="68"/>
      <c r="H82" s="67"/>
      <c r="I82" s="67"/>
      <c r="J82" s="69"/>
      <c r="K82" s="69"/>
      <c r="L82" s="69"/>
      <c r="M82" s="69"/>
      <c r="N82" s="67"/>
      <c r="O82" s="70"/>
      <c r="P82" s="69"/>
      <c r="Q82" s="14"/>
      <c r="R82" s="15"/>
      <c r="S82" s="16"/>
      <c r="T82" s="16"/>
      <c r="U82" s="17"/>
      <c r="V82" s="17"/>
      <c r="W82" s="65"/>
      <c r="X82" s="65"/>
      <c r="Z82" s="69"/>
      <c r="AA82" s="69"/>
      <c r="AB82" s="69"/>
      <c r="AC82" s="69"/>
    </row>
    <row r="83" spans="1:29" s="66" customFormat="1">
      <c r="A83" s="67"/>
      <c r="B83" s="67"/>
      <c r="C83" s="67"/>
      <c r="D83" s="67"/>
      <c r="E83" s="67"/>
      <c r="F83" s="67"/>
      <c r="G83" s="68"/>
      <c r="H83" s="67"/>
      <c r="I83" s="67"/>
      <c r="J83" s="69"/>
      <c r="K83" s="69"/>
      <c r="L83" s="69"/>
      <c r="M83" s="69"/>
      <c r="N83" s="67"/>
      <c r="O83" s="70"/>
      <c r="P83" s="69"/>
      <c r="Q83" s="14"/>
      <c r="R83" s="15"/>
      <c r="S83" s="16"/>
      <c r="T83" s="16"/>
      <c r="U83" s="17"/>
      <c r="V83" s="17"/>
      <c r="W83" s="65"/>
      <c r="X83" s="65"/>
      <c r="Z83" s="69"/>
      <c r="AA83" s="69"/>
      <c r="AB83" s="69"/>
      <c r="AC83" s="69"/>
    </row>
    <row r="84" spans="1:29" s="66" customFormat="1">
      <c r="A84" s="67"/>
      <c r="B84" s="67"/>
      <c r="C84" s="67"/>
      <c r="D84" s="67"/>
      <c r="E84" s="67"/>
      <c r="F84" s="67"/>
      <c r="G84" s="68"/>
      <c r="H84" s="67"/>
      <c r="I84" s="67"/>
      <c r="J84" s="69"/>
      <c r="K84" s="69"/>
      <c r="L84" s="69"/>
      <c r="M84" s="69"/>
      <c r="N84" s="67"/>
      <c r="O84" s="70"/>
      <c r="P84" s="69"/>
      <c r="Q84" s="14"/>
      <c r="R84" s="15"/>
      <c r="S84" s="16"/>
      <c r="T84" s="16"/>
      <c r="U84" s="17"/>
      <c r="V84" s="17"/>
      <c r="W84" s="65"/>
      <c r="X84" s="65"/>
      <c r="Z84" s="69"/>
      <c r="AA84" s="69"/>
      <c r="AB84" s="69"/>
      <c r="AC84" s="69"/>
    </row>
    <row r="85" spans="1:29" s="66" customFormat="1">
      <c r="A85" s="67"/>
      <c r="B85" s="67"/>
      <c r="C85" s="67"/>
      <c r="D85" s="67"/>
      <c r="E85" s="67"/>
      <c r="F85" s="67"/>
      <c r="G85" s="68"/>
      <c r="H85" s="67"/>
      <c r="I85" s="67"/>
      <c r="J85" s="69"/>
      <c r="K85" s="69"/>
      <c r="L85" s="69"/>
      <c r="M85" s="69"/>
      <c r="N85" s="67"/>
      <c r="O85" s="70"/>
      <c r="P85" s="69"/>
      <c r="Q85" s="14"/>
      <c r="R85" s="15"/>
      <c r="S85" s="16"/>
      <c r="T85" s="16"/>
      <c r="U85" s="17"/>
      <c r="V85" s="17"/>
      <c r="W85" s="65"/>
      <c r="X85" s="65"/>
      <c r="Z85" s="69"/>
      <c r="AA85" s="69"/>
      <c r="AB85" s="69"/>
      <c r="AC85" s="69"/>
    </row>
    <row r="86" spans="1:29" s="66" customFormat="1">
      <c r="A86" s="67"/>
      <c r="B86" s="67"/>
      <c r="C86" s="67"/>
      <c r="D86" s="67"/>
      <c r="E86" s="67"/>
      <c r="F86" s="67"/>
      <c r="G86" s="68"/>
      <c r="H86" s="67"/>
      <c r="I86" s="67"/>
      <c r="J86" s="69"/>
      <c r="K86" s="69"/>
      <c r="L86" s="69"/>
      <c r="M86" s="69"/>
      <c r="N86" s="67"/>
      <c r="O86" s="70"/>
      <c r="P86" s="69"/>
      <c r="Q86" s="14"/>
      <c r="R86" s="15"/>
      <c r="S86" s="16"/>
      <c r="T86" s="16"/>
      <c r="U86" s="17"/>
      <c r="V86" s="17"/>
      <c r="W86" s="65"/>
      <c r="X86" s="65"/>
      <c r="Z86" s="69"/>
      <c r="AA86" s="69"/>
      <c r="AB86" s="69"/>
      <c r="AC86" s="69"/>
    </row>
    <row r="87" spans="1:29" s="66" customFormat="1">
      <c r="A87" s="67"/>
      <c r="B87" s="67"/>
      <c r="C87" s="67"/>
      <c r="D87" s="67"/>
      <c r="E87" s="67"/>
      <c r="F87" s="67"/>
      <c r="G87" s="68"/>
      <c r="H87" s="67"/>
      <c r="I87" s="67"/>
      <c r="J87" s="69"/>
      <c r="K87" s="69"/>
      <c r="L87" s="69"/>
      <c r="M87" s="69"/>
      <c r="N87" s="67"/>
      <c r="O87" s="70"/>
      <c r="P87" s="69"/>
      <c r="Q87" s="14"/>
      <c r="R87" s="15"/>
      <c r="S87" s="16"/>
      <c r="T87" s="16"/>
      <c r="U87" s="17"/>
      <c r="V87" s="17"/>
      <c r="W87" s="65"/>
      <c r="X87" s="65"/>
      <c r="Z87" s="69"/>
      <c r="AA87" s="69"/>
      <c r="AB87" s="69"/>
      <c r="AC87" s="69"/>
    </row>
    <row r="88" spans="1:29" s="66" customFormat="1">
      <c r="A88" s="67"/>
      <c r="B88" s="67"/>
      <c r="C88" s="67"/>
      <c r="D88" s="67"/>
      <c r="E88" s="67"/>
      <c r="F88" s="67"/>
      <c r="G88" s="68"/>
      <c r="H88" s="67"/>
      <c r="I88" s="67"/>
      <c r="J88" s="69"/>
      <c r="K88" s="69"/>
      <c r="L88" s="69"/>
      <c r="M88" s="69"/>
      <c r="N88" s="67"/>
      <c r="O88" s="70"/>
      <c r="P88" s="69"/>
      <c r="Q88" s="14"/>
      <c r="R88" s="15"/>
      <c r="S88" s="16"/>
      <c r="T88" s="16"/>
      <c r="U88" s="17"/>
      <c r="V88" s="17"/>
      <c r="W88" s="65"/>
      <c r="X88" s="65"/>
      <c r="Z88" s="69"/>
      <c r="AA88" s="69"/>
      <c r="AB88" s="69"/>
      <c r="AC88" s="69"/>
    </row>
    <row r="89" spans="1:29" s="66" customFormat="1">
      <c r="A89" s="67"/>
      <c r="B89" s="67"/>
      <c r="C89" s="67"/>
      <c r="D89" s="67"/>
      <c r="E89" s="67"/>
      <c r="F89" s="67"/>
      <c r="G89" s="68"/>
      <c r="H89" s="67"/>
      <c r="I89" s="67"/>
      <c r="J89" s="69"/>
      <c r="K89" s="69"/>
      <c r="L89" s="69"/>
      <c r="M89" s="69"/>
      <c r="N89" s="67"/>
      <c r="O89" s="70"/>
      <c r="P89" s="69"/>
      <c r="Q89" s="14"/>
      <c r="R89" s="15"/>
      <c r="S89" s="16"/>
      <c r="T89" s="16"/>
      <c r="U89" s="17"/>
      <c r="V89" s="17"/>
      <c r="W89" s="65"/>
      <c r="X89" s="65"/>
      <c r="Z89" s="69"/>
      <c r="AA89" s="69"/>
      <c r="AB89" s="69"/>
      <c r="AC89" s="69"/>
    </row>
    <row r="90" spans="1:29" s="66" customFormat="1">
      <c r="A90" s="67"/>
      <c r="B90" s="67"/>
      <c r="C90" s="67"/>
      <c r="D90" s="67"/>
      <c r="E90" s="67"/>
      <c r="F90" s="67"/>
      <c r="G90" s="68"/>
      <c r="H90" s="67"/>
      <c r="I90" s="67"/>
      <c r="J90" s="69"/>
      <c r="K90" s="69"/>
      <c r="L90" s="69"/>
      <c r="M90" s="69"/>
      <c r="N90" s="67"/>
      <c r="O90" s="70"/>
      <c r="P90" s="69"/>
      <c r="Q90" s="14"/>
      <c r="R90" s="15"/>
      <c r="S90" s="16"/>
      <c r="T90" s="16"/>
      <c r="U90" s="17"/>
      <c r="V90" s="17"/>
      <c r="W90" s="65"/>
      <c r="X90" s="65"/>
      <c r="Z90" s="69"/>
      <c r="AA90" s="69"/>
      <c r="AB90" s="69"/>
      <c r="AC90" s="69"/>
    </row>
    <row r="91" spans="1:29" s="66" customFormat="1">
      <c r="A91" s="67"/>
      <c r="B91" s="67"/>
      <c r="C91" s="67"/>
      <c r="D91" s="67"/>
      <c r="E91" s="67"/>
      <c r="F91" s="67"/>
      <c r="G91" s="68"/>
      <c r="H91" s="67"/>
      <c r="I91" s="67"/>
      <c r="J91" s="69"/>
      <c r="K91" s="69"/>
      <c r="L91" s="69"/>
      <c r="M91" s="69"/>
      <c r="N91" s="67"/>
      <c r="O91" s="70"/>
      <c r="P91" s="69"/>
      <c r="Q91" s="14"/>
      <c r="R91" s="15"/>
      <c r="S91" s="16"/>
      <c r="T91" s="16"/>
      <c r="U91" s="17"/>
      <c r="V91" s="17"/>
      <c r="W91" s="65"/>
      <c r="X91" s="65"/>
      <c r="Z91" s="69"/>
      <c r="AA91" s="69"/>
      <c r="AB91" s="69"/>
      <c r="AC91" s="69"/>
    </row>
    <row r="92" spans="1:29" s="66" customFormat="1">
      <c r="A92" s="67"/>
      <c r="B92" s="67"/>
      <c r="C92" s="67"/>
      <c r="D92" s="67"/>
      <c r="E92" s="67"/>
      <c r="F92" s="67"/>
      <c r="G92" s="68"/>
      <c r="H92" s="67"/>
      <c r="I92" s="67"/>
      <c r="J92" s="69"/>
      <c r="K92" s="69"/>
      <c r="L92" s="69"/>
      <c r="M92" s="69"/>
      <c r="N92" s="67"/>
      <c r="O92" s="70"/>
      <c r="P92" s="69"/>
      <c r="Q92" s="14"/>
      <c r="R92" s="15"/>
      <c r="S92" s="16"/>
      <c r="T92" s="16"/>
      <c r="U92" s="17"/>
      <c r="V92" s="17"/>
      <c r="W92" s="65"/>
      <c r="X92" s="65"/>
      <c r="Z92" s="69"/>
      <c r="AA92" s="69"/>
      <c r="AB92" s="69"/>
      <c r="AC92" s="69"/>
    </row>
    <row r="93" spans="1:29" s="66" customFormat="1">
      <c r="A93" s="67"/>
      <c r="B93" s="67"/>
      <c r="C93" s="67"/>
      <c r="D93" s="67"/>
      <c r="E93" s="67"/>
      <c r="F93" s="67"/>
      <c r="G93" s="68"/>
      <c r="H93" s="67"/>
      <c r="I93" s="67"/>
      <c r="J93" s="69"/>
      <c r="K93" s="69"/>
      <c r="L93" s="69"/>
      <c r="M93" s="69"/>
      <c r="N93" s="67"/>
      <c r="O93" s="70"/>
      <c r="P93" s="69"/>
      <c r="Q93" s="14"/>
      <c r="R93" s="15"/>
      <c r="S93" s="16"/>
      <c r="T93" s="16"/>
      <c r="U93" s="17"/>
      <c r="V93" s="17"/>
      <c r="W93" s="65"/>
      <c r="X93" s="65"/>
      <c r="Z93" s="69"/>
      <c r="AA93" s="69"/>
      <c r="AB93" s="69"/>
      <c r="AC93" s="69"/>
    </row>
    <row r="94" spans="1:29" s="66" customFormat="1">
      <c r="A94" s="67"/>
      <c r="B94" s="67"/>
      <c r="C94" s="67"/>
      <c r="D94" s="67"/>
      <c r="E94" s="67"/>
      <c r="F94" s="67"/>
      <c r="G94" s="68"/>
      <c r="H94" s="67"/>
      <c r="I94" s="67"/>
      <c r="J94" s="69"/>
      <c r="K94" s="69"/>
      <c r="L94" s="69"/>
      <c r="M94" s="69"/>
      <c r="N94" s="67"/>
      <c r="O94" s="70"/>
      <c r="P94" s="69"/>
      <c r="Q94" s="14"/>
      <c r="R94" s="15"/>
      <c r="S94" s="16"/>
      <c r="T94" s="16"/>
      <c r="U94" s="17"/>
      <c r="V94" s="17"/>
      <c r="W94" s="65"/>
      <c r="X94" s="65"/>
      <c r="Z94" s="69"/>
      <c r="AA94" s="69"/>
      <c r="AB94" s="69"/>
      <c r="AC94" s="69"/>
    </row>
    <row r="95" spans="1:29" s="66" customFormat="1">
      <c r="A95" s="67"/>
      <c r="B95" s="67"/>
      <c r="C95" s="67"/>
      <c r="D95" s="67"/>
      <c r="E95" s="67"/>
      <c r="F95" s="67"/>
      <c r="G95" s="68"/>
      <c r="H95" s="67"/>
      <c r="I95" s="67"/>
      <c r="J95" s="69"/>
      <c r="K95" s="69"/>
      <c r="L95" s="69"/>
      <c r="M95" s="69"/>
      <c r="N95" s="67"/>
      <c r="O95" s="70"/>
      <c r="P95" s="69"/>
      <c r="Q95" s="14"/>
      <c r="R95" s="15"/>
      <c r="S95" s="16"/>
      <c r="T95" s="16"/>
      <c r="U95" s="17"/>
      <c r="V95" s="17"/>
      <c r="W95" s="65"/>
      <c r="X95" s="65"/>
      <c r="Z95" s="69"/>
      <c r="AA95" s="69"/>
      <c r="AB95" s="69"/>
      <c r="AC95" s="69"/>
    </row>
    <row r="96" spans="1:29" s="66" customFormat="1">
      <c r="A96" s="67"/>
      <c r="B96" s="67"/>
      <c r="C96" s="67"/>
      <c r="D96" s="67"/>
      <c r="E96" s="67"/>
      <c r="F96" s="67"/>
      <c r="G96" s="68"/>
      <c r="H96" s="67"/>
      <c r="I96" s="67"/>
      <c r="J96" s="69"/>
      <c r="K96" s="69"/>
      <c r="L96" s="69"/>
      <c r="M96" s="69"/>
      <c r="N96" s="67"/>
      <c r="O96" s="70"/>
      <c r="P96" s="69"/>
      <c r="Q96" s="14"/>
      <c r="R96" s="15"/>
      <c r="S96" s="16"/>
      <c r="T96" s="16"/>
      <c r="U96" s="17"/>
      <c r="V96" s="17"/>
      <c r="W96" s="65"/>
      <c r="X96" s="65"/>
      <c r="Z96" s="69"/>
      <c r="AA96" s="69"/>
      <c r="AB96" s="69"/>
      <c r="AC96" s="69"/>
    </row>
    <row r="97" spans="1:29" s="66" customFormat="1">
      <c r="A97" s="67"/>
      <c r="B97" s="67"/>
      <c r="C97" s="67"/>
      <c r="D97" s="67"/>
      <c r="E97" s="67"/>
      <c r="F97" s="67"/>
      <c r="G97" s="68"/>
      <c r="H97" s="67"/>
      <c r="I97" s="67"/>
      <c r="J97" s="69"/>
      <c r="K97" s="69"/>
      <c r="L97" s="69"/>
      <c r="M97" s="69"/>
      <c r="N97" s="67"/>
      <c r="O97" s="70"/>
      <c r="P97" s="69"/>
      <c r="Q97" s="14"/>
      <c r="R97" s="15"/>
      <c r="S97" s="16"/>
      <c r="T97" s="16"/>
      <c r="U97" s="17"/>
      <c r="V97" s="17"/>
      <c r="W97" s="65"/>
      <c r="X97" s="65"/>
      <c r="Z97" s="69"/>
      <c r="AA97" s="69"/>
      <c r="AB97" s="69"/>
      <c r="AC97" s="69"/>
    </row>
    <row r="98" spans="1:29" s="66" customFormat="1">
      <c r="A98" s="67"/>
      <c r="B98" s="67"/>
      <c r="C98" s="67"/>
      <c r="D98" s="67"/>
      <c r="E98" s="67"/>
      <c r="F98" s="67"/>
      <c r="G98" s="68"/>
      <c r="H98" s="67"/>
      <c r="I98" s="67"/>
      <c r="J98" s="69"/>
      <c r="K98" s="69"/>
      <c r="L98" s="69"/>
      <c r="M98" s="69"/>
      <c r="N98" s="67"/>
      <c r="O98" s="70"/>
      <c r="P98" s="69"/>
      <c r="Q98" s="14"/>
      <c r="R98" s="15"/>
      <c r="S98" s="16"/>
      <c r="T98" s="16"/>
      <c r="U98" s="17"/>
      <c r="V98" s="17"/>
      <c r="W98" s="65"/>
      <c r="X98" s="65"/>
      <c r="Z98" s="69"/>
      <c r="AA98" s="69"/>
      <c r="AB98" s="69"/>
      <c r="AC98" s="69"/>
    </row>
    <row r="99" spans="1:29" s="66" customFormat="1">
      <c r="A99" s="67"/>
      <c r="B99" s="67"/>
      <c r="C99" s="67"/>
      <c r="D99" s="67"/>
      <c r="E99" s="67"/>
      <c r="F99" s="67"/>
      <c r="G99" s="68"/>
      <c r="H99" s="67"/>
      <c r="I99" s="67"/>
      <c r="J99" s="69"/>
      <c r="K99" s="69"/>
      <c r="L99" s="69"/>
      <c r="M99" s="69"/>
      <c r="N99" s="67"/>
      <c r="O99" s="70"/>
      <c r="P99" s="69"/>
      <c r="Q99" s="14"/>
      <c r="R99" s="15"/>
      <c r="S99" s="16"/>
      <c r="T99" s="16"/>
      <c r="U99" s="17"/>
      <c r="V99" s="17"/>
      <c r="W99" s="65"/>
      <c r="X99" s="65"/>
      <c r="Z99" s="69"/>
      <c r="AA99" s="69"/>
      <c r="AB99" s="69"/>
      <c r="AC99" s="69"/>
    </row>
    <row r="100" spans="1:29" s="66" customFormat="1">
      <c r="A100" s="67"/>
      <c r="B100" s="67"/>
      <c r="C100" s="67"/>
      <c r="D100" s="67"/>
      <c r="E100" s="67"/>
      <c r="F100" s="67"/>
      <c r="G100" s="68"/>
      <c r="H100" s="67"/>
      <c r="I100" s="67"/>
      <c r="J100" s="69"/>
      <c r="K100" s="69"/>
      <c r="L100" s="69"/>
      <c r="M100" s="69"/>
      <c r="N100" s="67"/>
      <c r="O100" s="70"/>
      <c r="P100" s="69"/>
      <c r="Q100" s="14"/>
      <c r="R100" s="15"/>
      <c r="S100" s="16"/>
      <c r="T100" s="16"/>
      <c r="U100" s="17"/>
      <c r="V100" s="17"/>
      <c r="W100" s="65"/>
      <c r="X100" s="65"/>
      <c r="Z100" s="69"/>
      <c r="AA100" s="69"/>
      <c r="AB100" s="69"/>
      <c r="AC100" s="69"/>
    </row>
    <row r="101" spans="1:29" s="66" customFormat="1">
      <c r="A101" s="67"/>
      <c r="B101" s="67"/>
      <c r="C101" s="67"/>
      <c r="D101" s="67"/>
      <c r="E101" s="67"/>
      <c r="F101" s="67"/>
      <c r="G101" s="68"/>
      <c r="H101" s="67"/>
      <c r="I101" s="67"/>
      <c r="J101" s="69"/>
      <c r="K101" s="69"/>
      <c r="L101" s="69"/>
      <c r="M101" s="69"/>
      <c r="N101" s="67"/>
      <c r="O101" s="70"/>
      <c r="P101" s="69"/>
      <c r="Q101" s="14"/>
      <c r="R101" s="15"/>
      <c r="S101" s="16"/>
      <c r="T101" s="16"/>
      <c r="U101" s="17"/>
      <c r="V101" s="17"/>
      <c r="W101" s="65"/>
      <c r="X101" s="65"/>
      <c r="Z101" s="69"/>
      <c r="AA101" s="69"/>
      <c r="AB101" s="69"/>
      <c r="AC101" s="69"/>
    </row>
    <row r="102" spans="1:29" s="66" customFormat="1">
      <c r="A102" s="67"/>
      <c r="B102" s="67"/>
      <c r="C102" s="67"/>
      <c r="D102" s="67"/>
      <c r="E102" s="67"/>
      <c r="F102" s="67"/>
      <c r="G102" s="68"/>
      <c r="H102" s="67"/>
      <c r="I102" s="67"/>
      <c r="J102" s="69"/>
      <c r="K102" s="69"/>
      <c r="L102" s="69"/>
      <c r="M102" s="69"/>
      <c r="N102" s="67"/>
      <c r="O102" s="70"/>
      <c r="P102" s="69"/>
      <c r="Q102" s="14"/>
      <c r="R102" s="15"/>
      <c r="S102" s="16"/>
      <c r="T102" s="16"/>
      <c r="U102" s="17"/>
      <c r="V102" s="17"/>
      <c r="W102" s="65"/>
      <c r="X102" s="65"/>
      <c r="Z102" s="69"/>
      <c r="AA102" s="69"/>
      <c r="AB102" s="69"/>
      <c r="AC102" s="69"/>
    </row>
    <row r="103" spans="1:29" s="66" customFormat="1">
      <c r="A103" s="67"/>
      <c r="B103" s="67"/>
      <c r="C103" s="67"/>
      <c r="D103" s="67"/>
      <c r="E103" s="67"/>
      <c r="F103" s="67"/>
      <c r="G103" s="68"/>
      <c r="H103" s="67"/>
      <c r="I103" s="67"/>
      <c r="J103" s="69"/>
      <c r="K103" s="69"/>
      <c r="L103" s="69"/>
      <c r="M103" s="69"/>
      <c r="N103" s="67"/>
      <c r="O103" s="70"/>
      <c r="P103" s="69"/>
      <c r="Q103" s="14"/>
      <c r="R103" s="15"/>
      <c r="S103" s="16"/>
      <c r="T103" s="16"/>
      <c r="U103" s="17"/>
      <c r="V103" s="17"/>
      <c r="W103" s="65"/>
      <c r="X103" s="65"/>
      <c r="Z103" s="69"/>
      <c r="AA103" s="69"/>
      <c r="AB103" s="69"/>
      <c r="AC103" s="69"/>
    </row>
    <row r="104" spans="1:29" s="66" customFormat="1">
      <c r="A104" s="67"/>
      <c r="B104" s="67"/>
      <c r="C104" s="67"/>
      <c r="D104" s="67"/>
      <c r="E104" s="67"/>
      <c r="F104" s="67"/>
      <c r="G104" s="68"/>
      <c r="H104" s="67"/>
      <c r="I104" s="67"/>
      <c r="J104" s="69"/>
      <c r="K104" s="69"/>
      <c r="L104" s="69"/>
      <c r="M104" s="69"/>
      <c r="N104" s="67"/>
      <c r="O104" s="70"/>
      <c r="P104" s="69"/>
      <c r="Q104" s="14"/>
      <c r="R104" s="15"/>
      <c r="S104" s="16"/>
      <c r="T104" s="16"/>
      <c r="U104" s="17"/>
      <c r="V104" s="17"/>
      <c r="W104" s="65"/>
      <c r="X104" s="65"/>
      <c r="Z104" s="69"/>
      <c r="AA104" s="69"/>
      <c r="AB104" s="69"/>
      <c r="AC104" s="69"/>
    </row>
    <row r="105" spans="1:29" s="66" customFormat="1">
      <c r="A105" s="67"/>
      <c r="B105" s="67"/>
      <c r="C105" s="67"/>
      <c r="D105" s="67"/>
      <c r="E105" s="67"/>
      <c r="F105" s="67"/>
      <c r="G105" s="68"/>
      <c r="H105" s="67"/>
      <c r="I105" s="67"/>
      <c r="J105" s="69"/>
      <c r="K105" s="69"/>
      <c r="L105" s="69"/>
      <c r="M105" s="69"/>
      <c r="N105" s="67"/>
      <c r="O105" s="70"/>
      <c r="P105" s="69"/>
      <c r="Q105" s="14"/>
      <c r="R105" s="15"/>
      <c r="S105" s="16"/>
      <c r="T105" s="16"/>
      <c r="U105" s="17"/>
      <c r="V105" s="17"/>
      <c r="W105" s="65"/>
      <c r="X105" s="65"/>
      <c r="Z105" s="69"/>
      <c r="AA105" s="69"/>
      <c r="AB105" s="69"/>
      <c r="AC105" s="69"/>
    </row>
    <row r="106" spans="1:29" s="66" customFormat="1">
      <c r="A106" s="67"/>
      <c r="B106" s="67"/>
      <c r="C106" s="67"/>
      <c r="D106" s="67"/>
      <c r="E106" s="67"/>
      <c r="F106" s="67"/>
      <c r="G106" s="68"/>
      <c r="H106" s="67"/>
      <c r="I106" s="67"/>
      <c r="J106" s="69"/>
      <c r="K106" s="69"/>
      <c r="L106" s="69"/>
      <c r="M106" s="69"/>
      <c r="N106" s="67"/>
      <c r="O106" s="70"/>
      <c r="P106" s="69"/>
      <c r="Q106" s="14"/>
      <c r="R106" s="15"/>
      <c r="S106" s="16"/>
      <c r="T106" s="16"/>
      <c r="U106" s="17"/>
      <c r="V106" s="17"/>
      <c r="W106" s="65"/>
      <c r="X106" s="65"/>
      <c r="Z106" s="69"/>
      <c r="AA106" s="69"/>
      <c r="AB106" s="69"/>
      <c r="AC106" s="69"/>
    </row>
    <row r="107" spans="1:29" s="66" customFormat="1">
      <c r="A107" s="67"/>
      <c r="B107" s="67"/>
      <c r="C107" s="67"/>
      <c r="D107" s="67"/>
      <c r="E107" s="67"/>
      <c r="F107" s="67"/>
      <c r="G107" s="68"/>
      <c r="H107" s="67"/>
      <c r="I107" s="67"/>
      <c r="J107" s="69"/>
      <c r="K107" s="69"/>
      <c r="L107" s="69"/>
      <c r="M107" s="69"/>
      <c r="N107" s="67"/>
      <c r="O107" s="70"/>
      <c r="P107" s="69"/>
      <c r="Q107" s="14"/>
      <c r="R107" s="15"/>
      <c r="S107" s="16"/>
      <c r="T107" s="16"/>
      <c r="U107" s="17"/>
      <c r="V107" s="17"/>
      <c r="W107" s="65"/>
      <c r="X107" s="65"/>
      <c r="Z107" s="69"/>
      <c r="AA107" s="69"/>
      <c r="AB107" s="69"/>
      <c r="AC107" s="69"/>
    </row>
    <row r="108" spans="1:29" s="66" customFormat="1">
      <c r="A108" s="67"/>
      <c r="B108" s="67"/>
      <c r="C108" s="67"/>
      <c r="D108" s="67"/>
      <c r="E108" s="67"/>
      <c r="F108" s="67"/>
      <c r="G108" s="68"/>
      <c r="H108" s="67"/>
      <c r="I108" s="67"/>
      <c r="J108" s="69"/>
      <c r="K108" s="69"/>
      <c r="L108" s="69"/>
      <c r="M108" s="69"/>
      <c r="N108" s="67"/>
      <c r="O108" s="70"/>
      <c r="P108" s="69"/>
      <c r="Q108" s="14"/>
      <c r="R108" s="15"/>
      <c r="S108" s="16"/>
      <c r="T108" s="16"/>
      <c r="U108" s="17"/>
      <c r="V108" s="17"/>
      <c r="W108" s="65"/>
      <c r="X108" s="65"/>
      <c r="Z108" s="69"/>
      <c r="AA108" s="69"/>
      <c r="AB108" s="69"/>
      <c r="AC108" s="69"/>
    </row>
    <row r="109" spans="1:29" s="66" customFormat="1">
      <c r="A109" s="67"/>
      <c r="B109" s="67"/>
      <c r="C109" s="67"/>
      <c r="D109" s="67"/>
      <c r="E109" s="67"/>
      <c r="F109" s="67"/>
      <c r="G109" s="68"/>
      <c r="H109" s="67"/>
      <c r="I109" s="67"/>
      <c r="J109" s="69"/>
      <c r="K109" s="69"/>
      <c r="L109" s="69"/>
      <c r="M109" s="69"/>
      <c r="N109" s="67"/>
      <c r="O109" s="70"/>
      <c r="P109" s="69"/>
      <c r="Q109" s="14"/>
      <c r="R109" s="15"/>
      <c r="S109" s="16"/>
      <c r="T109" s="16"/>
      <c r="U109" s="17"/>
      <c r="V109" s="17"/>
      <c r="W109" s="65"/>
      <c r="X109" s="65"/>
      <c r="Z109" s="69"/>
      <c r="AA109" s="69"/>
      <c r="AB109" s="69"/>
      <c r="AC109" s="69"/>
    </row>
    <row r="110" spans="1:29" s="66" customFormat="1">
      <c r="A110" s="67"/>
      <c r="B110" s="67"/>
      <c r="C110" s="67"/>
      <c r="D110" s="67"/>
      <c r="E110" s="67"/>
      <c r="F110" s="67"/>
      <c r="G110" s="68"/>
      <c r="H110" s="67"/>
      <c r="I110" s="67"/>
      <c r="J110" s="69"/>
      <c r="K110" s="69"/>
      <c r="L110" s="69"/>
      <c r="M110" s="69"/>
      <c r="N110" s="67"/>
      <c r="O110" s="70"/>
      <c r="P110" s="69"/>
      <c r="Q110" s="14"/>
      <c r="R110" s="15"/>
      <c r="S110" s="16"/>
      <c r="T110" s="16"/>
      <c r="U110" s="17"/>
      <c r="V110" s="17"/>
      <c r="W110" s="65"/>
      <c r="X110" s="65"/>
      <c r="Z110" s="69"/>
      <c r="AA110" s="69"/>
      <c r="AB110" s="69"/>
      <c r="AC110" s="69"/>
    </row>
    <row r="111" spans="1:29" s="66" customFormat="1">
      <c r="A111" s="67"/>
      <c r="B111" s="67"/>
      <c r="C111" s="67"/>
      <c r="D111" s="67"/>
      <c r="E111" s="67"/>
      <c r="F111" s="67"/>
      <c r="G111" s="68"/>
      <c r="H111" s="67"/>
      <c r="I111" s="67"/>
      <c r="J111" s="69"/>
      <c r="K111" s="69"/>
      <c r="L111" s="69"/>
      <c r="M111" s="69"/>
      <c r="N111" s="67"/>
      <c r="O111" s="70"/>
      <c r="P111" s="69"/>
      <c r="Q111" s="14"/>
      <c r="R111" s="15"/>
      <c r="S111" s="16"/>
      <c r="T111" s="16"/>
      <c r="U111" s="17"/>
      <c r="V111" s="17"/>
      <c r="W111" s="65"/>
      <c r="X111" s="65"/>
      <c r="Z111" s="69"/>
      <c r="AA111" s="69"/>
      <c r="AB111" s="69"/>
      <c r="AC111" s="69"/>
    </row>
    <row r="112" spans="1:29" s="66" customFormat="1">
      <c r="A112" s="67"/>
      <c r="B112" s="67"/>
      <c r="C112" s="67"/>
      <c r="D112" s="67"/>
      <c r="E112" s="67"/>
      <c r="F112" s="67"/>
      <c r="G112" s="68"/>
      <c r="H112" s="67"/>
      <c r="I112" s="67"/>
      <c r="J112" s="69"/>
      <c r="K112" s="69"/>
      <c r="L112" s="69"/>
      <c r="M112" s="69"/>
      <c r="N112" s="67"/>
      <c r="O112" s="70"/>
      <c r="P112" s="69"/>
      <c r="Q112" s="14"/>
      <c r="R112" s="15"/>
      <c r="S112" s="16"/>
      <c r="T112" s="16"/>
      <c r="U112" s="17"/>
      <c r="V112" s="17"/>
      <c r="W112" s="65"/>
      <c r="X112" s="65"/>
      <c r="Z112" s="69"/>
      <c r="AA112" s="69"/>
      <c r="AB112" s="69"/>
      <c r="AC112" s="69"/>
    </row>
    <row r="113" spans="1:29" s="66" customFormat="1">
      <c r="A113" s="67"/>
      <c r="B113" s="67"/>
      <c r="C113" s="67"/>
      <c r="D113" s="67"/>
      <c r="E113" s="67"/>
      <c r="F113" s="67"/>
      <c r="G113" s="68"/>
      <c r="H113" s="67"/>
      <c r="I113" s="67"/>
      <c r="J113" s="69"/>
      <c r="K113" s="69"/>
      <c r="L113" s="69"/>
      <c r="M113" s="69"/>
      <c r="N113" s="67"/>
      <c r="O113" s="70"/>
      <c r="P113" s="69"/>
      <c r="Q113" s="14"/>
      <c r="R113" s="15"/>
      <c r="S113" s="16"/>
      <c r="T113" s="16"/>
      <c r="U113" s="17"/>
      <c r="V113" s="17"/>
      <c r="W113" s="65"/>
      <c r="X113" s="65"/>
      <c r="Z113" s="69"/>
      <c r="AA113" s="69"/>
      <c r="AB113" s="69"/>
      <c r="AC113" s="69"/>
    </row>
    <row r="114" spans="1:29" s="66" customFormat="1">
      <c r="A114" s="67"/>
      <c r="B114" s="67"/>
      <c r="C114" s="67"/>
      <c r="D114" s="67"/>
      <c r="E114" s="67"/>
      <c r="F114" s="67"/>
      <c r="G114" s="68"/>
      <c r="H114" s="67"/>
      <c r="I114" s="67"/>
      <c r="J114" s="69"/>
      <c r="K114" s="69"/>
      <c r="L114" s="69"/>
      <c r="M114" s="69"/>
      <c r="N114" s="67"/>
      <c r="O114" s="70"/>
      <c r="P114" s="69"/>
      <c r="Q114" s="14"/>
      <c r="R114" s="15"/>
      <c r="S114" s="16"/>
      <c r="T114" s="16"/>
      <c r="U114" s="17"/>
      <c r="V114" s="17"/>
      <c r="W114" s="65"/>
      <c r="X114" s="65"/>
      <c r="Z114" s="69"/>
      <c r="AA114" s="69"/>
      <c r="AB114" s="69"/>
      <c r="AC114" s="69"/>
    </row>
    <row r="115" spans="1:29" s="66" customFormat="1">
      <c r="A115" s="67"/>
      <c r="B115" s="67"/>
      <c r="C115" s="67"/>
      <c r="D115" s="67"/>
      <c r="E115" s="67"/>
      <c r="F115" s="67"/>
      <c r="G115" s="67"/>
      <c r="H115" s="67"/>
      <c r="I115" s="67"/>
      <c r="J115" s="69"/>
      <c r="K115" s="69"/>
      <c r="L115" s="69"/>
      <c r="M115" s="69"/>
      <c r="N115" s="67"/>
      <c r="O115" s="70"/>
      <c r="P115" s="69"/>
      <c r="Q115" s="14"/>
      <c r="R115" s="15"/>
      <c r="S115" s="16"/>
      <c r="T115" s="16"/>
      <c r="U115" s="17"/>
      <c r="V115" s="17"/>
      <c r="W115" s="65"/>
      <c r="X115" s="65"/>
      <c r="Z115" s="69"/>
      <c r="AA115" s="69"/>
      <c r="AB115" s="69"/>
      <c r="AC115" s="69"/>
    </row>
    <row r="116" spans="1:29" s="66" customFormat="1">
      <c r="A116" s="67"/>
      <c r="B116" s="67"/>
      <c r="C116" s="67"/>
      <c r="D116" s="67"/>
      <c r="E116" s="67"/>
      <c r="F116" s="67"/>
      <c r="G116" s="67"/>
      <c r="H116" s="67"/>
      <c r="I116" s="67"/>
      <c r="J116" s="69"/>
      <c r="K116" s="69"/>
      <c r="L116" s="69"/>
      <c r="M116" s="69"/>
      <c r="N116" s="67"/>
      <c r="O116" s="70"/>
      <c r="P116" s="69"/>
      <c r="Q116" s="14"/>
      <c r="R116" s="15"/>
      <c r="S116" s="16"/>
      <c r="T116" s="16"/>
      <c r="U116" s="17"/>
      <c r="V116" s="17"/>
      <c r="W116" s="65"/>
      <c r="X116" s="65"/>
      <c r="Z116" s="69"/>
      <c r="AA116" s="69"/>
      <c r="AB116" s="69"/>
      <c r="AC116" s="69"/>
    </row>
    <row r="117" spans="1:29" s="66" customFormat="1">
      <c r="A117" s="67"/>
      <c r="B117" s="67"/>
      <c r="C117" s="67"/>
      <c r="D117" s="67"/>
      <c r="E117" s="67"/>
      <c r="F117" s="67"/>
      <c r="G117" s="67"/>
      <c r="H117" s="67"/>
      <c r="I117" s="67"/>
      <c r="J117" s="69"/>
      <c r="K117" s="69"/>
      <c r="L117" s="69"/>
      <c r="M117" s="69"/>
      <c r="N117" s="67"/>
      <c r="O117" s="70"/>
      <c r="P117" s="69"/>
      <c r="Q117" s="14"/>
      <c r="R117" s="15"/>
      <c r="S117" s="16"/>
      <c r="T117" s="16"/>
      <c r="U117" s="17"/>
      <c r="V117" s="17"/>
      <c r="W117" s="65"/>
      <c r="X117" s="65"/>
      <c r="Z117" s="69"/>
      <c r="AA117" s="69"/>
      <c r="AB117" s="69"/>
      <c r="AC117" s="69"/>
    </row>
    <row r="118" spans="1:29" s="66" customFormat="1">
      <c r="A118" s="67"/>
      <c r="B118" s="67"/>
      <c r="C118" s="67"/>
      <c r="D118" s="67"/>
      <c r="E118" s="67"/>
      <c r="F118" s="67"/>
      <c r="G118" s="67"/>
      <c r="H118" s="67"/>
      <c r="I118" s="67"/>
      <c r="J118" s="69"/>
      <c r="K118" s="69"/>
      <c r="L118" s="69"/>
      <c r="M118" s="69"/>
      <c r="N118" s="67"/>
      <c r="O118" s="70"/>
      <c r="P118" s="69"/>
      <c r="Q118" s="14"/>
      <c r="R118" s="15"/>
      <c r="S118" s="16"/>
      <c r="T118" s="16"/>
      <c r="U118" s="17"/>
      <c r="V118" s="17"/>
      <c r="W118" s="65"/>
      <c r="X118" s="65"/>
      <c r="Z118" s="69"/>
      <c r="AA118" s="69"/>
      <c r="AB118" s="69"/>
      <c r="AC118" s="69"/>
    </row>
    <row r="119" spans="1:29" s="66" customFormat="1">
      <c r="A119" s="67"/>
      <c r="B119" s="67"/>
      <c r="C119" s="67"/>
      <c r="D119" s="67"/>
      <c r="E119" s="67"/>
      <c r="F119" s="67"/>
      <c r="G119" s="67"/>
      <c r="H119" s="67"/>
      <c r="I119" s="67"/>
      <c r="J119" s="69"/>
      <c r="K119" s="69"/>
      <c r="L119" s="69"/>
      <c r="M119" s="69"/>
      <c r="N119" s="67"/>
      <c r="O119" s="70"/>
      <c r="P119" s="69"/>
      <c r="Q119" s="14"/>
      <c r="R119" s="15"/>
      <c r="S119" s="16"/>
      <c r="T119" s="16"/>
      <c r="U119" s="17"/>
      <c r="V119" s="17"/>
      <c r="W119" s="65"/>
      <c r="X119" s="65"/>
      <c r="Z119" s="69"/>
      <c r="AA119" s="69"/>
      <c r="AB119" s="69"/>
      <c r="AC119" s="69"/>
    </row>
    <row r="120" spans="1:29" s="66" customFormat="1">
      <c r="A120" s="67"/>
      <c r="B120" s="67"/>
      <c r="C120" s="67"/>
      <c r="D120" s="67"/>
      <c r="E120" s="67"/>
      <c r="F120" s="67"/>
      <c r="G120" s="67"/>
      <c r="H120" s="67"/>
      <c r="I120" s="67"/>
      <c r="J120" s="69"/>
      <c r="K120" s="69"/>
      <c r="L120" s="69"/>
      <c r="M120" s="69"/>
      <c r="N120" s="67"/>
      <c r="O120" s="70"/>
      <c r="P120" s="69"/>
      <c r="Q120" s="14"/>
      <c r="R120" s="15"/>
      <c r="S120" s="16"/>
      <c r="T120" s="16"/>
      <c r="U120" s="17"/>
      <c r="V120" s="17"/>
      <c r="W120" s="65"/>
      <c r="X120" s="65"/>
      <c r="Z120" s="69"/>
      <c r="AA120" s="69"/>
      <c r="AB120" s="69"/>
      <c r="AC120" s="69"/>
    </row>
    <row r="121" spans="1:29" s="66" customFormat="1">
      <c r="A121" s="67"/>
      <c r="B121" s="67"/>
      <c r="C121" s="67"/>
      <c r="D121" s="67"/>
      <c r="E121" s="67"/>
      <c r="F121" s="67"/>
      <c r="G121" s="67"/>
      <c r="H121" s="67"/>
      <c r="I121" s="67"/>
      <c r="J121" s="69"/>
      <c r="K121" s="69"/>
      <c r="L121" s="69"/>
      <c r="M121" s="69"/>
      <c r="N121" s="67"/>
      <c r="O121" s="70"/>
      <c r="P121" s="69"/>
      <c r="Q121" s="14"/>
      <c r="R121" s="15"/>
      <c r="S121" s="16"/>
      <c r="T121" s="16"/>
      <c r="U121" s="17"/>
      <c r="V121" s="17"/>
      <c r="W121" s="65"/>
      <c r="X121" s="65"/>
      <c r="Z121" s="69"/>
      <c r="AA121" s="69"/>
      <c r="AB121" s="69"/>
      <c r="AC121" s="69"/>
    </row>
    <row r="122" spans="1:29" s="66" customFormat="1">
      <c r="A122" s="67"/>
      <c r="B122" s="67"/>
      <c r="C122" s="67"/>
      <c r="D122" s="67"/>
      <c r="E122" s="67"/>
      <c r="F122" s="67"/>
      <c r="G122" s="67"/>
      <c r="H122" s="67"/>
      <c r="I122" s="67"/>
      <c r="J122" s="69"/>
      <c r="K122" s="69"/>
      <c r="L122" s="69"/>
      <c r="M122" s="69"/>
      <c r="N122" s="67"/>
      <c r="O122" s="70"/>
      <c r="P122" s="69"/>
      <c r="Q122" s="14"/>
      <c r="R122" s="15"/>
      <c r="S122" s="16"/>
      <c r="T122" s="16"/>
      <c r="U122" s="17"/>
      <c r="V122" s="17"/>
      <c r="W122" s="65"/>
      <c r="X122" s="65"/>
      <c r="Z122" s="69"/>
      <c r="AA122" s="69"/>
      <c r="AB122" s="69"/>
      <c r="AC122" s="69"/>
    </row>
    <row r="123" spans="1:29">
      <c r="B123" s="67"/>
      <c r="C123" s="67"/>
      <c r="D123" s="67"/>
      <c r="E123" s="67"/>
      <c r="F123" s="67"/>
      <c r="G123" s="67"/>
      <c r="H123" s="67"/>
      <c r="I123" s="67"/>
      <c r="J123" s="69"/>
      <c r="K123" s="69"/>
      <c r="L123" s="69"/>
      <c r="M123" s="69"/>
      <c r="N123" s="67"/>
      <c r="O123" s="70"/>
      <c r="P123" s="69"/>
    </row>
    <row r="124" spans="1:29">
      <c r="B124" s="67"/>
      <c r="C124" s="67"/>
      <c r="D124" s="67"/>
      <c r="E124" s="67"/>
      <c r="F124" s="67"/>
      <c r="G124" s="67"/>
      <c r="H124" s="67"/>
      <c r="I124" s="67"/>
      <c r="J124" s="69"/>
      <c r="K124" s="69"/>
      <c r="L124" s="69"/>
      <c r="M124" s="69"/>
      <c r="N124" s="67"/>
      <c r="O124" s="70"/>
      <c r="P124" s="69"/>
    </row>
    <row r="125" spans="1:29">
      <c r="B125" s="67"/>
      <c r="C125" s="67"/>
      <c r="D125" s="67"/>
      <c r="E125" s="67"/>
      <c r="F125" s="67"/>
      <c r="G125" s="67"/>
      <c r="H125" s="67"/>
      <c r="I125" s="67"/>
      <c r="J125" s="69"/>
      <c r="K125" s="69"/>
      <c r="L125" s="69"/>
      <c r="M125" s="69"/>
      <c r="N125" s="67"/>
      <c r="O125" s="70"/>
      <c r="P125" s="69"/>
    </row>
    <row r="126" spans="1:29">
      <c r="B126" s="67"/>
      <c r="C126" s="67"/>
      <c r="D126" s="67"/>
      <c r="E126" s="67"/>
      <c r="F126" s="67"/>
      <c r="G126" s="67"/>
      <c r="H126" s="67"/>
      <c r="I126" s="67"/>
      <c r="J126" s="69"/>
      <c r="K126" s="69"/>
      <c r="L126" s="69"/>
      <c r="M126" s="69"/>
      <c r="N126" s="67"/>
      <c r="O126" s="70"/>
      <c r="P126" s="69"/>
    </row>
    <row r="127" spans="1:29">
      <c r="B127" s="67"/>
      <c r="C127" s="67"/>
      <c r="D127" s="67"/>
      <c r="E127" s="67"/>
      <c r="F127" s="67"/>
      <c r="G127" s="67"/>
      <c r="H127" s="67"/>
      <c r="I127" s="67"/>
      <c r="J127" s="69"/>
      <c r="K127" s="69"/>
      <c r="L127" s="69"/>
      <c r="M127" s="69"/>
      <c r="N127" s="67"/>
      <c r="O127" s="70"/>
      <c r="P127" s="69"/>
    </row>
    <row r="128" spans="1:29">
      <c r="B128" s="67"/>
      <c r="C128" s="67"/>
      <c r="D128" s="67"/>
      <c r="E128" s="67"/>
      <c r="F128" s="67"/>
      <c r="G128" s="67"/>
      <c r="H128" s="67"/>
      <c r="I128" s="67"/>
      <c r="J128" s="69"/>
      <c r="K128" s="69"/>
      <c r="L128" s="69"/>
      <c r="M128" s="69"/>
      <c r="N128" s="67"/>
      <c r="O128" s="70"/>
      <c r="P128" s="69"/>
    </row>
    <row r="129" spans="2:16">
      <c r="B129" s="67"/>
      <c r="C129" s="67"/>
      <c r="D129" s="67"/>
      <c r="E129" s="67"/>
      <c r="F129" s="67"/>
      <c r="G129" s="67"/>
      <c r="H129" s="67"/>
      <c r="I129" s="67"/>
      <c r="J129" s="69"/>
      <c r="K129" s="69"/>
      <c r="L129" s="69"/>
      <c r="M129" s="69"/>
      <c r="N129" s="67"/>
      <c r="O129" s="70"/>
      <c r="P129" s="69"/>
    </row>
    <row r="130" spans="2:16">
      <c r="B130" s="67"/>
      <c r="C130" s="67"/>
      <c r="D130" s="67"/>
      <c r="E130" s="67"/>
      <c r="F130" s="67"/>
      <c r="G130" s="67"/>
      <c r="H130" s="67"/>
      <c r="I130" s="67"/>
      <c r="J130" s="69"/>
      <c r="K130" s="69"/>
      <c r="L130" s="69"/>
      <c r="M130" s="69"/>
      <c r="N130" s="67"/>
      <c r="O130" s="70"/>
      <c r="P130" s="69"/>
    </row>
    <row r="131" spans="2:16">
      <c r="B131" s="67"/>
      <c r="C131" s="67"/>
      <c r="D131" s="67"/>
      <c r="E131" s="67"/>
      <c r="F131" s="67"/>
      <c r="G131" s="67"/>
      <c r="H131" s="67"/>
      <c r="I131" s="67"/>
      <c r="J131" s="69"/>
      <c r="K131" s="69"/>
      <c r="L131" s="69"/>
      <c r="M131" s="69"/>
      <c r="N131" s="67"/>
      <c r="O131" s="70"/>
      <c r="P131" s="69"/>
    </row>
    <row r="132" spans="2:16">
      <c r="B132" s="67"/>
      <c r="C132" s="67"/>
      <c r="D132" s="67"/>
      <c r="E132" s="67"/>
      <c r="F132" s="67"/>
      <c r="G132" s="67"/>
      <c r="H132" s="67"/>
      <c r="I132" s="67"/>
      <c r="J132" s="69"/>
      <c r="K132" s="69"/>
      <c r="L132" s="69"/>
      <c r="M132" s="69"/>
      <c r="N132" s="67"/>
      <c r="O132" s="70"/>
      <c r="P132" s="69"/>
    </row>
    <row r="133" spans="2:16">
      <c r="B133" s="67"/>
      <c r="C133" s="67"/>
      <c r="D133" s="67"/>
      <c r="E133" s="67"/>
      <c r="F133" s="67"/>
      <c r="G133" s="67"/>
      <c r="H133" s="67"/>
      <c r="I133" s="67"/>
      <c r="J133" s="69"/>
      <c r="K133" s="69"/>
      <c r="L133" s="69"/>
      <c r="M133" s="69"/>
      <c r="N133" s="67"/>
      <c r="O133" s="70"/>
      <c r="P133" s="69"/>
    </row>
    <row r="134" spans="2:16">
      <c r="B134" s="67"/>
      <c r="C134" s="67"/>
      <c r="D134" s="67"/>
      <c r="E134" s="67"/>
      <c r="F134" s="67"/>
      <c r="G134" s="67"/>
      <c r="H134" s="67"/>
      <c r="I134" s="67"/>
      <c r="J134" s="69"/>
      <c r="K134" s="69"/>
      <c r="L134" s="69"/>
      <c r="M134" s="69"/>
      <c r="N134" s="67"/>
      <c r="O134" s="70"/>
      <c r="P134" s="69"/>
    </row>
    <row r="135" spans="2:16">
      <c r="B135" s="67"/>
      <c r="C135" s="67"/>
      <c r="D135" s="67"/>
      <c r="E135" s="67"/>
      <c r="F135" s="67"/>
      <c r="G135" s="67"/>
      <c r="H135" s="67"/>
      <c r="I135" s="67"/>
      <c r="J135" s="69"/>
      <c r="K135" s="69"/>
      <c r="L135" s="69"/>
      <c r="M135" s="69"/>
      <c r="N135" s="67"/>
      <c r="O135" s="70"/>
      <c r="P135" s="69"/>
    </row>
    <row r="136" spans="2:16">
      <c r="B136" s="67"/>
      <c r="C136" s="67"/>
      <c r="D136" s="67"/>
      <c r="E136" s="67"/>
      <c r="F136" s="67"/>
      <c r="G136" s="67"/>
      <c r="H136" s="67"/>
      <c r="I136" s="67"/>
      <c r="J136" s="69"/>
      <c r="K136" s="69"/>
      <c r="L136" s="69"/>
      <c r="M136" s="69"/>
      <c r="N136" s="67"/>
      <c r="O136" s="70"/>
      <c r="P136" s="69"/>
    </row>
    <row r="137" spans="2:16">
      <c r="B137" s="67"/>
      <c r="C137" s="67"/>
      <c r="D137" s="67"/>
      <c r="E137" s="67"/>
      <c r="F137" s="67"/>
      <c r="G137" s="67"/>
      <c r="H137" s="67"/>
      <c r="I137" s="67"/>
      <c r="J137" s="69"/>
      <c r="K137" s="69"/>
      <c r="L137" s="69"/>
      <c r="M137" s="69"/>
      <c r="N137" s="67"/>
      <c r="O137" s="70"/>
      <c r="P137" s="69"/>
    </row>
    <row r="138" spans="2:16">
      <c r="B138" s="67"/>
      <c r="C138" s="67"/>
      <c r="D138" s="67"/>
      <c r="E138" s="67"/>
      <c r="F138" s="67"/>
      <c r="G138" s="67"/>
      <c r="H138" s="67"/>
      <c r="I138" s="67"/>
      <c r="J138" s="69"/>
      <c r="K138" s="69"/>
      <c r="L138" s="69"/>
      <c r="M138" s="69"/>
      <c r="N138" s="67"/>
      <c r="O138" s="70"/>
      <c r="P138" s="69"/>
    </row>
    <row r="139" spans="2:16">
      <c r="B139" s="67"/>
      <c r="C139" s="67"/>
      <c r="D139" s="67"/>
      <c r="E139" s="67"/>
      <c r="F139" s="67"/>
      <c r="G139" s="67"/>
      <c r="H139" s="67"/>
      <c r="I139" s="67"/>
      <c r="J139" s="69"/>
      <c r="K139" s="69"/>
      <c r="L139" s="69"/>
      <c r="M139" s="69"/>
      <c r="N139" s="67"/>
      <c r="O139" s="70"/>
      <c r="P139" s="69"/>
    </row>
    <row r="140" spans="2:16">
      <c r="B140" s="67"/>
      <c r="C140" s="67"/>
      <c r="D140" s="67"/>
      <c r="E140" s="67"/>
      <c r="F140" s="67"/>
      <c r="G140" s="67"/>
      <c r="H140" s="67"/>
      <c r="I140" s="67"/>
      <c r="J140" s="69"/>
      <c r="K140" s="69"/>
      <c r="L140" s="69"/>
      <c r="M140" s="69"/>
      <c r="N140" s="67"/>
      <c r="O140" s="70"/>
      <c r="P140" s="69"/>
    </row>
    <row r="141" spans="2:16">
      <c r="B141" s="67"/>
      <c r="C141" s="67"/>
      <c r="D141" s="67"/>
      <c r="E141" s="67"/>
      <c r="F141" s="67"/>
      <c r="G141" s="67"/>
      <c r="H141" s="67"/>
      <c r="I141" s="67"/>
      <c r="J141" s="69"/>
      <c r="K141" s="69"/>
      <c r="L141" s="69"/>
      <c r="M141" s="69"/>
      <c r="N141" s="67"/>
      <c r="O141" s="70"/>
      <c r="P141" s="69"/>
    </row>
    <row r="142" spans="2:16">
      <c r="B142" s="67"/>
      <c r="C142" s="67"/>
      <c r="D142" s="67"/>
      <c r="E142" s="67"/>
      <c r="F142" s="67"/>
      <c r="G142" s="67"/>
      <c r="H142" s="67"/>
      <c r="I142" s="67"/>
      <c r="J142" s="69"/>
      <c r="K142" s="69"/>
      <c r="L142" s="69"/>
      <c r="M142" s="69"/>
      <c r="N142" s="67"/>
      <c r="O142" s="70"/>
      <c r="P142" s="69"/>
    </row>
    <row r="143" spans="2:16">
      <c r="B143" s="67"/>
      <c r="C143" s="67"/>
      <c r="D143" s="67"/>
      <c r="E143" s="67"/>
      <c r="F143" s="67"/>
      <c r="G143" s="67"/>
      <c r="H143" s="67"/>
      <c r="I143" s="67"/>
      <c r="J143" s="69"/>
      <c r="K143" s="69"/>
      <c r="L143" s="69"/>
      <c r="M143" s="69"/>
      <c r="N143" s="67"/>
      <c r="O143" s="70"/>
      <c r="P143" s="69"/>
    </row>
    <row r="144" spans="2:16">
      <c r="B144" s="67"/>
      <c r="C144" s="67"/>
      <c r="D144" s="67"/>
      <c r="E144" s="67"/>
      <c r="F144" s="67"/>
      <c r="G144" s="67"/>
      <c r="H144" s="67"/>
      <c r="I144" s="67"/>
      <c r="J144" s="69"/>
      <c r="K144" s="69"/>
      <c r="L144" s="69"/>
      <c r="M144" s="69"/>
      <c r="N144" s="67"/>
      <c r="O144" s="70"/>
      <c r="P144" s="69"/>
    </row>
    <row r="145" spans="2:16">
      <c r="B145" s="67"/>
      <c r="C145" s="67"/>
      <c r="D145" s="67"/>
      <c r="E145" s="67"/>
      <c r="F145" s="67"/>
      <c r="G145" s="67"/>
      <c r="H145" s="67"/>
      <c r="I145" s="67"/>
      <c r="J145" s="69"/>
      <c r="K145" s="69"/>
      <c r="L145" s="69"/>
      <c r="M145" s="69"/>
      <c r="N145" s="67"/>
      <c r="O145" s="70"/>
      <c r="P145" s="69"/>
    </row>
    <row r="146" spans="2:16">
      <c r="B146" s="67"/>
      <c r="C146" s="67"/>
      <c r="D146" s="67"/>
      <c r="E146" s="67"/>
      <c r="F146" s="67"/>
      <c r="G146" s="67"/>
      <c r="H146" s="67"/>
      <c r="I146" s="67"/>
      <c r="J146" s="69"/>
      <c r="K146" s="69"/>
      <c r="L146" s="69"/>
      <c r="M146" s="69"/>
      <c r="N146" s="67"/>
      <c r="O146" s="70"/>
      <c r="P146" s="69"/>
    </row>
    <row r="147" spans="2:16">
      <c r="B147" s="67"/>
      <c r="C147" s="67"/>
      <c r="D147" s="67"/>
      <c r="E147" s="67"/>
      <c r="F147" s="67"/>
      <c r="G147" s="67"/>
      <c r="H147" s="67"/>
      <c r="I147" s="67"/>
      <c r="J147" s="69"/>
      <c r="K147" s="69"/>
      <c r="L147" s="69"/>
      <c r="M147" s="69"/>
      <c r="N147" s="67"/>
      <c r="O147" s="70"/>
      <c r="P147" s="69"/>
    </row>
    <row r="148" spans="2:16">
      <c r="B148" s="67"/>
      <c r="C148" s="67"/>
      <c r="D148" s="67"/>
      <c r="E148" s="67"/>
      <c r="F148" s="67"/>
      <c r="G148" s="67"/>
      <c r="H148" s="67"/>
      <c r="I148" s="67"/>
      <c r="J148" s="69"/>
      <c r="K148" s="69"/>
      <c r="L148" s="69"/>
      <c r="M148" s="69"/>
      <c r="N148" s="67"/>
      <c r="O148" s="70"/>
      <c r="P148" s="69"/>
    </row>
    <row r="149" spans="2:16">
      <c r="B149" s="67"/>
      <c r="C149" s="67"/>
      <c r="D149" s="67"/>
      <c r="E149" s="67"/>
      <c r="F149" s="67"/>
      <c r="G149" s="67"/>
      <c r="H149" s="67"/>
      <c r="I149" s="67"/>
      <c r="J149" s="69"/>
      <c r="K149" s="69"/>
      <c r="L149" s="69"/>
      <c r="M149" s="69"/>
      <c r="N149" s="67"/>
      <c r="O149" s="70"/>
      <c r="P149" s="69"/>
    </row>
    <row r="150" spans="2:16">
      <c r="B150" s="67"/>
      <c r="C150" s="67"/>
      <c r="D150" s="67"/>
      <c r="E150" s="67"/>
      <c r="F150" s="67"/>
      <c r="G150" s="67"/>
      <c r="H150" s="67"/>
      <c r="I150" s="67"/>
      <c r="J150" s="69"/>
      <c r="K150" s="69"/>
      <c r="L150" s="69"/>
      <c r="M150" s="69"/>
      <c r="N150" s="67"/>
      <c r="O150" s="70"/>
      <c r="P150" s="69"/>
    </row>
    <row r="151" spans="2:16">
      <c r="B151" s="67"/>
      <c r="C151" s="67"/>
      <c r="D151" s="67"/>
      <c r="E151" s="67"/>
      <c r="F151" s="67"/>
      <c r="G151" s="67"/>
      <c r="H151" s="67"/>
      <c r="I151" s="67"/>
      <c r="J151" s="69"/>
      <c r="K151" s="69"/>
      <c r="L151" s="69"/>
      <c r="M151" s="69"/>
      <c r="N151" s="67"/>
      <c r="O151" s="70"/>
      <c r="P151" s="69"/>
    </row>
    <row r="152" spans="2:16">
      <c r="B152" s="67"/>
      <c r="C152" s="67"/>
      <c r="D152" s="67"/>
      <c r="E152" s="67"/>
      <c r="F152" s="67"/>
      <c r="G152" s="67"/>
      <c r="H152" s="67"/>
      <c r="I152" s="67"/>
      <c r="J152" s="69"/>
      <c r="K152" s="69"/>
      <c r="L152" s="69"/>
      <c r="M152" s="69"/>
      <c r="N152" s="67"/>
      <c r="O152" s="70"/>
      <c r="P152" s="69"/>
    </row>
    <row r="153" spans="2:16">
      <c r="B153" s="67"/>
      <c r="C153" s="67"/>
      <c r="D153" s="67"/>
      <c r="E153" s="67"/>
      <c r="F153" s="67"/>
      <c r="G153" s="67"/>
      <c r="H153" s="67"/>
      <c r="I153" s="67"/>
      <c r="J153" s="69"/>
      <c r="K153" s="69"/>
      <c r="L153" s="69"/>
      <c r="M153" s="69"/>
      <c r="N153" s="67"/>
      <c r="O153" s="70"/>
      <c r="P153" s="69"/>
    </row>
    <row r="154" spans="2:16">
      <c r="B154" s="67"/>
      <c r="C154" s="67"/>
      <c r="D154" s="67"/>
      <c r="E154" s="67"/>
      <c r="F154" s="67"/>
      <c r="G154" s="67"/>
      <c r="H154" s="67"/>
      <c r="I154" s="67"/>
      <c r="J154" s="69"/>
      <c r="K154" s="69"/>
      <c r="L154" s="69"/>
      <c r="M154" s="69"/>
      <c r="N154" s="67"/>
      <c r="O154" s="70"/>
      <c r="P154" s="69"/>
    </row>
    <row r="155" spans="2:16">
      <c r="B155" s="67"/>
      <c r="C155" s="67"/>
      <c r="D155" s="67"/>
      <c r="E155" s="67"/>
      <c r="F155" s="67"/>
      <c r="G155" s="67"/>
      <c r="H155" s="67"/>
      <c r="I155" s="67"/>
      <c r="J155" s="69"/>
      <c r="K155" s="69"/>
      <c r="L155" s="69"/>
      <c r="M155" s="69"/>
      <c r="N155" s="67"/>
      <c r="O155" s="70"/>
      <c r="P155" s="69"/>
    </row>
    <row r="156" spans="2:16">
      <c r="B156" s="67"/>
      <c r="C156" s="67"/>
      <c r="D156" s="67"/>
      <c r="E156" s="67"/>
      <c r="F156" s="67"/>
      <c r="G156" s="67"/>
      <c r="H156" s="67"/>
      <c r="I156" s="67"/>
      <c r="J156" s="69"/>
      <c r="K156" s="69"/>
      <c r="L156" s="69"/>
      <c r="M156" s="69"/>
      <c r="N156" s="67"/>
      <c r="O156" s="70"/>
      <c r="P156" s="69"/>
    </row>
    <row r="157" spans="2:16">
      <c r="B157" s="67"/>
      <c r="C157" s="67"/>
      <c r="D157" s="67"/>
      <c r="E157" s="67"/>
      <c r="F157" s="67"/>
      <c r="G157" s="67"/>
      <c r="H157" s="67"/>
      <c r="I157" s="67"/>
      <c r="J157" s="69"/>
      <c r="K157" s="69"/>
      <c r="L157" s="69"/>
      <c r="M157" s="69"/>
      <c r="N157" s="67"/>
      <c r="O157" s="70"/>
      <c r="P157" s="69"/>
    </row>
    <row r="158" spans="2:16">
      <c r="B158" s="67"/>
      <c r="C158" s="67"/>
      <c r="D158" s="67"/>
      <c r="E158" s="67"/>
      <c r="F158" s="67"/>
      <c r="G158" s="67"/>
      <c r="H158" s="67"/>
      <c r="I158" s="67"/>
      <c r="J158" s="69"/>
      <c r="K158" s="69"/>
      <c r="L158" s="69"/>
      <c r="M158" s="69"/>
      <c r="N158" s="67"/>
      <c r="O158" s="70"/>
      <c r="P158" s="69"/>
    </row>
    <row r="159" spans="2:16">
      <c r="B159" s="67"/>
      <c r="C159" s="67"/>
      <c r="D159" s="67"/>
      <c r="E159" s="67"/>
      <c r="F159" s="67"/>
      <c r="G159" s="67"/>
      <c r="H159" s="67"/>
      <c r="I159" s="67"/>
      <c r="J159" s="69"/>
      <c r="K159" s="69"/>
      <c r="L159" s="69"/>
      <c r="M159" s="69"/>
      <c r="N159" s="67"/>
      <c r="O159" s="70"/>
      <c r="P159" s="69"/>
    </row>
    <row r="160" spans="2:16">
      <c r="B160" s="67"/>
      <c r="C160" s="67"/>
      <c r="D160" s="67"/>
      <c r="E160" s="67"/>
      <c r="F160" s="67"/>
      <c r="G160" s="67"/>
      <c r="H160" s="67"/>
      <c r="I160" s="67"/>
      <c r="J160" s="69"/>
      <c r="K160" s="69"/>
      <c r="L160" s="69"/>
      <c r="M160" s="69"/>
      <c r="N160" s="67"/>
      <c r="O160" s="70"/>
      <c r="P160" s="69"/>
    </row>
    <row r="161" spans="2:16">
      <c r="B161" s="67"/>
      <c r="C161" s="67"/>
      <c r="D161" s="67"/>
      <c r="E161" s="67"/>
      <c r="F161" s="67"/>
      <c r="G161" s="67"/>
      <c r="H161" s="67"/>
      <c r="I161" s="67"/>
      <c r="J161" s="69"/>
      <c r="K161" s="69"/>
      <c r="L161" s="69"/>
      <c r="M161" s="69"/>
      <c r="N161" s="67"/>
      <c r="O161" s="70"/>
      <c r="P161" s="69"/>
    </row>
    <row r="162" spans="2:16">
      <c r="B162" s="67"/>
      <c r="C162" s="67"/>
      <c r="D162" s="67"/>
      <c r="E162" s="67"/>
      <c r="F162" s="67"/>
      <c r="G162" s="67"/>
      <c r="H162" s="67"/>
      <c r="I162" s="67"/>
      <c r="J162" s="69"/>
      <c r="K162" s="69"/>
      <c r="L162" s="69"/>
      <c r="M162" s="69"/>
      <c r="N162" s="67"/>
      <c r="O162" s="70"/>
      <c r="P162" s="69"/>
    </row>
    <row r="163" spans="2:16">
      <c r="B163" s="67"/>
      <c r="C163" s="67"/>
      <c r="D163" s="67"/>
      <c r="E163" s="67"/>
      <c r="F163" s="67"/>
      <c r="G163" s="67"/>
      <c r="H163" s="67"/>
      <c r="I163" s="67"/>
      <c r="J163" s="69"/>
      <c r="K163" s="69"/>
      <c r="L163" s="69"/>
      <c r="M163" s="69"/>
      <c r="N163" s="67"/>
      <c r="O163" s="70"/>
      <c r="P163" s="69"/>
    </row>
    <row r="164" spans="2:16">
      <c r="B164" s="67"/>
      <c r="C164" s="67"/>
      <c r="D164" s="67"/>
      <c r="E164" s="67"/>
      <c r="F164" s="67"/>
      <c r="G164" s="67"/>
      <c r="H164" s="67"/>
      <c r="I164" s="67"/>
      <c r="J164" s="69"/>
      <c r="K164" s="69"/>
      <c r="L164" s="69"/>
      <c r="M164" s="69"/>
      <c r="N164" s="67"/>
      <c r="O164" s="70"/>
      <c r="P164" s="69"/>
    </row>
    <row r="165" spans="2:16">
      <c r="B165" s="67"/>
      <c r="C165" s="67"/>
      <c r="D165" s="67"/>
      <c r="E165" s="67"/>
      <c r="F165" s="67"/>
      <c r="G165" s="67"/>
      <c r="H165" s="67"/>
      <c r="I165" s="67"/>
      <c r="J165" s="69"/>
      <c r="K165" s="69"/>
      <c r="L165" s="69"/>
      <c r="M165" s="69"/>
      <c r="N165" s="67"/>
      <c r="O165" s="70"/>
      <c r="P165" s="69"/>
    </row>
    <row r="166" spans="2:16">
      <c r="B166" s="67"/>
      <c r="C166" s="67"/>
      <c r="D166" s="67"/>
      <c r="E166" s="67"/>
      <c r="F166" s="67"/>
      <c r="G166" s="67"/>
      <c r="H166" s="67"/>
      <c r="I166" s="67"/>
      <c r="J166" s="69"/>
      <c r="K166" s="69"/>
      <c r="L166" s="69"/>
      <c r="M166" s="69"/>
      <c r="N166" s="67"/>
      <c r="O166" s="70"/>
      <c r="P166" s="69"/>
    </row>
    <row r="167" spans="2:16">
      <c r="B167" s="67"/>
      <c r="C167" s="67"/>
      <c r="D167" s="67"/>
      <c r="E167" s="67"/>
      <c r="F167" s="67"/>
      <c r="G167" s="67"/>
      <c r="H167" s="67"/>
      <c r="I167" s="67"/>
      <c r="J167" s="69"/>
      <c r="K167" s="69"/>
      <c r="L167" s="69"/>
      <c r="M167" s="69"/>
      <c r="N167" s="67"/>
      <c r="O167" s="70"/>
      <c r="P167" s="69"/>
    </row>
    <row r="168" spans="2:16">
      <c r="B168" s="67"/>
      <c r="C168" s="67"/>
      <c r="D168" s="67"/>
      <c r="E168" s="67"/>
      <c r="F168" s="67"/>
      <c r="G168" s="67"/>
      <c r="H168" s="67"/>
      <c r="I168" s="67"/>
      <c r="J168" s="69"/>
      <c r="K168" s="69"/>
      <c r="L168" s="69"/>
      <c r="M168" s="69"/>
      <c r="N168" s="67"/>
      <c r="O168" s="70"/>
      <c r="P168" s="69"/>
    </row>
    <row r="169" spans="2:16">
      <c r="B169" s="67"/>
      <c r="C169" s="67"/>
      <c r="D169" s="67"/>
      <c r="E169" s="67"/>
      <c r="F169" s="67"/>
      <c r="G169" s="67"/>
      <c r="H169" s="67"/>
      <c r="I169" s="67"/>
      <c r="J169" s="69"/>
      <c r="K169" s="69"/>
      <c r="L169" s="69"/>
      <c r="M169" s="69"/>
      <c r="N169" s="67"/>
      <c r="O169" s="70"/>
      <c r="P169" s="69"/>
    </row>
    <row r="170" spans="2:16">
      <c r="B170" s="67"/>
      <c r="C170" s="67"/>
      <c r="D170" s="67"/>
      <c r="E170" s="67"/>
      <c r="F170" s="67"/>
      <c r="G170" s="67"/>
      <c r="H170" s="67"/>
      <c r="I170" s="67"/>
      <c r="J170" s="69"/>
      <c r="K170" s="69"/>
      <c r="L170" s="69"/>
      <c r="M170" s="69"/>
      <c r="N170" s="67"/>
      <c r="O170" s="70"/>
      <c r="P170" s="69"/>
    </row>
    <row r="171" spans="2:16">
      <c r="B171" s="67"/>
      <c r="C171" s="67"/>
      <c r="D171" s="67"/>
      <c r="E171" s="67"/>
      <c r="F171" s="67"/>
      <c r="G171" s="67"/>
      <c r="H171" s="67"/>
      <c r="I171" s="67"/>
      <c r="J171" s="69"/>
      <c r="K171" s="69"/>
      <c r="L171" s="69"/>
      <c r="M171" s="69"/>
      <c r="N171" s="67"/>
      <c r="O171" s="70"/>
      <c r="P171" s="69"/>
    </row>
    <row r="172" spans="2:16">
      <c r="B172" s="67"/>
      <c r="C172" s="67"/>
      <c r="D172" s="67"/>
      <c r="E172" s="67"/>
      <c r="F172" s="67"/>
      <c r="G172" s="67"/>
      <c r="H172" s="67"/>
      <c r="I172" s="67"/>
      <c r="J172" s="69"/>
      <c r="K172" s="69"/>
      <c r="L172" s="69"/>
      <c r="M172" s="69"/>
      <c r="N172" s="67"/>
      <c r="O172" s="70"/>
      <c r="P172" s="69"/>
    </row>
    <row r="173" spans="2:16">
      <c r="B173" s="67"/>
      <c r="C173" s="67"/>
      <c r="D173" s="67"/>
      <c r="E173" s="67"/>
      <c r="F173" s="67"/>
      <c r="G173" s="67"/>
      <c r="H173" s="67"/>
      <c r="I173" s="67"/>
      <c r="J173" s="69"/>
      <c r="K173" s="69"/>
      <c r="L173" s="69"/>
      <c r="M173" s="69"/>
      <c r="N173" s="67"/>
      <c r="O173" s="70"/>
      <c r="P173" s="69"/>
    </row>
    <row r="174" spans="2:16">
      <c r="B174" s="67"/>
      <c r="C174" s="67"/>
      <c r="D174" s="67"/>
      <c r="E174" s="67"/>
      <c r="F174" s="67"/>
      <c r="G174" s="67"/>
      <c r="H174" s="67"/>
      <c r="I174" s="67"/>
      <c r="J174" s="69"/>
      <c r="K174" s="69"/>
      <c r="L174" s="69"/>
      <c r="M174" s="69"/>
      <c r="N174" s="67"/>
      <c r="O174" s="70"/>
      <c r="P174" s="69"/>
    </row>
    <row r="175" spans="2:16">
      <c r="B175" s="67"/>
      <c r="C175" s="67"/>
      <c r="D175" s="67"/>
      <c r="E175" s="67"/>
      <c r="F175" s="67"/>
      <c r="G175" s="67"/>
      <c r="H175" s="67"/>
      <c r="I175" s="67"/>
      <c r="J175" s="69"/>
      <c r="K175" s="69"/>
      <c r="L175" s="69"/>
      <c r="M175" s="69"/>
      <c r="N175" s="67"/>
      <c r="O175" s="70"/>
      <c r="P175" s="69"/>
    </row>
    <row r="176" spans="2:16">
      <c r="B176" s="67"/>
      <c r="C176" s="67"/>
      <c r="D176" s="67"/>
      <c r="E176" s="67"/>
      <c r="F176" s="67"/>
      <c r="G176" s="67"/>
      <c r="H176" s="67"/>
      <c r="I176" s="67"/>
      <c r="J176" s="69"/>
      <c r="K176" s="69"/>
      <c r="L176" s="69"/>
      <c r="M176" s="69"/>
      <c r="N176" s="67"/>
      <c r="O176" s="70"/>
      <c r="P176" s="69"/>
    </row>
    <row r="177" spans="2:16">
      <c r="B177" s="67"/>
      <c r="C177" s="67"/>
      <c r="D177" s="67"/>
      <c r="E177" s="67"/>
      <c r="F177" s="67"/>
      <c r="G177" s="67"/>
      <c r="H177" s="67"/>
      <c r="I177" s="67"/>
      <c r="J177" s="69"/>
      <c r="K177" s="69"/>
      <c r="L177" s="69"/>
      <c r="M177" s="69"/>
      <c r="N177" s="67"/>
      <c r="O177" s="70"/>
      <c r="P177" s="69"/>
    </row>
    <row r="178" spans="2:16">
      <c r="B178" s="67"/>
      <c r="C178" s="67"/>
      <c r="D178" s="67"/>
      <c r="E178" s="67"/>
      <c r="F178" s="67"/>
      <c r="G178" s="67"/>
      <c r="H178" s="67"/>
      <c r="I178" s="67"/>
      <c r="J178" s="69"/>
      <c r="K178" s="69"/>
      <c r="L178" s="69"/>
      <c r="M178" s="69"/>
      <c r="N178" s="67"/>
      <c r="O178" s="70"/>
      <c r="P178" s="69"/>
    </row>
    <row r="179" spans="2:16">
      <c r="B179" s="67"/>
      <c r="C179" s="67"/>
      <c r="D179" s="67"/>
      <c r="E179" s="67"/>
      <c r="F179" s="67"/>
      <c r="G179" s="67"/>
      <c r="H179" s="67"/>
      <c r="I179" s="67"/>
      <c r="J179" s="69"/>
      <c r="K179" s="69"/>
      <c r="L179" s="69"/>
      <c r="M179" s="69"/>
      <c r="N179" s="67"/>
      <c r="O179" s="70"/>
      <c r="P179" s="69"/>
    </row>
    <row r="180" spans="2:16">
      <c r="B180" s="67"/>
      <c r="C180" s="67"/>
      <c r="D180" s="67"/>
      <c r="E180" s="67"/>
      <c r="F180" s="67"/>
      <c r="G180" s="67"/>
      <c r="H180" s="67"/>
      <c r="I180" s="67"/>
      <c r="J180" s="69"/>
      <c r="K180" s="69"/>
      <c r="L180" s="69"/>
      <c r="M180" s="69"/>
      <c r="N180" s="67"/>
      <c r="O180" s="70"/>
      <c r="P180" s="69"/>
    </row>
    <row r="181" spans="2:16">
      <c r="B181" s="67"/>
      <c r="C181" s="67"/>
      <c r="D181" s="67"/>
      <c r="E181" s="67"/>
      <c r="F181" s="67"/>
      <c r="G181" s="67"/>
      <c r="H181" s="67"/>
      <c r="I181" s="67"/>
      <c r="J181" s="69"/>
      <c r="K181" s="69"/>
      <c r="L181" s="69"/>
      <c r="M181" s="69"/>
      <c r="N181" s="67"/>
      <c r="O181" s="70"/>
      <c r="P181" s="69"/>
    </row>
    <row r="182" spans="2:16">
      <c r="B182" s="67"/>
      <c r="C182" s="67"/>
      <c r="D182" s="67"/>
      <c r="E182" s="67"/>
      <c r="F182" s="67"/>
      <c r="G182" s="67"/>
      <c r="H182" s="67"/>
      <c r="I182" s="67"/>
      <c r="J182" s="69"/>
      <c r="K182" s="69"/>
      <c r="L182" s="69"/>
      <c r="M182" s="69"/>
      <c r="N182" s="67"/>
      <c r="O182" s="70"/>
      <c r="P182" s="69"/>
    </row>
    <row r="183" spans="2:16">
      <c r="B183" s="67"/>
      <c r="C183" s="67"/>
      <c r="D183" s="67"/>
      <c r="E183" s="67"/>
      <c r="F183" s="67"/>
      <c r="G183" s="67"/>
      <c r="H183" s="67"/>
      <c r="I183" s="67"/>
      <c r="J183" s="69"/>
      <c r="K183" s="69"/>
      <c r="L183" s="69"/>
      <c r="M183" s="69"/>
      <c r="N183" s="67"/>
      <c r="O183" s="70"/>
      <c r="P183" s="69"/>
    </row>
    <row r="184" spans="2:16">
      <c r="B184" s="67"/>
      <c r="C184" s="67"/>
      <c r="D184" s="67"/>
      <c r="E184" s="67"/>
      <c r="F184" s="67"/>
      <c r="G184" s="67"/>
      <c r="H184" s="67"/>
      <c r="I184" s="67"/>
      <c r="J184" s="69"/>
      <c r="K184" s="69"/>
      <c r="L184" s="69"/>
      <c r="M184" s="69"/>
      <c r="N184" s="67"/>
      <c r="O184" s="70"/>
      <c r="P184" s="69"/>
    </row>
    <row r="185" spans="2:16">
      <c r="B185" s="67"/>
      <c r="C185" s="67"/>
      <c r="D185" s="67"/>
      <c r="E185" s="67"/>
      <c r="F185" s="67"/>
      <c r="G185" s="67"/>
      <c r="H185" s="67"/>
      <c r="I185" s="67"/>
      <c r="J185" s="69"/>
      <c r="K185" s="69"/>
      <c r="L185" s="69"/>
      <c r="M185" s="69"/>
      <c r="N185" s="67"/>
      <c r="O185" s="70"/>
      <c r="P185" s="69"/>
    </row>
    <row r="186" spans="2:16">
      <c r="I186" s="67"/>
      <c r="J186" s="69"/>
      <c r="K186" s="69"/>
      <c r="L186" s="69"/>
      <c r="M186" s="69"/>
      <c r="N186" s="67"/>
      <c r="O186" s="70"/>
      <c r="P186" s="69"/>
    </row>
    <row r="187" spans="2:16">
      <c r="I187" s="67"/>
      <c r="J187" s="69"/>
      <c r="K187" s="69"/>
      <c r="L187" s="69"/>
      <c r="M187" s="69"/>
      <c r="N187" s="67"/>
      <c r="O187" s="70"/>
      <c r="P187" s="69"/>
    </row>
    <row r="188" spans="2:16">
      <c r="I188" s="67"/>
      <c r="J188" s="69"/>
      <c r="K188" s="69"/>
      <c r="L188" s="69"/>
      <c r="M188" s="69"/>
      <c r="N188" s="67"/>
      <c r="O188" s="70"/>
      <c r="P188" s="69"/>
    </row>
    <row r="189" spans="2:16">
      <c r="I189" s="67"/>
      <c r="J189" s="69"/>
      <c r="K189" s="69"/>
      <c r="L189" s="69"/>
      <c r="M189" s="69"/>
      <c r="N189" s="67"/>
      <c r="O189" s="70"/>
      <c r="P189" s="69"/>
    </row>
    <row r="190" spans="2:16">
      <c r="I190" s="67"/>
      <c r="J190" s="69"/>
      <c r="K190" s="69"/>
      <c r="L190" s="69"/>
      <c r="M190" s="69"/>
      <c r="N190" s="67"/>
      <c r="O190" s="70"/>
      <c r="P190" s="69"/>
    </row>
    <row r="191" spans="2:16">
      <c r="I191" s="67"/>
      <c r="J191" s="69"/>
      <c r="K191" s="69"/>
      <c r="L191" s="69"/>
      <c r="M191" s="69"/>
      <c r="N191" s="67"/>
      <c r="O191" s="70"/>
      <c r="P191" s="69"/>
    </row>
    <row r="192" spans="2:16">
      <c r="I192" s="67"/>
      <c r="J192" s="69"/>
      <c r="K192" s="69"/>
      <c r="L192" s="69"/>
      <c r="M192" s="69"/>
      <c r="N192" s="67"/>
      <c r="O192" s="70"/>
      <c r="P192" s="69"/>
    </row>
    <row r="193" spans="9:16">
      <c r="I193" s="67"/>
      <c r="J193" s="69"/>
      <c r="K193" s="69"/>
      <c r="L193" s="69"/>
      <c r="M193" s="69"/>
      <c r="N193" s="67"/>
      <c r="O193" s="70"/>
      <c r="P193" s="69"/>
    </row>
    <row r="194" spans="9:16">
      <c r="I194" s="67"/>
      <c r="J194" s="69"/>
      <c r="K194" s="69"/>
      <c r="L194" s="69"/>
      <c r="M194" s="69"/>
      <c r="N194" s="67"/>
      <c r="O194" s="70"/>
      <c r="P194" s="69"/>
    </row>
    <row r="195" spans="9:16">
      <c r="I195" s="67"/>
      <c r="J195" s="69"/>
      <c r="K195" s="69"/>
      <c r="L195" s="69"/>
      <c r="M195" s="69"/>
      <c r="N195" s="67"/>
      <c r="O195" s="70"/>
      <c r="P195" s="69"/>
    </row>
    <row r="196" spans="9:16">
      <c r="I196" s="67"/>
      <c r="J196" s="69"/>
      <c r="K196" s="69"/>
      <c r="L196" s="69"/>
      <c r="M196" s="69"/>
      <c r="N196" s="67"/>
      <c r="O196" s="70"/>
      <c r="P196" s="69"/>
    </row>
    <row r="197" spans="9:16">
      <c r="I197" s="67"/>
      <c r="J197" s="69"/>
      <c r="K197" s="69"/>
      <c r="L197" s="69"/>
      <c r="M197" s="69"/>
      <c r="N197" s="67"/>
      <c r="O197" s="70"/>
      <c r="P197" s="69"/>
    </row>
    <row r="198" spans="9:16">
      <c r="I198" s="67"/>
      <c r="J198" s="69"/>
      <c r="K198" s="69"/>
      <c r="L198" s="69"/>
      <c r="M198" s="69"/>
      <c r="N198" s="67"/>
      <c r="O198" s="70"/>
      <c r="P198" s="69"/>
    </row>
    <row r="199" spans="9:16">
      <c r="I199" s="67"/>
      <c r="J199" s="69"/>
      <c r="K199" s="69"/>
      <c r="L199" s="69"/>
      <c r="M199" s="69"/>
      <c r="N199" s="67"/>
      <c r="O199" s="70"/>
      <c r="P199" s="69"/>
    </row>
    <row r="200" spans="9:16">
      <c r="I200" s="67"/>
      <c r="J200" s="69"/>
      <c r="K200" s="69"/>
      <c r="L200" s="69"/>
      <c r="M200" s="69"/>
      <c r="N200" s="67"/>
      <c r="O200" s="70"/>
      <c r="P200" s="69"/>
    </row>
    <row r="201" spans="9:16">
      <c r="I201" s="67"/>
      <c r="J201" s="69"/>
      <c r="K201" s="69"/>
      <c r="L201" s="69"/>
      <c r="M201" s="69"/>
      <c r="N201" s="67"/>
      <c r="O201" s="70"/>
      <c r="P201" s="69"/>
    </row>
    <row r="202" spans="9:16">
      <c r="I202" s="67"/>
      <c r="J202" s="69"/>
      <c r="K202" s="69"/>
      <c r="L202" s="69"/>
      <c r="M202" s="69"/>
      <c r="N202" s="67"/>
      <c r="O202" s="70"/>
      <c r="P202" s="69"/>
    </row>
    <row r="203" spans="9:16">
      <c r="I203" s="67"/>
      <c r="J203" s="69"/>
      <c r="K203" s="69"/>
      <c r="L203" s="69"/>
      <c r="M203" s="69"/>
      <c r="N203" s="67"/>
      <c r="O203" s="70"/>
      <c r="P203" s="69"/>
    </row>
    <row r="204" spans="9:16">
      <c r="I204" s="67"/>
      <c r="J204" s="69"/>
      <c r="K204" s="69"/>
      <c r="L204" s="69"/>
      <c r="M204" s="69"/>
      <c r="N204" s="67"/>
      <c r="O204" s="70"/>
      <c r="P204" s="69"/>
    </row>
    <row r="205" spans="9:16">
      <c r="I205" s="67"/>
      <c r="J205" s="69"/>
      <c r="K205" s="69"/>
      <c r="L205" s="69"/>
      <c r="M205" s="69"/>
      <c r="N205" s="67"/>
      <c r="O205" s="70"/>
      <c r="P205" s="69"/>
    </row>
    <row r="206" spans="9:16">
      <c r="I206" s="67"/>
      <c r="J206" s="69"/>
      <c r="K206" s="69"/>
      <c r="L206" s="69"/>
      <c r="M206" s="69"/>
      <c r="N206" s="67"/>
      <c r="O206" s="70"/>
      <c r="P206" s="69"/>
    </row>
    <row r="207" spans="9:16">
      <c r="I207" s="67"/>
      <c r="J207" s="69"/>
      <c r="K207" s="69"/>
      <c r="L207" s="69"/>
      <c r="M207" s="69"/>
      <c r="N207" s="67"/>
      <c r="O207" s="70"/>
      <c r="P207" s="69"/>
    </row>
    <row r="208" spans="9:16">
      <c r="I208" s="67"/>
      <c r="J208" s="69"/>
      <c r="K208" s="69"/>
      <c r="L208" s="69"/>
      <c r="M208" s="69"/>
      <c r="N208" s="67"/>
      <c r="O208" s="70"/>
      <c r="P208" s="69"/>
    </row>
    <row r="209" spans="9:16">
      <c r="I209" s="67"/>
      <c r="J209" s="69"/>
      <c r="K209" s="69"/>
      <c r="L209" s="69"/>
      <c r="M209" s="69"/>
      <c r="N209" s="67"/>
      <c r="O209" s="70"/>
      <c r="P209" s="69"/>
    </row>
    <row r="210" spans="9:16">
      <c r="I210" s="67"/>
      <c r="J210" s="69"/>
      <c r="K210" s="69"/>
      <c r="L210" s="69"/>
      <c r="M210" s="69"/>
      <c r="N210" s="67"/>
      <c r="O210" s="70"/>
      <c r="P210" s="69"/>
    </row>
    <row r="211" spans="9:16">
      <c r="I211" s="67"/>
      <c r="J211" s="69"/>
      <c r="K211" s="69"/>
      <c r="L211" s="69"/>
      <c r="M211" s="69"/>
      <c r="N211" s="67"/>
      <c r="O211" s="70"/>
      <c r="P211" s="69"/>
    </row>
    <row r="212" spans="9:16">
      <c r="I212" s="67"/>
      <c r="J212" s="69"/>
      <c r="K212" s="69"/>
      <c r="L212" s="69"/>
      <c r="M212" s="69"/>
      <c r="N212" s="67"/>
      <c r="O212" s="70"/>
      <c r="P212" s="69"/>
    </row>
    <row r="213" spans="9:16">
      <c r="I213" s="67"/>
      <c r="J213" s="69"/>
      <c r="K213" s="69"/>
      <c r="L213" s="69"/>
      <c r="M213" s="69"/>
      <c r="N213" s="67"/>
      <c r="O213" s="70"/>
      <c r="P213" s="69"/>
    </row>
    <row r="214" spans="9:16">
      <c r="I214" s="67"/>
      <c r="J214" s="69"/>
      <c r="K214" s="69"/>
      <c r="L214" s="69"/>
      <c r="M214" s="69"/>
      <c r="N214" s="67"/>
      <c r="O214" s="70"/>
      <c r="P214" s="69"/>
    </row>
    <row r="215" spans="9:16">
      <c r="I215" s="67"/>
      <c r="J215" s="69"/>
      <c r="K215" s="69"/>
      <c r="L215" s="69"/>
      <c r="M215" s="69"/>
      <c r="N215" s="67"/>
      <c r="O215" s="70"/>
      <c r="P215" s="69"/>
    </row>
    <row r="216" spans="9:16">
      <c r="I216" s="67"/>
      <c r="J216" s="69"/>
      <c r="K216" s="69"/>
      <c r="L216" s="69"/>
      <c r="M216" s="69"/>
      <c r="N216" s="67"/>
      <c r="O216" s="70"/>
      <c r="P216" s="69"/>
    </row>
    <row r="217" spans="9:16">
      <c r="I217" s="67"/>
      <c r="J217" s="69"/>
      <c r="K217" s="69"/>
      <c r="L217" s="69"/>
      <c r="M217" s="69"/>
      <c r="N217" s="67"/>
      <c r="O217" s="70"/>
      <c r="P217" s="69"/>
    </row>
    <row r="218" spans="9:16">
      <c r="I218" s="67"/>
      <c r="J218" s="69"/>
      <c r="K218" s="69"/>
      <c r="L218" s="69"/>
      <c r="M218" s="69"/>
      <c r="N218" s="67"/>
      <c r="O218" s="70"/>
      <c r="P218" s="69"/>
    </row>
    <row r="219" spans="9:16">
      <c r="I219" s="67"/>
      <c r="J219" s="69"/>
      <c r="K219" s="69"/>
      <c r="L219" s="69"/>
      <c r="M219" s="69"/>
      <c r="N219" s="67"/>
      <c r="O219" s="70"/>
      <c r="P219" s="69"/>
    </row>
    <row r="220" spans="9:16">
      <c r="I220" s="67"/>
      <c r="J220" s="69"/>
      <c r="K220" s="69"/>
      <c r="L220" s="69"/>
      <c r="M220" s="69"/>
      <c r="N220" s="67"/>
      <c r="O220" s="70"/>
      <c r="P220" s="69"/>
    </row>
    <row r="221" spans="9:16">
      <c r="I221" s="67"/>
      <c r="J221" s="69"/>
      <c r="K221" s="69"/>
      <c r="L221" s="69"/>
      <c r="M221" s="69"/>
      <c r="N221" s="67"/>
      <c r="O221" s="70"/>
      <c r="P221" s="69"/>
    </row>
    <row r="222" spans="9:16">
      <c r="I222" s="67"/>
      <c r="J222" s="69"/>
      <c r="K222" s="69"/>
      <c r="L222" s="69"/>
      <c r="M222" s="69"/>
      <c r="N222" s="67"/>
      <c r="O222" s="70"/>
      <c r="P222" s="69"/>
    </row>
    <row r="223" spans="9:16">
      <c r="I223" s="67"/>
      <c r="J223" s="69"/>
      <c r="K223" s="69"/>
      <c r="L223" s="69"/>
      <c r="M223" s="69"/>
      <c r="N223" s="67"/>
      <c r="O223" s="70"/>
      <c r="P223" s="69"/>
    </row>
    <row r="224" spans="9:16">
      <c r="I224" s="67"/>
      <c r="J224" s="69"/>
      <c r="K224" s="69"/>
      <c r="L224" s="69"/>
      <c r="M224" s="69"/>
      <c r="N224" s="67"/>
      <c r="O224" s="70"/>
      <c r="P224" s="69"/>
    </row>
    <row r="225" spans="9:16">
      <c r="I225" s="67"/>
      <c r="J225" s="69"/>
      <c r="K225" s="69"/>
      <c r="L225" s="69"/>
      <c r="M225" s="69"/>
      <c r="N225" s="67"/>
      <c r="O225" s="70"/>
      <c r="P225" s="69"/>
    </row>
    <row r="226" spans="9:16">
      <c r="I226" s="67"/>
      <c r="J226" s="69"/>
      <c r="K226" s="69"/>
      <c r="L226" s="69"/>
      <c r="M226" s="69"/>
      <c r="N226" s="67"/>
      <c r="O226" s="70"/>
      <c r="P226" s="69"/>
    </row>
    <row r="227" spans="9:16">
      <c r="I227" s="67"/>
      <c r="J227" s="69"/>
      <c r="K227" s="69"/>
      <c r="L227" s="69"/>
      <c r="M227" s="69"/>
      <c r="N227" s="67"/>
      <c r="O227" s="70"/>
      <c r="P227" s="69"/>
    </row>
    <row r="228" spans="9:16">
      <c r="I228" s="67"/>
      <c r="J228" s="69"/>
      <c r="K228" s="69"/>
      <c r="L228" s="69"/>
      <c r="M228" s="69"/>
      <c r="N228" s="67"/>
      <c r="O228" s="70"/>
      <c r="P228" s="69"/>
    </row>
    <row r="229" spans="9:16">
      <c r="I229" s="67"/>
      <c r="J229" s="69"/>
      <c r="K229" s="69"/>
      <c r="L229" s="69"/>
      <c r="M229" s="69"/>
      <c r="N229" s="67"/>
      <c r="O229" s="70"/>
      <c r="P229" s="69"/>
    </row>
    <row r="230" spans="9:16">
      <c r="I230" s="67"/>
      <c r="J230" s="69"/>
      <c r="K230" s="69"/>
      <c r="L230" s="69"/>
      <c r="M230" s="69"/>
      <c r="N230" s="67"/>
      <c r="O230" s="70"/>
      <c r="P230" s="69"/>
    </row>
    <row r="231" spans="9:16">
      <c r="I231" s="67"/>
      <c r="J231" s="69"/>
      <c r="K231" s="69"/>
      <c r="L231" s="69"/>
      <c r="M231" s="69"/>
      <c r="N231" s="67"/>
      <c r="O231" s="70"/>
      <c r="P231" s="69"/>
    </row>
    <row r="232" spans="9:16">
      <c r="I232" s="67"/>
      <c r="J232" s="69"/>
      <c r="K232" s="69"/>
      <c r="L232" s="69"/>
      <c r="M232" s="69"/>
      <c r="N232" s="67"/>
      <c r="O232" s="70"/>
      <c r="P232" s="69"/>
    </row>
    <row r="233" spans="9:16">
      <c r="I233" s="67"/>
      <c r="J233" s="69"/>
      <c r="K233" s="69"/>
      <c r="L233" s="69"/>
      <c r="M233" s="69"/>
      <c r="N233" s="67"/>
      <c r="O233" s="70"/>
      <c r="P233" s="69"/>
    </row>
  </sheetData>
  <mergeCells count="45">
    <mergeCell ref="U3:V3"/>
    <mergeCell ref="Q3:T3"/>
    <mergeCell ref="C4:D4"/>
    <mergeCell ref="K4:L4"/>
    <mergeCell ref="I3:J3"/>
    <mergeCell ref="K3:P3"/>
    <mergeCell ref="Q49:R49"/>
    <mergeCell ref="Q48:R48"/>
    <mergeCell ref="I43:P43"/>
    <mergeCell ref="K44:M44"/>
    <mergeCell ref="N44:P44"/>
    <mergeCell ref="I44:I48"/>
    <mergeCell ref="K46:L46"/>
    <mergeCell ref="K49:L49"/>
    <mergeCell ref="F44:H44"/>
    <mergeCell ref="K38:P38"/>
    <mergeCell ref="F47:H47"/>
    <mergeCell ref="F45:H45"/>
    <mergeCell ref="K52:L52"/>
    <mergeCell ref="K50:L50"/>
    <mergeCell ref="K51:L51"/>
    <mergeCell ref="K48:L48"/>
    <mergeCell ref="K45:L45"/>
    <mergeCell ref="K47:L47"/>
    <mergeCell ref="I54:P54"/>
    <mergeCell ref="K53:L53"/>
    <mergeCell ref="F48:H48"/>
    <mergeCell ref="A1:P1"/>
    <mergeCell ref="A3:B3"/>
    <mergeCell ref="D3:H3"/>
    <mergeCell ref="A54:H54"/>
    <mergeCell ref="I49:I53"/>
    <mergeCell ref="A49:A53"/>
    <mergeCell ref="C52:D52"/>
    <mergeCell ref="C53:D53"/>
    <mergeCell ref="C51:D51"/>
    <mergeCell ref="C49:D49"/>
    <mergeCell ref="A44:A48"/>
    <mergeCell ref="C44:E44"/>
    <mergeCell ref="F46:H46"/>
    <mergeCell ref="C45:E45"/>
    <mergeCell ref="C46:E46"/>
    <mergeCell ref="C47:E47"/>
    <mergeCell ref="C48:E48"/>
    <mergeCell ref="C50:D50"/>
  </mergeCells>
  <phoneticPr fontId="2" type="noConversion"/>
  <printOptions horizontalCentered="1"/>
  <pageMargins left="0" right="0" top="0.19685039370078741" bottom="0" header="0.23622047244094491" footer="0.23622047244094491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3"/>
  <dimension ref="A1:AC233"/>
  <sheetViews>
    <sheetView showGridLines="0" showZeros="0" workbookViewId="0">
      <selection activeCell="AE26" sqref="AE26"/>
    </sheetView>
  </sheetViews>
  <sheetFormatPr defaultRowHeight="20.25"/>
  <cols>
    <col min="1" max="1" width="6.7109375" style="74" customWidth="1"/>
    <col min="2" max="2" width="13.140625" style="74" customWidth="1"/>
    <col min="3" max="3" width="2.7109375" style="74" customWidth="1"/>
    <col min="4" max="4" width="5.28515625" style="74" customWidth="1"/>
    <col min="5" max="6" width="7.7109375" style="74" customWidth="1"/>
    <col min="7" max="7" width="10.7109375" style="74" hidden="1" customWidth="1"/>
    <col min="8" max="8" width="7.7109375" style="74" customWidth="1"/>
    <col min="9" max="9" width="6.7109375" style="74" customWidth="1"/>
    <col min="10" max="10" width="14.7109375" style="16" customWidth="1"/>
    <col min="11" max="11" width="2.7109375" style="16" customWidth="1"/>
    <col min="12" max="12" width="6.7109375" style="16" customWidth="1"/>
    <col min="13" max="13" width="6.28515625" style="16" customWidth="1"/>
    <col min="14" max="14" width="6.28515625" style="74" customWidth="1"/>
    <col min="15" max="15" width="12.28515625" style="75" hidden="1" customWidth="1"/>
    <col min="16" max="16" width="8.5703125" style="16" customWidth="1"/>
    <col min="17" max="17" width="8.5703125" style="14" bestFit="1" customWidth="1"/>
    <col min="18" max="18" width="8.5703125" style="15" bestFit="1" customWidth="1"/>
    <col min="19" max="19" width="4.7109375" style="16" bestFit="1" customWidth="1"/>
    <col min="20" max="20" width="3.85546875" style="16" bestFit="1" customWidth="1"/>
    <col min="21" max="21" width="5.7109375" style="17" customWidth="1"/>
    <col min="22" max="22" width="5.7109375" style="17" bestFit="1" customWidth="1"/>
    <col min="23" max="23" width="9.140625" style="18" customWidth="1"/>
    <col min="24" max="24" width="0" style="18" hidden="1" customWidth="1"/>
    <col min="25" max="25" width="0" style="17" hidden="1" customWidth="1"/>
    <col min="26" max="29" width="5.7109375" style="16" hidden="1" customWidth="1"/>
    <col min="30" max="30" width="0" style="17" hidden="1" customWidth="1"/>
    <col min="31" max="16384" width="9.140625" style="17"/>
  </cols>
  <sheetData>
    <row r="1" spans="1:29" ht="33.75">
      <c r="A1" s="303" t="s">
        <v>156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</row>
    <row r="2" spans="1:29" ht="31.5">
      <c r="A2" s="118"/>
      <c r="B2" s="118"/>
      <c r="C2" s="118"/>
      <c r="D2" s="118"/>
      <c r="E2" s="118"/>
      <c r="F2" s="118"/>
      <c r="G2" s="118"/>
      <c r="H2" s="118"/>
      <c r="J2" s="119"/>
      <c r="K2" s="119"/>
      <c r="L2" s="119"/>
      <c r="M2" s="119"/>
      <c r="N2" s="119"/>
      <c r="O2" s="119"/>
      <c r="P2" s="119"/>
    </row>
    <row r="3" spans="1:29" ht="23.25" thickBot="1">
      <c r="A3" s="304" t="s">
        <v>157</v>
      </c>
      <c r="B3" s="304"/>
      <c r="C3" s="208"/>
      <c r="D3" s="279">
        <f>'[1]1'!D3+2</f>
        <v>41584</v>
      </c>
      <c r="E3" s="279"/>
      <c r="F3" s="279"/>
      <c r="G3" s="279"/>
      <c r="H3" s="279"/>
      <c r="I3" s="280" t="str">
        <f>IF(WEEKDAY(D3,2)=7,"星期日",IF(WEEKDAY(D3,2)=6,"星期六",IF(WEEKDAY(D3,2)=5,"星期五",IF(WEEKDAY(D3,2)=4,"星期四",IF(WEEKDAY(D3,2)=3,"星期三",IF(WEEKDAY(D3,2)=2,"星期二",IF(WEEKDAY(D3,2)=1,"星期一",WEEKDAY(D3,2))))))))</f>
        <v>星期三</v>
      </c>
      <c r="J3" s="280"/>
      <c r="K3" s="281">
        <f>D3-40908-366</f>
        <v>310</v>
      </c>
      <c r="L3" s="281"/>
      <c r="M3" s="281"/>
      <c r="N3" s="281"/>
      <c r="O3" s="281"/>
      <c r="P3" s="281"/>
      <c r="Q3" s="273" t="s">
        <v>63</v>
      </c>
      <c r="R3" s="273"/>
      <c r="S3" s="273"/>
      <c r="T3" s="273"/>
      <c r="U3" s="272" t="s">
        <v>59</v>
      </c>
      <c r="V3" s="272"/>
    </row>
    <row r="4" spans="1:29" s="31" customFormat="1" ht="13.5" thickTop="1" thickBot="1">
      <c r="A4" s="19" t="s">
        <v>64</v>
      </c>
      <c r="B4" s="20" t="s">
        <v>158</v>
      </c>
      <c r="C4" s="277" t="s">
        <v>159</v>
      </c>
      <c r="D4" s="278"/>
      <c r="E4" s="20" t="s">
        <v>60</v>
      </c>
      <c r="F4" s="20" t="s">
        <v>290</v>
      </c>
      <c r="G4" s="21"/>
      <c r="H4" s="214" t="s">
        <v>61</v>
      </c>
      <c r="I4" s="22" t="s">
        <v>64</v>
      </c>
      <c r="J4" s="23" t="s">
        <v>62</v>
      </c>
      <c r="K4" s="277" t="s">
        <v>159</v>
      </c>
      <c r="L4" s="278"/>
      <c r="M4" s="24" t="s">
        <v>60</v>
      </c>
      <c r="N4" s="23" t="s">
        <v>290</v>
      </c>
      <c r="O4" s="25"/>
      <c r="P4" s="26" t="s">
        <v>61</v>
      </c>
      <c r="Q4" s="27" t="s">
        <v>2</v>
      </c>
      <c r="R4" s="28" t="s">
        <v>65</v>
      </c>
      <c r="S4" s="29" t="s">
        <v>160</v>
      </c>
      <c r="T4" s="29" t="s">
        <v>297</v>
      </c>
      <c r="U4" s="27" t="s">
        <v>2</v>
      </c>
      <c r="V4" s="28" t="s">
        <v>65</v>
      </c>
      <c r="W4" s="30"/>
      <c r="X4" s="30"/>
      <c r="Z4" s="71"/>
      <c r="AA4" s="71"/>
      <c r="AB4" s="71"/>
      <c r="AC4" s="71"/>
    </row>
    <row r="5" spans="1:29" s="31" customFormat="1" ht="13.5" thickTop="1" thickBot="1">
      <c r="A5" s="152">
        <v>270037</v>
      </c>
      <c r="B5" s="199" t="str">
        <f>IF(A5=0,0,VLOOKUP(A5,'00'!$A$1:$F$65536,2,0))</f>
        <v>SES372(1)</v>
      </c>
      <c r="C5" s="5">
        <v>2</v>
      </c>
      <c r="D5" s="3" t="str">
        <f>IF(C5=0,0,VLOOKUP(C5,'01'!$A$2:$B$98,2,0))</f>
        <v>挤出</v>
      </c>
      <c r="E5" s="12">
        <v>10</v>
      </c>
      <c r="F5" s="33" t="s">
        <v>58</v>
      </c>
      <c r="G5" s="34">
        <f t="shared" ref="G5:G37" si="0">IF(F5="中",1,IF(F5="夜",1000000,IF(F5="早",1000000000000,0)))</f>
        <v>1000000000000</v>
      </c>
      <c r="H5" s="206">
        <f>IF(A5=0,0,VLOOKUP(A5,'00'!$A:$F,4,0))</f>
        <v>1082506</v>
      </c>
      <c r="I5" s="9">
        <v>270098</v>
      </c>
      <c r="J5" s="34" t="str">
        <f>IF(I5=0,0,VLOOKUP(I5,'00'!$A$1:$F$65536,2,0))</f>
        <v>DJS601薄片</v>
      </c>
      <c r="K5" s="10">
        <v>20</v>
      </c>
      <c r="L5" s="11" t="str">
        <f>IF(K5=0,0,VLOOKUP(K5,'01'!$A$2:$B$98,2,0))</f>
        <v>约定</v>
      </c>
      <c r="M5" s="13">
        <v>0</v>
      </c>
      <c r="N5" s="33" t="s">
        <v>58</v>
      </c>
      <c r="O5" s="35">
        <f t="shared" ref="O5:O37" si="1">IF(N5="中",1,IF(N5="夜",10000,IF(N5="日",100000000,0)))</f>
        <v>0</v>
      </c>
      <c r="P5" s="36">
        <f>IF(I5=0,0,VLOOKUP(I5,'00'!$A:$F,4,0))</f>
        <v>1082522</v>
      </c>
      <c r="Q5" s="37">
        <f>IF(A5=0,0,VLOOKUP(A5,'00'!$A$1:$F$65536,5,0))</f>
        <v>175.5</v>
      </c>
      <c r="R5" s="37">
        <f>IF(A5=0,0,VLOOKUP(A5,'00'!$A$1:$G$65536,6,0))</f>
        <v>5.7</v>
      </c>
      <c r="S5" s="38">
        <f t="shared" ref="S5:S37" si="2">IF(A5=270278,1,IF(RIGHT(B5,3)="(0)",1,0))</f>
        <v>0</v>
      </c>
      <c r="T5" s="38">
        <f t="shared" ref="T5:T37" si="3">IF(G5=0,1,0)</f>
        <v>0</v>
      </c>
      <c r="U5" s="37">
        <f>IF(I5=0,0,VLOOKUP(I5,'00'!$A:$F,5,0))+X5</f>
        <v>0</v>
      </c>
      <c r="V5" s="37">
        <f>IF(I5=0,0,VLOOKUP(I5,'00'!$A$1:$F$65536,6,0))</f>
        <v>1.5</v>
      </c>
      <c r="W5" s="37"/>
      <c r="X5" s="30">
        <f t="shared" ref="X5:X37" si="4">IF(K5=9,125,0)</f>
        <v>0</v>
      </c>
      <c r="Y5" s="31">
        <f t="shared" ref="Y5:Y37" si="5">E5*R5</f>
        <v>57</v>
      </c>
      <c r="Z5" s="71">
        <f>+E5*Q5</f>
        <v>1755</v>
      </c>
      <c r="AA5" s="71">
        <f>+S5*Z5</f>
        <v>0</v>
      </c>
      <c r="AB5" s="71">
        <f>+Z5-AA5</f>
        <v>1755</v>
      </c>
      <c r="AC5" s="71"/>
    </row>
    <row r="6" spans="1:29" s="31" customFormat="1" ht="13.5" thickTop="1" thickBot="1">
      <c r="A6" s="152">
        <v>270038</v>
      </c>
      <c r="B6" s="199" t="str">
        <f>IF(A6=0,0,VLOOKUP(A6,'00'!$A$1:$F$65536,2,0))</f>
        <v>SES371(1)</v>
      </c>
      <c r="C6" s="5">
        <v>2</v>
      </c>
      <c r="D6" s="3" t="str">
        <f>IF(C6=0,0,VLOOKUP(C6,'01'!$A$2:$B$98,2,0))</f>
        <v>挤出</v>
      </c>
      <c r="E6" s="12">
        <v>7</v>
      </c>
      <c r="F6" s="33" t="s">
        <v>58</v>
      </c>
      <c r="G6" s="34">
        <f t="shared" si="0"/>
        <v>1000000000000</v>
      </c>
      <c r="H6" s="206">
        <f>IF(A6=0,0,VLOOKUP(A6,'00'!$A:$F,4,0))</f>
        <v>1082505</v>
      </c>
      <c r="I6" s="32">
        <v>270057</v>
      </c>
      <c r="J6" s="34" t="str">
        <f>IF(I6=0,0,VLOOKUP(I6,'00'!$A$1:$F$65536,2,0))</f>
        <v>CES009(1)</v>
      </c>
      <c r="K6" s="34">
        <v>2</v>
      </c>
      <c r="L6" s="7" t="str">
        <f>IF(K6=0,0,VLOOKUP(K6,'01'!$A$2:$B$98,2,0))</f>
        <v>挤出</v>
      </c>
      <c r="M6" s="39">
        <v>6</v>
      </c>
      <c r="N6" s="40" t="s">
        <v>57</v>
      </c>
      <c r="O6" s="41">
        <f t="shared" si="1"/>
        <v>0</v>
      </c>
      <c r="P6" s="42">
        <f>IF(I6=0,0,VLOOKUP(I6,'00'!$A:$F,4,0))</f>
        <v>1082502</v>
      </c>
      <c r="Q6" s="37">
        <f>IF(A6=0,0,VLOOKUP(A6,'00'!$A$1:$F$65536,5,0))</f>
        <v>169</v>
      </c>
      <c r="R6" s="37">
        <f>IF(A6=0,0,VLOOKUP(A6,'00'!$A$1:$G$65536,6,0))</f>
        <v>5.7</v>
      </c>
      <c r="S6" s="38">
        <f t="shared" si="2"/>
        <v>0</v>
      </c>
      <c r="T6" s="38">
        <f t="shared" si="3"/>
        <v>0</v>
      </c>
      <c r="U6" s="37">
        <f>IF(I6=0,0,VLOOKUP(I6,'00'!$A:$F,5,0))+X6</f>
        <v>32</v>
      </c>
      <c r="V6" s="37">
        <f>IF(I6=0,0,VLOOKUP(I6,'00'!$A$1:$F$65536,6,0))</f>
        <v>30</v>
      </c>
      <c r="W6" s="30"/>
      <c r="X6" s="30">
        <f>IF(K6=9,125,0)</f>
        <v>0</v>
      </c>
      <c r="Y6" s="31">
        <f t="shared" si="5"/>
        <v>39.9</v>
      </c>
      <c r="Z6" s="71">
        <f t="shared" ref="Z6:Z37" si="6">+E6*Q6</f>
        <v>1183</v>
      </c>
      <c r="AA6" s="71">
        <f t="shared" ref="AA6:AA37" si="7">+S6*Z6</f>
        <v>0</v>
      </c>
      <c r="AB6" s="71">
        <f t="shared" ref="AB6:AB37" si="8">+Z6-AA6</f>
        <v>1183</v>
      </c>
      <c r="AC6" s="71">
        <f>+U6*M6</f>
        <v>192</v>
      </c>
    </row>
    <row r="7" spans="1:29" s="31" customFormat="1" ht="13.5" thickTop="1" thickBot="1">
      <c r="A7" s="152">
        <v>270036</v>
      </c>
      <c r="B7" s="199" t="str">
        <f>IF(A7=0,0,VLOOKUP(A7,'00'!$A$1:$F$65536,2,0))</f>
        <v>SES311(1)</v>
      </c>
      <c r="C7" s="5">
        <v>2</v>
      </c>
      <c r="D7" s="3" t="str">
        <f>IF(C7=0,0,VLOOKUP(C7,'01'!$A$2:$B$98,2,0))</f>
        <v>挤出</v>
      </c>
      <c r="E7" s="12">
        <v>10</v>
      </c>
      <c r="F7" s="33" t="s">
        <v>58</v>
      </c>
      <c r="G7" s="34">
        <f t="shared" si="0"/>
        <v>1000000000000</v>
      </c>
      <c r="H7" s="206">
        <f>IF(A7=0,0,VLOOKUP(A7,'00'!$A:$F,4,0))</f>
        <v>1082503</v>
      </c>
      <c r="I7" s="9"/>
      <c r="J7" s="34">
        <f>IF(I7=0,0,VLOOKUP(I7,'00'!$A$1:$F$65536,2,0))</f>
        <v>0</v>
      </c>
      <c r="K7" s="10"/>
      <c r="L7" s="7">
        <f>IF(K7=0,0,VLOOKUP(K7,'01'!$A$2:$B$98,2,0))</f>
        <v>0</v>
      </c>
      <c r="M7" s="39"/>
      <c r="N7" s="40" t="s">
        <v>57</v>
      </c>
      <c r="O7" s="41">
        <f t="shared" si="1"/>
        <v>0</v>
      </c>
      <c r="P7" s="42">
        <f>IF(I7=0,0,VLOOKUP(I7,'00'!$A:$F,4,0))</f>
        <v>0</v>
      </c>
      <c r="Q7" s="37">
        <f>IF(A7=0,0,VLOOKUP(A7,'00'!$A$1:$F$65536,5,0))</f>
        <v>175.5</v>
      </c>
      <c r="R7" s="37">
        <f>IF(A7=0,0,VLOOKUP(A7,'00'!$A$1:$G$65536,6,0))</f>
        <v>6</v>
      </c>
      <c r="S7" s="38">
        <f t="shared" si="2"/>
        <v>0</v>
      </c>
      <c r="T7" s="38">
        <f t="shared" si="3"/>
        <v>0</v>
      </c>
      <c r="U7" s="37">
        <f>IF(I7=0,0,VLOOKUP(I7,'00'!$A:$F,5,0))+X7</f>
        <v>0</v>
      </c>
      <c r="V7" s="37">
        <f>IF(I7=0,0,VLOOKUP(I7,'00'!$A$1:$F$65536,6,0))</f>
        <v>0</v>
      </c>
      <c r="W7" s="30"/>
      <c r="X7" s="30">
        <f>IF(K7=9,125,0)</f>
        <v>0</v>
      </c>
      <c r="Y7" s="31">
        <f t="shared" si="5"/>
        <v>60</v>
      </c>
      <c r="Z7" s="71">
        <f t="shared" si="6"/>
        <v>1755</v>
      </c>
      <c r="AA7" s="71">
        <f t="shared" si="7"/>
        <v>0</v>
      </c>
      <c r="AB7" s="71">
        <f t="shared" si="8"/>
        <v>1755</v>
      </c>
      <c r="AC7" s="71">
        <f>+U7*M7</f>
        <v>0</v>
      </c>
    </row>
    <row r="8" spans="1:29" s="31" customFormat="1" ht="13.5" thickTop="1" thickBot="1">
      <c r="A8" s="152">
        <v>270232</v>
      </c>
      <c r="B8" s="199" t="str">
        <f>IF(A8=0,0,VLOOKUP(A8,'00'!$A$1:$F$65536,2,0))</f>
        <v>SES401(1)二段</v>
      </c>
      <c r="C8" s="5">
        <v>2</v>
      </c>
      <c r="D8" s="3" t="str">
        <f>IF(C8=0,0,VLOOKUP(C8,'01'!$A$2:$B$98,2,0))</f>
        <v>挤出</v>
      </c>
      <c r="E8" s="12">
        <v>20</v>
      </c>
      <c r="F8" s="33" t="s">
        <v>58</v>
      </c>
      <c r="G8" s="34">
        <f t="shared" si="0"/>
        <v>1000000000000</v>
      </c>
      <c r="H8" s="206">
        <f>IF(A8=0,0,VLOOKUP(A8,'00'!$A:$F,4,0))</f>
        <v>1082509</v>
      </c>
      <c r="I8" s="9"/>
      <c r="J8" s="34">
        <f>IF(I8=0,0,VLOOKUP(I8,'00'!$A$1:$F$65536,2,0))</f>
        <v>0</v>
      </c>
      <c r="K8" s="10"/>
      <c r="L8" s="7">
        <f>IF(K8=0,0,VLOOKUP(K8,'01'!$A$2:$B$98,2,0))</f>
        <v>0</v>
      </c>
      <c r="M8" s="39"/>
      <c r="N8" s="40" t="s">
        <v>57</v>
      </c>
      <c r="O8" s="35">
        <f t="shared" si="1"/>
        <v>0</v>
      </c>
      <c r="P8" s="43">
        <f>IF(I8=0,0,VLOOKUP(I8,'00'!$A:$F,4,0))</f>
        <v>0</v>
      </c>
      <c r="Q8" s="37">
        <f>IF(A8=0,0,VLOOKUP(A8,'00'!$A$1:$F$65536,5,0))</f>
        <v>144.5</v>
      </c>
      <c r="R8" s="37">
        <f>IF(A8=0,0,VLOOKUP(A8,'00'!$A$1:$G$65536,6,0))</f>
        <v>4</v>
      </c>
      <c r="S8" s="38">
        <f t="shared" si="2"/>
        <v>0</v>
      </c>
      <c r="T8" s="38">
        <f t="shared" si="3"/>
        <v>0</v>
      </c>
      <c r="U8" s="37">
        <f>IF(I8=0,0,VLOOKUP(I8,'00'!$A:$F,5,0))+X8</f>
        <v>0</v>
      </c>
      <c r="V8" s="37">
        <f>IF(I8=0,0,VLOOKUP(I8,'00'!$A$1:$F$65536,6,0))</f>
        <v>0</v>
      </c>
      <c r="W8" s="30"/>
      <c r="X8" s="30">
        <f>IF(K8=9,125,0)</f>
        <v>0</v>
      </c>
      <c r="Y8" s="31">
        <f t="shared" si="5"/>
        <v>80</v>
      </c>
      <c r="Z8" s="71">
        <f t="shared" si="6"/>
        <v>2890</v>
      </c>
      <c r="AA8" s="71">
        <f t="shared" si="7"/>
        <v>0</v>
      </c>
      <c r="AB8" s="71">
        <f t="shared" si="8"/>
        <v>2890</v>
      </c>
      <c r="AC8" s="71">
        <f>+U8*M8</f>
        <v>0</v>
      </c>
    </row>
    <row r="9" spans="1:29" s="31" customFormat="1" ht="13.5" thickTop="1" thickBot="1">
      <c r="A9" s="152" t="s">
        <v>66</v>
      </c>
      <c r="B9" s="199" t="str">
        <f>IF(A9=0,0,VLOOKUP(A9,'00'!$A$1:$F$65536,2,0))</f>
        <v>CLEAN</v>
      </c>
      <c r="C9" s="5">
        <v>1</v>
      </c>
      <c r="D9" s="3" t="str">
        <f>IF(C9=0,0,VLOOKUP(C9,'01'!$A$2:$B$98,2,0))</f>
        <v>炼胶</v>
      </c>
      <c r="E9" s="12">
        <v>1</v>
      </c>
      <c r="F9" s="33" t="s">
        <v>58</v>
      </c>
      <c r="G9" s="34">
        <f t="shared" si="0"/>
        <v>1000000000000</v>
      </c>
      <c r="H9" s="206">
        <f>IF(A9=0,0,VLOOKUP(A9,'00'!$A:$F,4,0))</f>
        <v>0</v>
      </c>
      <c r="I9" s="9"/>
      <c r="J9" s="34">
        <f>IF(I9=0,0,VLOOKUP(I9,'00'!$A$1:$F$65536,2,0))</f>
        <v>0</v>
      </c>
      <c r="K9" s="10"/>
      <c r="L9" s="7">
        <f>IF(K9=0,0,VLOOKUP(K9,'01'!$A$2:$B$98,2,0))</f>
        <v>0</v>
      </c>
      <c r="M9" s="39"/>
      <c r="N9" s="40" t="s">
        <v>57</v>
      </c>
      <c r="O9" s="35">
        <f t="shared" si="1"/>
        <v>0</v>
      </c>
      <c r="P9" s="43">
        <f>IF(I9=0,0,VLOOKUP(I9,'00'!$A:$F,4,0))</f>
        <v>0</v>
      </c>
      <c r="Q9" s="37">
        <f>IF(A9=0,0,VLOOKUP(A9,'00'!$A$1:$F$65536,5,0))</f>
        <v>0</v>
      </c>
      <c r="R9" s="37">
        <f>IF(A9=0,0,VLOOKUP(A9,'00'!$A$1:$G$65536,6,0))</f>
        <v>0</v>
      </c>
      <c r="S9" s="38">
        <f t="shared" si="2"/>
        <v>0</v>
      </c>
      <c r="T9" s="38">
        <f t="shared" si="3"/>
        <v>0</v>
      </c>
      <c r="U9" s="37">
        <f>IF(I9=0,0,VLOOKUP(I9,'00'!$A:$F,5,0))+X9</f>
        <v>0</v>
      </c>
      <c r="V9" s="37">
        <f>IF(I9=0,0,VLOOKUP(I9,'00'!$A$1:$F$65536,6,0))</f>
        <v>0</v>
      </c>
      <c r="W9" s="30"/>
      <c r="X9" s="30">
        <f t="shared" si="4"/>
        <v>0</v>
      </c>
      <c r="Y9" s="31">
        <f t="shared" si="5"/>
        <v>0</v>
      </c>
      <c r="Z9" s="71">
        <f t="shared" si="6"/>
        <v>0</v>
      </c>
      <c r="AA9" s="71">
        <f t="shared" si="7"/>
        <v>0</v>
      </c>
      <c r="AB9" s="71">
        <f t="shared" si="8"/>
        <v>0</v>
      </c>
      <c r="AC9" s="71">
        <f t="shared" ref="AC9:AC37" si="9">+U9*M9</f>
        <v>0</v>
      </c>
    </row>
    <row r="10" spans="1:29" s="31" customFormat="1" ht="13.5" thickTop="1" thickBot="1">
      <c r="A10" s="152">
        <v>270018</v>
      </c>
      <c r="B10" s="199" t="str">
        <f>IF(A10=0,0,VLOOKUP(A10,'00'!$A$1:$F$65536,2,0))</f>
        <v>DEC601(1)</v>
      </c>
      <c r="C10" s="5">
        <v>2</v>
      </c>
      <c r="D10" s="3" t="str">
        <f>IF(C10=0,0,VLOOKUP(C10,'01'!$A$2:$B$98,2,0))</f>
        <v>挤出</v>
      </c>
      <c r="E10" s="12">
        <v>30</v>
      </c>
      <c r="F10" s="33" t="s">
        <v>58</v>
      </c>
      <c r="G10" s="34">
        <f t="shared" si="0"/>
        <v>1000000000000</v>
      </c>
      <c r="H10" s="206">
        <f>IF(A10=0,0,VLOOKUP(A10,'00'!$A:$F,4,0))</f>
        <v>1082500</v>
      </c>
      <c r="I10" s="32"/>
      <c r="J10" s="34">
        <f>IF(I10=0,0,VLOOKUP(I10,'00'!$A$1:$F$65536,2,0))</f>
        <v>0</v>
      </c>
      <c r="K10" s="34"/>
      <c r="L10" s="245">
        <f>IF(K10=0,0,VLOOKUP(K10,'01'!$A$2:$B$98,2,0))</f>
        <v>0</v>
      </c>
      <c r="M10" s="39"/>
      <c r="N10" s="44" t="s">
        <v>57</v>
      </c>
      <c r="O10" s="35">
        <f t="shared" si="1"/>
        <v>0</v>
      </c>
      <c r="P10" s="45">
        <f>IF(I10=0,0,VLOOKUP(I10,'00'!$A:$F,4,0))</f>
        <v>0</v>
      </c>
      <c r="Q10" s="37">
        <f>IF(A10=0,0,VLOOKUP(A10,'00'!$A$1:$F$65536,5,0))</f>
        <v>165</v>
      </c>
      <c r="R10" s="37">
        <f>IF(A10=0,0,VLOOKUP(A10,'00'!$A$1:$G$65536,6,0))</f>
        <v>5.2</v>
      </c>
      <c r="S10" s="38">
        <f t="shared" si="2"/>
        <v>0</v>
      </c>
      <c r="T10" s="38">
        <f t="shared" si="3"/>
        <v>0</v>
      </c>
      <c r="U10" s="37">
        <f>IF(I10=0,0,VLOOKUP(I10,'00'!$A:$F,5,0))+X10</f>
        <v>0</v>
      </c>
      <c r="V10" s="37">
        <f>IF(I10=0,0,VLOOKUP(I10,'00'!$A$1:$F$65536,6,0))</f>
        <v>0</v>
      </c>
      <c r="W10" s="30"/>
      <c r="X10" s="30">
        <f t="shared" si="4"/>
        <v>0</v>
      </c>
      <c r="Y10" s="31">
        <f t="shared" si="5"/>
        <v>156</v>
      </c>
      <c r="Z10" s="71">
        <f t="shared" si="6"/>
        <v>4950</v>
      </c>
      <c r="AA10" s="71">
        <f t="shared" si="7"/>
        <v>0</v>
      </c>
      <c r="AB10" s="71">
        <f t="shared" si="8"/>
        <v>4950</v>
      </c>
      <c r="AC10" s="71">
        <f t="shared" si="9"/>
        <v>0</v>
      </c>
    </row>
    <row r="11" spans="1:29" s="31" customFormat="1" ht="13.5" thickTop="1" thickBot="1">
      <c r="A11" s="152">
        <v>270427</v>
      </c>
      <c r="B11" s="199" t="str">
        <f>IF(A11=0,0,VLOOKUP(A11,'00'!$A$1:$F$65536,2,0))</f>
        <v>DEC651(1)</v>
      </c>
      <c r="C11" s="5">
        <v>18</v>
      </c>
      <c r="D11" s="3" t="str">
        <f>IF(C11=0,0,VLOOKUP(C11,'01'!$A$2:$B$98,2,0))</f>
        <v>三产</v>
      </c>
      <c r="E11" s="12">
        <v>4</v>
      </c>
      <c r="F11" s="33" t="s">
        <v>299</v>
      </c>
      <c r="G11" s="34">
        <f t="shared" si="0"/>
        <v>1000000000000</v>
      </c>
      <c r="H11" s="206">
        <f>IF(A11=0,0,VLOOKUP(A11,'00'!$A:$F,4,0))</f>
        <v>1082546</v>
      </c>
      <c r="I11" s="32"/>
      <c r="J11" s="34">
        <f>IF(I11=0,0,VLOOKUP(I11,'00'!$A$1:$F$65536,2,0))</f>
        <v>0</v>
      </c>
      <c r="K11" s="34"/>
      <c r="L11" s="245">
        <f>IF(K11=0,0,VLOOKUP(K11,'01'!$A$2:$B$98,2,0))</f>
        <v>0</v>
      </c>
      <c r="M11" s="39"/>
      <c r="N11" s="46" t="s">
        <v>57</v>
      </c>
      <c r="O11" s="47">
        <f t="shared" si="1"/>
        <v>0</v>
      </c>
      <c r="P11" s="48">
        <f>IF(I11=0,0,VLOOKUP(I11,'00'!$A:$F,4,0))</f>
        <v>0</v>
      </c>
      <c r="Q11" s="37">
        <f>IF(A11=0,0,VLOOKUP(A11,'00'!$A$1:$F$65536,5,0))</f>
        <v>156</v>
      </c>
      <c r="R11" s="37">
        <f>IF(A11=0,0,VLOOKUP(A11,'00'!$A$1:$G$65536,6,0))</f>
        <v>6</v>
      </c>
      <c r="S11" s="38">
        <f t="shared" si="2"/>
        <v>0</v>
      </c>
      <c r="T11" s="38">
        <f t="shared" si="3"/>
        <v>0</v>
      </c>
      <c r="U11" s="37">
        <f>IF(I11=0,0,VLOOKUP(I11,'00'!$A:$F,5,0))+X11</f>
        <v>0</v>
      </c>
      <c r="V11" s="37">
        <f>IF(I11=0,0,VLOOKUP(I11,'00'!$A$1:$F$65536,6,0))</f>
        <v>0</v>
      </c>
      <c r="W11" s="30"/>
      <c r="X11" s="30">
        <f t="shared" si="4"/>
        <v>0</v>
      </c>
      <c r="Y11" s="31">
        <f t="shared" si="5"/>
        <v>24</v>
      </c>
      <c r="Z11" s="71">
        <f t="shared" si="6"/>
        <v>624</v>
      </c>
      <c r="AA11" s="71">
        <f t="shared" si="7"/>
        <v>0</v>
      </c>
      <c r="AB11" s="71">
        <f t="shared" si="8"/>
        <v>624</v>
      </c>
      <c r="AC11" s="71">
        <f t="shared" si="9"/>
        <v>0</v>
      </c>
    </row>
    <row r="12" spans="1:29" s="31" customFormat="1" ht="13.5" thickTop="1" thickBot="1">
      <c r="A12" s="152">
        <v>270017</v>
      </c>
      <c r="B12" s="199" t="str">
        <f>IF(A12=0,0,VLOOKUP(A12,'00'!$A$1:$F$65536,2,0))</f>
        <v>DES601(1)</v>
      </c>
      <c r="C12" s="5">
        <v>2</v>
      </c>
      <c r="D12" s="3" t="str">
        <f>IF(C12=0,0,VLOOKUP(C12,'01'!$A$2:$B$98,2,0))</f>
        <v>挤出</v>
      </c>
      <c r="E12" s="12">
        <v>6</v>
      </c>
      <c r="F12" s="33" t="s">
        <v>299</v>
      </c>
      <c r="G12" s="33" t="s">
        <v>301</v>
      </c>
      <c r="H12" s="206">
        <f>IF(A12=0,0,VLOOKUP(A12,'00'!$A:$F,4,0))</f>
        <v>1082497</v>
      </c>
      <c r="I12" s="32"/>
      <c r="J12" s="34">
        <f>IF(I12=0,0,VLOOKUP(I12,'00'!$A$1:$F$65536,2,0))</f>
        <v>0</v>
      </c>
      <c r="K12" s="34"/>
      <c r="L12" s="245">
        <f>IF(K12=0,0,VLOOKUP(K12,'01'!$A$2:$B$98,2,0))</f>
        <v>0</v>
      </c>
      <c r="M12" s="39"/>
      <c r="N12" s="49" t="s">
        <v>57</v>
      </c>
      <c r="O12" s="50">
        <f t="shared" si="1"/>
        <v>0</v>
      </c>
      <c r="P12" s="51">
        <f>IF(I12=0,0,VLOOKUP(I12,'00'!$A:$F,4,0))</f>
        <v>0</v>
      </c>
      <c r="Q12" s="37">
        <f>IF(A12=0,0,VLOOKUP(A12,'00'!$A$1:$F$65536,5,0))</f>
        <v>160</v>
      </c>
      <c r="R12" s="37">
        <f>IF(A12=0,0,VLOOKUP(A12,'00'!$A$1:$G$65536,6,0))</f>
        <v>5.2</v>
      </c>
      <c r="S12" s="38">
        <f t="shared" si="2"/>
        <v>0</v>
      </c>
      <c r="T12" s="38">
        <f t="shared" si="3"/>
        <v>0</v>
      </c>
      <c r="U12" s="37">
        <f>IF(I12=0,0,VLOOKUP(I12,'00'!$A:$F,5,0))+X12</f>
        <v>0</v>
      </c>
      <c r="V12" s="37">
        <f>IF(I12=0,0,VLOOKUP(I12,'00'!$A$1:$F$65536,6,0))</f>
        <v>0</v>
      </c>
      <c r="W12" s="30"/>
      <c r="X12" s="30">
        <f t="shared" si="4"/>
        <v>0</v>
      </c>
      <c r="Y12" s="31">
        <f t="shared" si="5"/>
        <v>31.200000000000003</v>
      </c>
      <c r="Z12" s="71">
        <f t="shared" si="6"/>
        <v>960</v>
      </c>
      <c r="AA12" s="71">
        <f t="shared" si="7"/>
        <v>0</v>
      </c>
      <c r="AB12" s="71">
        <f t="shared" si="8"/>
        <v>960</v>
      </c>
      <c r="AC12" s="71">
        <f t="shared" si="9"/>
        <v>0</v>
      </c>
    </row>
    <row r="13" spans="1:29" s="31" customFormat="1" ht="13.5" thickTop="1" thickBot="1">
      <c r="A13" s="152">
        <v>270017</v>
      </c>
      <c r="B13" s="233" t="str">
        <f>IF(A13=0,0,VLOOKUP(A13,'00'!$A$1:$F$65536,2,0))</f>
        <v>DES601(1)</v>
      </c>
      <c r="C13" s="5">
        <v>2</v>
      </c>
      <c r="D13" s="3" t="str">
        <f>IF(C13=0,0,VLOOKUP(C13,'01'!$A$2:$B$98,2,0))</f>
        <v>挤出</v>
      </c>
      <c r="E13" s="12">
        <v>12</v>
      </c>
      <c r="F13" s="33" t="s">
        <v>301</v>
      </c>
      <c r="G13" s="34">
        <f t="shared" si="0"/>
        <v>1</v>
      </c>
      <c r="H13" s="206">
        <f>IF(A13=0,0,VLOOKUP(A13,'00'!$A:$F,4,0))</f>
        <v>1082497</v>
      </c>
      <c r="I13" s="32"/>
      <c r="J13" s="34">
        <f>IF(I13=0,0,VLOOKUP(I13,'00'!$A$1:$F$65536,2,0))</f>
        <v>0</v>
      </c>
      <c r="K13" s="34"/>
      <c r="L13" s="245">
        <f>IF(K13=0,0,VLOOKUP(K13,'01'!$A$2:$B$98,2,0))</f>
        <v>0</v>
      </c>
      <c r="M13" s="39"/>
      <c r="N13" s="46" t="s">
        <v>57</v>
      </c>
      <c r="O13" s="47">
        <f t="shared" si="1"/>
        <v>0</v>
      </c>
      <c r="P13" s="48">
        <f>IF(I13=0,0,VLOOKUP(I13,'00'!$A:$F,4,0))</f>
        <v>0</v>
      </c>
      <c r="Q13" s="37">
        <f>IF(A13=0,0,VLOOKUP(A13,'00'!$A$1:$F$65536,5,0))</f>
        <v>160</v>
      </c>
      <c r="R13" s="37">
        <f>IF(A13=0,0,VLOOKUP(A13,'00'!$A$1:$G$65536,6,0))</f>
        <v>5.2</v>
      </c>
      <c r="S13" s="38">
        <f t="shared" si="2"/>
        <v>0</v>
      </c>
      <c r="T13" s="38">
        <f t="shared" si="3"/>
        <v>0</v>
      </c>
      <c r="U13" s="37">
        <f>IF(I13=0,0,VLOOKUP(I13,'00'!$A:$F,5,0))+X13</f>
        <v>0</v>
      </c>
      <c r="V13" s="37">
        <f>IF(I13=0,0,VLOOKUP(I13,'00'!$A$1:$F$65536,6,0))</f>
        <v>0</v>
      </c>
      <c r="W13" s="30"/>
      <c r="X13" s="30">
        <f t="shared" si="4"/>
        <v>0</v>
      </c>
      <c r="Y13" s="31">
        <f t="shared" si="5"/>
        <v>62.400000000000006</v>
      </c>
      <c r="Z13" s="71">
        <f t="shared" si="6"/>
        <v>1920</v>
      </c>
      <c r="AA13" s="71">
        <f t="shared" si="7"/>
        <v>0</v>
      </c>
      <c r="AB13" s="71">
        <f t="shared" si="8"/>
        <v>1920</v>
      </c>
      <c r="AC13" s="71">
        <f t="shared" si="9"/>
        <v>0</v>
      </c>
    </row>
    <row r="14" spans="1:29" s="31" customFormat="1" ht="13.5" thickTop="1" thickBot="1">
      <c r="A14" s="152">
        <v>270295</v>
      </c>
      <c r="B14" s="199" t="str">
        <f>IF(A14=0,0,VLOOKUP(A14,'00'!$A$1:$F$65536,2,0))</f>
        <v>DEC704(1)</v>
      </c>
      <c r="C14" s="5">
        <v>2</v>
      </c>
      <c r="D14" s="3" t="str">
        <f>IF(C14=0,0,VLOOKUP(C14,'01'!$A$2:$B$98,2,0))</f>
        <v>挤出</v>
      </c>
      <c r="E14" s="12">
        <v>6</v>
      </c>
      <c r="F14" s="33" t="s">
        <v>301</v>
      </c>
      <c r="G14" s="34">
        <f t="shared" si="0"/>
        <v>1</v>
      </c>
      <c r="H14" s="206">
        <f>IF(A14=0,0,VLOOKUP(A14,'00'!$A:$F,4,0))</f>
        <v>1082495</v>
      </c>
      <c r="I14" s="32"/>
      <c r="J14" s="34">
        <f>IF(I14=0,0,VLOOKUP(I14,'00'!$A$1:$F$65536,2,0))</f>
        <v>0</v>
      </c>
      <c r="K14" s="34"/>
      <c r="L14" s="245">
        <f>IF(K14=0,0,VLOOKUP(K14,'01'!$A$2:$B$98,2,0))</f>
        <v>0</v>
      </c>
      <c r="M14" s="39"/>
      <c r="N14" s="46" t="s">
        <v>57</v>
      </c>
      <c r="O14" s="47">
        <f t="shared" si="1"/>
        <v>0</v>
      </c>
      <c r="P14" s="48">
        <f>IF(I14=0,0,VLOOKUP(I14,'00'!$A:$F,4,0))</f>
        <v>0</v>
      </c>
      <c r="Q14" s="37">
        <f>IF(A14=0,0,VLOOKUP(A14,'00'!$A$1:$F$65536,5,0))</f>
        <v>155.80000000000001</v>
      </c>
      <c r="R14" s="37">
        <f>IF(A14=0,0,VLOOKUP(A14,'00'!$A$1:$G$65536,6,0))</f>
        <v>5.5</v>
      </c>
      <c r="S14" s="38">
        <f t="shared" si="2"/>
        <v>0</v>
      </c>
      <c r="T14" s="38">
        <f t="shared" si="3"/>
        <v>0</v>
      </c>
      <c r="U14" s="37">
        <f>IF(I14=0,0,VLOOKUP(I14,'00'!$A:$F,5,0))+X14</f>
        <v>0</v>
      </c>
      <c r="V14" s="37">
        <f>IF(I14=0,0,VLOOKUP(I14,'00'!$A$1:$F$65536,6,0))</f>
        <v>0</v>
      </c>
      <c r="W14" s="30"/>
      <c r="X14" s="30">
        <f t="shared" si="4"/>
        <v>0</v>
      </c>
      <c r="Y14" s="31">
        <f t="shared" si="5"/>
        <v>33</v>
      </c>
      <c r="Z14" s="71">
        <f t="shared" si="6"/>
        <v>934.80000000000007</v>
      </c>
      <c r="AA14" s="71">
        <f t="shared" si="7"/>
        <v>0</v>
      </c>
      <c r="AB14" s="71">
        <f t="shared" si="8"/>
        <v>934.80000000000007</v>
      </c>
      <c r="AC14" s="71">
        <f t="shared" si="9"/>
        <v>0</v>
      </c>
    </row>
    <row r="15" spans="1:29" s="31" customFormat="1" ht="13.5" thickTop="1" thickBot="1">
      <c r="A15" s="152">
        <v>270020</v>
      </c>
      <c r="B15" s="233" t="str">
        <f>IF(A15=0,0,VLOOKUP(A15,'00'!$A$1:$F$65536,2,0))</f>
        <v>DEC701(1)</v>
      </c>
      <c r="C15" s="5">
        <v>2</v>
      </c>
      <c r="D15" s="3" t="str">
        <f>IF(C15=0,0,VLOOKUP(C15,'01'!$A$2:$B$98,2,0))</f>
        <v>挤出</v>
      </c>
      <c r="E15" s="12">
        <v>24</v>
      </c>
      <c r="F15" s="33" t="s">
        <v>301</v>
      </c>
      <c r="G15" s="34">
        <f t="shared" si="0"/>
        <v>1</v>
      </c>
      <c r="H15" s="206">
        <f>IF(A15=0,0,VLOOKUP(A15,'00'!$A:$F,4,0))</f>
        <v>1082493</v>
      </c>
      <c r="I15" s="92"/>
      <c r="J15" s="234">
        <f>IF(I15=0,0,VLOOKUP(I15,'00'!$A$1:$F$65536,2,0))</f>
        <v>0</v>
      </c>
      <c r="K15" s="87"/>
      <c r="L15" s="246">
        <f>IF(K15=0,0,VLOOKUP(K15,'01'!$A$2:$B$98,2,0))</f>
        <v>0</v>
      </c>
      <c r="M15" s="93"/>
      <c r="N15" s="89" t="s">
        <v>57</v>
      </c>
      <c r="O15" s="90">
        <f t="shared" si="1"/>
        <v>0</v>
      </c>
      <c r="P15" s="91">
        <f>IF(I15=0,0,VLOOKUP(I15,'00'!$A:$F,4,0))</f>
        <v>0</v>
      </c>
      <c r="Q15" s="37">
        <f>IF(A15=0,0,VLOOKUP(A15,'00'!$A$1:$F$65536,5,0))</f>
        <v>160</v>
      </c>
      <c r="R15" s="37">
        <f>IF(A15=0,0,VLOOKUP(A15,'00'!$A$1:$G$65536,6,0))</f>
        <v>5.5</v>
      </c>
      <c r="S15" s="38">
        <f t="shared" si="2"/>
        <v>0</v>
      </c>
      <c r="T15" s="38">
        <f t="shared" si="3"/>
        <v>0</v>
      </c>
      <c r="U15" s="37">
        <f>IF(I15=0,0,VLOOKUP(I15,'00'!$A:$F,5,0))+X15</f>
        <v>0</v>
      </c>
      <c r="V15" s="37">
        <f>IF(I15=0,0,VLOOKUP(I15,'00'!$A$1:$F$65536,6,0))</f>
        <v>0</v>
      </c>
      <c r="W15" s="30">
        <v>0</v>
      </c>
      <c r="X15" s="30">
        <f t="shared" si="4"/>
        <v>0</v>
      </c>
      <c r="Y15" s="31">
        <f t="shared" si="5"/>
        <v>132</v>
      </c>
      <c r="Z15" s="71">
        <f t="shared" si="6"/>
        <v>3840</v>
      </c>
      <c r="AA15" s="71">
        <f t="shared" si="7"/>
        <v>0</v>
      </c>
      <c r="AB15" s="71">
        <f t="shared" si="8"/>
        <v>3840</v>
      </c>
      <c r="AC15" s="71">
        <f t="shared" si="9"/>
        <v>0</v>
      </c>
    </row>
    <row r="16" spans="1:29" s="31" customFormat="1" ht="13.5" thickTop="1" thickBot="1">
      <c r="A16" s="152">
        <v>270026</v>
      </c>
      <c r="B16" s="199" t="str">
        <f>IF(A16=0,0,VLOOKUP(A16,'00'!$A$1:$F$65536,2,0))</f>
        <v>DES801(1)</v>
      </c>
      <c r="C16" s="5">
        <v>2</v>
      </c>
      <c r="D16" s="3" t="str">
        <f>IF(C16=0,0,VLOOKUP(C16,'01'!$A$2:$B$98,2,0))</f>
        <v>挤出</v>
      </c>
      <c r="E16" s="12">
        <v>18</v>
      </c>
      <c r="F16" s="33" t="s">
        <v>301</v>
      </c>
      <c r="G16" s="34">
        <f t="shared" si="0"/>
        <v>1</v>
      </c>
      <c r="H16" s="206">
        <f>IF(A16=0,0,VLOOKUP(A16,'00'!$A:$F,4,0))</f>
        <v>1082490</v>
      </c>
      <c r="I16" s="9">
        <v>270098</v>
      </c>
      <c r="J16" s="52" t="str">
        <f>IF(I16=0,0,VLOOKUP(I16,'00'!$A$1:$F$65536,2,0))</f>
        <v>DJS601薄片</v>
      </c>
      <c r="K16" s="10">
        <v>20</v>
      </c>
      <c r="L16" s="247" t="str">
        <f>IF(K16=0,0,VLOOKUP(K16,'01'!$A$2:$B$98,2,0))</f>
        <v>约定</v>
      </c>
      <c r="M16" s="13">
        <v>0</v>
      </c>
      <c r="N16" s="33" t="s">
        <v>0</v>
      </c>
      <c r="O16" s="41">
        <f t="shared" si="1"/>
        <v>1</v>
      </c>
      <c r="P16" s="42">
        <f>IF(I16=0,0,VLOOKUP(I16,'00'!$A:$F,4,0))</f>
        <v>1082522</v>
      </c>
      <c r="Q16" s="37">
        <f>IF(A16=0,0,VLOOKUP(A16,'00'!$A$1:$F$65536,5,0))</f>
        <v>155</v>
      </c>
      <c r="R16" s="37">
        <f>IF(A16=0,0,VLOOKUP(A16,'00'!$A$1:$G$65536,6,0))</f>
        <v>5.2</v>
      </c>
      <c r="S16" s="38">
        <f t="shared" si="2"/>
        <v>0</v>
      </c>
      <c r="T16" s="38">
        <f t="shared" si="3"/>
        <v>0</v>
      </c>
      <c r="U16" s="37">
        <f>IF(I16=0,0,VLOOKUP(I16,'00'!$A:$F,5,0))+X16</f>
        <v>0</v>
      </c>
      <c r="V16" s="37">
        <f>IF(I16=0,0,VLOOKUP(I16,'00'!$A$1:$F$65536,6,0))</f>
        <v>1.5</v>
      </c>
      <c r="W16" s="37"/>
      <c r="X16" s="30">
        <f t="shared" si="4"/>
        <v>0</v>
      </c>
      <c r="Y16" s="31">
        <f t="shared" si="5"/>
        <v>93.600000000000009</v>
      </c>
      <c r="Z16" s="71">
        <f t="shared" si="6"/>
        <v>2790</v>
      </c>
      <c r="AA16" s="71">
        <f t="shared" si="7"/>
        <v>0</v>
      </c>
      <c r="AB16" s="71">
        <f t="shared" si="8"/>
        <v>2790</v>
      </c>
      <c r="AC16" s="71"/>
    </row>
    <row r="17" spans="1:29" s="31" customFormat="1" ht="13.5" thickTop="1" thickBot="1">
      <c r="A17" s="152">
        <v>270028</v>
      </c>
      <c r="B17" s="233" t="str">
        <f>IF(A17=0,0,VLOOKUP(A17,'00'!$A$1:$F$65536,2,0))</f>
        <v>DES851(1)</v>
      </c>
      <c r="C17" s="5">
        <v>2</v>
      </c>
      <c r="D17" s="3" t="str">
        <f>IF(C17=0,0,VLOOKUP(C17,'01'!$A$2:$B$98,2,0))</f>
        <v>挤出</v>
      </c>
      <c r="E17" s="12">
        <v>18</v>
      </c>
      <c r="F17" s="33" t="s">
        <v>301</v>
      </c>
      <c r="G17" s="34">
        <f t="shared" si="0"/>
        <v>1</v>
      </c>
      <c r="H17" s="206">
        <f>IF(A17=0,0,VLOOKUP(A17,'00'!$A:$F,4,0))</f>
        <v>1082488</v>
      </c>
      <c r="I17" s="32">
        <v>270143</v>
      </c>
      <c r="J17" s="34" t="str">
        <f>IF(I17=0,0,VLOOKUP(I17,'00'!$A$1:$F$65536,2,0))</f>
        <v>DJS702(1)</v>
      </c>
      <c r="K17" s="34">
        <v>12</v>
      </c>
      <c r="L17" s="245" t="str">
        <f>IF(K17=0,0,VLOOKUP(K17,'01'!$A$2:$B$98,2,0))</f>
        <v>申舒窄</v>
      </c>
      <c r="M17" s="39">
        <v>2</v>
      </c>
      <c r="N17" s="33" t="s">
        <v>0</v>
      </c>
      <c r="O17" s="41">
        <f t="shared" si="1"/>
        <v>1</v>
      </c>
      <c r="P17" s="42">
        <f>IF(I17=0,0,VLOOKUP(I17,'00'!$A:$F,4,0))</f>
        <v>1082516</v>
      </c>
      <c r="Q17" s="37">
        <f>IF(A17=0,0,VLOOKUP(A17,'00'!$A$1:$F$65536,5,0))</f>
        <v>155</v>
      </c>
      <c r="R17" s="37">
        <f>IF(A17=0,0,VLOOKUP(A17,'00'!$A$1:$G$65536,6,0))</f>
        <v>5.3</v>
      </c>
      <c r="S17" s="38">
        <f t="shared" si="2"/>
        <v>0</v>
      </c>
      <c r="T17" s="38">
        <f t="shared" si="3"/>
        <v>0</v>
      </c>
      <c r="U17" s="37">
        <f>IF(I17=0,0,VLOOKUP(I17,'00'!$A:$F,5,0))+X17</f>
        <v>37</v>
      </c>
      <c r="V17" s="37">
        <f>IF(I17=0,0,VLOOKUP(I17,'00'!$A$1:$F$65536,6,0))</f>
        <v>15</v>
      </c>
      <c r="W17" s="30"/>
      <c r="X17" s="30">
        <f t="shared" si="4"/>
        <v>0</v>
      </c>
      <c r="Y17" s="31">
        <f t="shared" si="5"/>
        <v>95.399999999999991</v>
      </c>
      <c r="Z17" s="71">
        <f t="shared" si="6"/>
        <v>2790</v>
      </c>
      <c r="AA17" s="71">
        <f t="shared" si="7"/>
        <v>0</v>
      </c>
      <c r="AB17" s="71">
        <f t="shared" si="8"/>
        <v>2790</v>
      </c>
      <c r="AC17" s="71">
        <f t="shared" si="9"/>
        <v>74</v>
      </c>
    </row>
    <row r="18" spans="1:29" s="31" customFormat="1" ht="13.5" thickTop="1" thickBot="1">
      <c r="A18" s="152">
        <v>270278</v>
      </c>
      <c r="B18" s="199" t="str">
        <f>IF(A18=0,0,VLOOKUP(A18,'00'!$A$1:$F$65536,2,0))</f>
        <v>SES401(0)二段</v>
      </c>
      <c r="C18" s="5">
        <v>1</v>
      </c>
      <c r="D18" s="3" t="str">
        <f>IF(C18=0,0,VLOOKUP(C18,'01'!$A$2:$B$98,2,0))</f>
        <v>炼胶</v>
      </c>
      <c r="E18" s="12">
        <v>10</v>
      </c>
      <c r="F18" s="33" t="s">
        <v>301</v>
      </c>
      <c r="G18" s="34">
        <f t="shared" si="0"/>
        <v>1</v>
      </c>
      <c r="H18" s="206">
        <f>IF(A18=0,0,VLOOKUP(A18,'00'!$A:$F,4,0))</f>
        <v>1082528</v>
      </c>
      <c r="I18" s="32">
        <v>270143</v>
      </c>
      <c r="J18" s="34" t="str">
        <f>IF(I18=0,0,VLOOKUP(I18,'00'!$A$1:$F$65536,2,0))</f>
        <v>DJS702(1)</v>
      </c>
      <c r="K18" s="34">
        <v>10</v>
      </c>
      <c r="L18" s="245" t="str">
        <f>IF(K18=0,0,VLOOKUP(K18,'01'!$A$2:$B$98,2,0))</f>
        <v>申舒</v>
      </c>
      <c r="M18" s="39">
        <v>18</v>
      </c>
      <c r="N18" s="33" t="s">
        <v>0</v>
      </c>
      <c r="O18" s="35">
        <f t="shared" si="1"/>
        <v>1</v>
      </c>
      <c r="P18" s="43">
        <f>IF(I18=0,0,VLOOKUP(I18,'00'!$A:$F,4,0))</f>
        <v>1082516</v>
      </c>
      <c r="Q18" s="37">
        <f>IF(A18=0,0,VLOOKUP(A18,'00'!$A$1:$F$65536,5,0))</f>
        <v>153</v>
      </c>
      <c r="R18" s="37">
        <f>IF(A18=0,0,VLOOKUP(A18,'00'!$A$1:$G$65536,6,0))</f>
        <v>6</v>
      </c>
      <c r="S18" s="38">
        <f t="shared" si="2"/>
        <v>1</v>
      </c>
      <c r="T18" s="38">
        <f t="shared" si="3"/>
        <v>0</v>
      </c>
      <c r="U18" s="37">
        <f>IF(I18=0,0,VLOOKUP(I18,'00'!$A:$F,5,0))+X18</f>
        <v>37</v>
      </c>
      <c r="V18" s="37">
        <f>IF(I18=0,0,VLOOKUP(I18,'00'!$A$1:$F$65536,6,0))</f>
        <v>15</v>
      </c>
      <c r="W18" s="30"/>
      <c r="X18" s="30">
        <f t="shared" si="4"/>
        <v>0</v>
      </c>
      <c r="Y18" s="31">
        <f t="shared" si="5"/>
        <v>60</v>
      </c>
      <c r="Z18" s="71">
        <f t="shared" si="6"/>
        <v>1530</v>
      </c>
      <c r="AA18" s="71">
        <f t="shared" si="7"/>
        <v>1530</v>
      </c>
      <c r="AB18" s="71">
        <f t="shared" si="8"/>
        <v>0</v>
      </c>
      <c r="AC18" s="71">
        <f t="shared" si="9"/>
        <v>666</v>
      </c>
    </row>
    <row r="19" spans="1:29" s="31" customFormat="1" ht="13.5" thickTop="1" thickBot="1">
      <c r="A19" s="152">
        <v>270278</v>
      </c>
      <c r="B19" s="199" t="str">
        <f>IF(A19=0,0,VLOOKUP(A19,'00'!$A$1:$F$65536,2,0))</f>
        <v>SES401(0)二段</v>
      </c>
      <c r="C19" s="5">
        <v>1</v>
      </c>
      <c r="D19" s="3" t="str">
        <f>IF(C19=0,0,VLOOKUP(C19,'01'!$A$2:$B$98,2,0))</f>
        <v>炼胶</v>
      </c>
      <c r="E19" s="12">
        <v>6</v>
      </c>
      <c r="F19" s="33" t="s">
        <v>302</v>
      </c>
      <c r="G19" s="34">
        <f t="shared" si="0"/>
        <v>1000000</v>
      </c>
      <c r="H19" s="206">
        <f>IF(A19=0,0,VLOOKUP(A19,'00'!$A:$F,4,0))</f>
        <v>1082528</v>
      </c>
      <c r="I19" s="32">
        <v>270047</v>
      </c>
      <c r="J19" s="34" t="str">
        <f>IF(I19=0,0,VLOOKUP(I19,'00'!$A$1:$F$65536,2,0))</f>
        <v>DJS801(1)</v>
      </c>
      <c r="K19" s="34">
        <v>7</v>
      </c>
      <c r="L19" s="245" t="str">
        <f>IF(K19=0,0,VLOOKUP(K19,'01'!$A$2:$B$98,2,0))</f>
        <v>申翔</v>
      </c>
      <c r="M19" s="39">
        <v>1</v>
      </c>
      <c r="N19" s="33" t="s">
        <v>301</v>
      </c>
      <c r="O19" s="35">
        <f t="shared" si="1"/>
        <v>1</v>
      </c>
      <c r="P19" s="43">
        <f>IF(I19=0,0,VLOOKUP(I19,'00'!$A:$F,4,0))</f>
        <v>1082512</v>
      </c>
      <c r="Q19" s="37">
        <f>IF(A19=0,0,VLOOKUP(A19,'00'!$A$1:$F$65536,5,0))</f>
        <v>153</v>
      </c>
      <c r="R19" s="37">
        <f>IF(A19=0,0,VLOOKUP(A19,'00'!$A$1:$G$65536,6,0))</f>
        <v>6</v>
      </c>
      <c r="S19" s="38">
        <f t="shared" si="2"/>
        <v>1</v>
      </c>
      <c r="T19" s="38">
        <f t="shared" si="3"/>
        <v>0</v>
      </c>
      <c r="U19" s="37">
        <f>IF(I19=0,0,VLOOKUP(I19,'00'!$A:$F,5,0))+X19</f>
        <v>37</v>
      </c>
      <c r="V19" s="37">
        <f>IF(I19=0,0,VLOOKUP(I19,'00'!$A$1:$F$65536,6,0))</f>
        <v>15</v>
      </c>
      <c r="W19" s="30"/>
      <c r="X19" s="30">
        <f t="shared" si="4"/>
        <v>0</v>
      </c>
      <c r="Y19" s="31">
        <f>E19*R19</f>
        <v>36</v>
      </c>
      <c r="Z19" s="71">
        <f>+E19*Q19</f>
        <v>918</v>
      </c>
      <c r="AA19" s="71">
        <f t="shared" si="7"/>
        <v>918</v>
      </c>
      <c r="AB19" s="71">
        <f t="shared" si="8"/>
        <v>0</v>
      </c>
      <c r="AC19" s="71">
        <f t="shared" si="9"/>
        <v>37</v>
      </c>
    </row>
    <row r="20" spans="1:29" s="31" customFormat="1" ht="13.5" thickTop="1" thickBot="1">
      <c r="A20" s="152">
        <v>270008</v>
      </c>
      <c r="B20" s="199" t="str">
        <f>IF(A20=0,0,VLOOKUP(A20,'00'!$A$1:$F$65536,2,0))</f>
        <v>SES431(0)</v>
      </c>
      <c r="C20" s="5">
        <v>1</v>
      </c>
      <c r="D20" s="3" t="str">
        <f>IF(C20=0,0,VLOOKUP(C20,'01'!$A$2:$B$98,2,0))</f>
        <v>炼胶</v>
      </c>
      <c r="E20" s="12">
        <v>9</v>
      </c>
      <c r="F20" s="33" t="s">
        <v>302</v>
      </c>
      <c r="G20" s="34">
        <f t="shared" si="0"/>
        <v>1000000</v>
      </c>
      <c r="H20" s="206">
        <f>IF(A20=0,0,VLOOKUP(A20,'00'!$A:$F,4,0))</f>
        <v>1082524</v>
      </c>
      <c r="I20" s="9">
        <v>270032</v>
      </c>
      <c r="J20" s="34" t="str">
        <f>IF(I20=0,0,VLOOKUP(I20,'00'!$A$1:$F$65536,2,0))</f>
        <v>SJS191(1)</v>
      </c>
      <c r="K20" s="10">
        <v>7</v>
      </c>
      <c r="L20" s="7" t="str">
        <f>IF(K20=0,0,VLOOKUP(K20,'01'!$A$2:$B$98,2,0))</f>
        <v>申翔</v>
      </c>
      <c r="M20" s="39">
        <v>3</v>
      </c>
      <c r="N20" s="33" t="s">
        <v>0</v>
      </c>
      <c r="O20" s="35">
        <f t="shared" si="1"/>
        <v>1</v>
      </c>
      <c r="P20" s="43">
        <f>IF(I20=0,0,VLOOKUP(I20,'00'!$A:$F,4,0))</f>
        <v>1082521</v>
      </c>
      <c r="Q20" s="37">
        <f>IF(A20=0,0,VLOOKUP(A20,'00'!$A$1:$F$65536,5,0))</f>
        <v>154.5</v>
      </c>
      <c r="R20" s="37">
        <f>IF(A20=0,0,VLOOKUP(A20,'00'!$A$1:$G$65536,6,0))</f>
        <v>6</v>
      </c>
      <c r="S20" s="38">
        <f t="shared" si="2"/>
        <v>1</v>
      </c>
      <c r="T20" s="38">
        <f t="shared" si="3"/>
        <v>0</v>
      </c>
      <c r="U20" s="37">
        <f>IF(I20=0,0,VLOOKUP(I20,'00'!$A:$F,5,0))+X20</f>
        <v>37</v>
      </c>
      <c r="V20" s="37">
        <f>IF(I20=0,0,VLOOKUP(I20,'00'!$A$1:$F$65536,6,0))</f>
        <v>15</v>
      </c>
      <c r="W20" s="30"/>
      <c r="X20" s="30">
        <f t="shared" si="4"/>
        <v>0</v>
      </c>
      <c r="Y20" s="31">
        <f>E20*R20</f>
        <v>54</v>
      </c>
      <c r="Z20" s="71">
        <f>+E20*Q20</f>
        <v>1390.5</v>
      </c>
      <c r="AA20" s="71">
        <f t="shared" si="7"/>
        <v>1390.5</v>
      </c>
      <c r="AB20" s="71">
        <f t="shared" si="8"/>
        <v>0</v>
      </c>
      <c r="AC20" s="71">
        <f t="shared" si="9"/>
        <v>111</v>
      </c>
    </row>
    <row r="21" spans="1:29" s="31" customFormat="1" ht="13.5" thickTop="1" thickBot="1">
      <c r="A21" s="152">
        <v>270142</v>
      </c>
      <c r="B21" s="199" t="str">
        <f>IF(A21=0,0,VLOOKUP(A21,'00'!$A$1:$F$65536,2,0))</f>
        <v>DJS702(0)</v>
      </c>
      <c r="C21" s="5">
        <v>1</v>
      </c>
      <c r="D21" s="3" t="str">
        <f>IF(C21=0,0,VLOOKUP(C21,'01'!$A$2:$B$98,2,0))</f>
        <v>炼胶</v>
      </c>
      <c r="E21" s="12">
        <v>8</v>
      </c>
      <c r="F21" s="33" t="s">
        <v>302</v>
      </c>
      <c r="G21" s="34">
        <f t="shared" si="0"/>
        <v>1000000</v>
      </c>
      <c r="H21" s="206">
        <f>IF(A21=0,0,VLOOKUP(A21,'00'!$A:$F,4,0))</f>
        <v>1082539</v>
      </c>
      <c r="I21" s="32"/>
      <c r="J21" s="34">
        <f>IF(I21=0,0,VLOOKUP(I21,'00'!$A$1:$F$65536,2,0))</f>
        <v>0</v>
      </c>
      <c r="K21" s="34"/>
      <c r="L21" s="245">
        <f>IF(K21=0,0,VLOOKUP(K21,'01'!$A$2:$B$98,2,0))</f>
        <v>0</v>
      </c>
      <c r="M21" s="39"/>
      <c r="N21" s="33" t="s">
        <v>0</v>
      </c>
      <c r="O21" s="41">
        <f t="shared" si="1"/>
        <v>1</v>
      </c>
      <c r="P21" s="42">
        <f>IF(I21=0,0,VLOOKUP(I21,'00'!$A:$F,4,0))</f>
        <v>0</v>
      </c>
      <c r="Q21" s="37">
        <f>IF(A21=0,0,VLOOKUP(A21,'00'!$A$1:$F$65536,5,0))</f>
        <v>152</v>
      </c>
      <c r="R21" s="37">
        <f>IF(A21=0,0,VLOOKUP(A21,'00'!$A$1:$G$65536,6,0))</f>
        <v>5.2</v>
      </c>
      <c r="S21" s="38">
        <f t="shared" si="2"/>
        <v>1</v>
      </c>
      <c r="T21" s="38">
        <f t="shared" si="3"/>
        <v>0</v>
      </c>
      <c r="U21" s="37">
        <f>IF(I21=0,0,VLOOKUP(I21,'00'!$A:$F,5,0))+X21</f>
        <v>0</v>
      </c>
      <c r="V21" s="37">
        <f>IF(I21=0,0,VLOOKUP(I21,'00'!$A$1:$F$65536,6,0))</f>
        <v>0</v>
      </c>
      <c r="W21" s="30"/>
      <c r="X21" s="30">
        <f t="shared" si="4"/>
        <v>0</v>
      </c>
      <c r="Y21" s="31">
        <f t="shared" si="5"/>
        <v>41.6</v>
      </c>
      <c r="Z21" s="71">
        <f t="shared" si="6"/>
        <v>1216</v>
      </c>
      <c r="AA21" s="71">
        <f t="shared" si="7"/>
        <v>1216</v>
      </c>
      <c r="AB21" s="71">
        <f t="shared" si="8"/>
        <v>0</v>
      </c>
      <c r="AC21" s="71">
        <f t="shared" si="9"/>
        <v>0</v>
      </c>
    </row>
    <row r="22" spans="1:29" s="31" customFormat="1" ht="13.5" thickTop="1" thickBot="1">
      <c r="A22" s="32">
        <v>270128</v>
      </c>
      <c r="B22" s="199" t="str">
        <f>IF(A22=0,0,VLOOKUP(A22,'00'!$A$1:$F$65536,2,0))</f>
        <v>DJS401(0)</v>
      </c>
      <c r="C22" s="5">
        <v>1</v>
      </c>
      <c r="D22" s="3" t="str">
        <f>IF(C22=0,0,VLOOKUP(C22,'01'!$A$2:$B$98,2,0))</f>
        <v>炼胶</v>
      </c>
      <c r="E22" s="12">
        <v>2</v>
      </c>
      <c r="F22" s="33" t="s">
        <v>302</v>
      </c>
      <c r="G22" s="34">
        <f t="shared" si="0"/>
        <v>1000000</v>
      </c>
      <c r="H22" s="206">
        <f>IF(A22=0,0,VLOOKUP(A22,'00'!$A:$F,4,0))</f>
        <v>1082538</v>
      </c>
      <c r="I22" s="32"/>
      <c r="J22" s="34">
        <f>IF(I22=0,0,VLOOKUP(I22,'00'!$A$1:$F$65536,2,0))</f>
        <v>0</v>
      </c>
      <c r="K22" s="34"/>
      <c r="L22" s="245">
        <f>IF(K22=0,0,VLOOKUP(K22,'01'!$A$2:$B$98,2,0))</f>
        <v>0</v>
      </c>
      <c r="M22" s="39"/>
      <c r="N22" s="33" t="s">
        <v>0</v>
      </c>
      <c r="O22" s="35">
        <f t="shared" si="1"/>
        <v>1</v>
      </c>
      <c r="P22" s="43">
        <f>IF(I22=0,0,VLOOKUP(I22,'00'!$A:$F,4,0))</f>
        <v>0</v>
      </c>
      <c r="Q22" s="37">
        <f>IF(A22=0,0,VLOOKUP(A22,'00'!$A$1:$F$65536,5,0))</f>
        <v>155</v>
      </c>
      <c r="R22" s="37">
        <f>IF(A22=0,0,VLOOKUP(A22,'00'!$A$1:$G$65536,6,0))</f>
        <v>5.6</v>
      </c>
      <c r="S22" s="38">
        <f t="shared" si="2"/>
        <v>1</v>
      </c>
      <c r="T22" s="38">
        <f t="shared" si="3"/>
        <v>0</v>
      </c>
      <c r="U22" s="37">
        <f>IF(I22=0,0,VLOOKUP(I22,'00'!$A:$F,5,0))+X22</f>
        <v>0</v>
      </c>
      <c r="V22" s="37">
        <f>IF(I22=0,0,VLOOKUP(I22,'00'!$A$1:$F$65536,6,0))</f>
        <v>0</v>
      </c>
      <c r="W22" s="30"/>
      <c r="X22" s="30">
        <f t="shared" si="4"/>
        <v>0</v>
      </c>
      <c r="Y22" s="31">
        <f t="shared" si="5"/>
        <v>11.2</v>
      </c>
      <c r="Z22" s="71">
        <f t="shared" si="6"/>
        <v>310</v>
      </c>
      <c r="AA22" s="71">
        <f t="shared" si="7"/>
        <v>310</v>
      </c>
      <c r="AB22" s="71">
        <f t="shared" si="8"/>
        <v>0</v>
      </c>
      <c r="AC22" s="71">
        <f t="shared" si="9"/>
        <v>0</v>
      </c>
    </row>
    <row r="23" spans="1:29" s="31" customFormat="1" ht="13.5" thickTop="1" thickBot="1">
      <c r="A23" s="32">
        <v>270186</v>
      </c>
      <c r="B23" s="3" t="str">
        <f>IF(A23=0,0,VLOOKUP(A23,'00'!$A$1:$F$65536,2,0))</f>
        <v>DES603(0)</v>
      </c>
      <c r="C23" s="5">
        <v>17</v>
      </c>
      <c r="D23" s="3" t="str">
        <f>IF(C23=0,0,VLOOKUP(C23,'01'!$A$2:$B$98,2,0))</f>
        <v>淮安</v>
      </c>
      <c r="E23" s="12">
        <v>12</v>
      </c>
      <c r="F23" s="33" t="s">
        <v>302</v>
      </c>
      <c r="G23" s="34">
        <f t="shared" si="0"/>
        <v>1000000</v>
      </c>
      <c r="H23" s="206" t="e">
        <f>IF(A23=0,0,VLOOKUP(A23,'00'!$A:$F,4,0))</f>
        <v>#N/A</v>
      </c>
      <c r="I23" s="32"/>
      <c r="J23" s="34">
        <f>IF(I23=0,0,VLOOKUP(I23,'00'!$A$1:$F$65536,2,0))</f>
        <v>0</v>
      </c>
      <c r="K23" s="34"/>
      <c r="L23" s="245">
        <f>IF(K23=0,0,VLOOKUP(K23,'01'!$A$2:$B$98,2,0))</f>
        <v>0</v>
      </c>
      <c r="M23" s="39"/>
      <c r="N23" s="33" t="s">
        <v>0</v>
      </c>
      <c r="O23" s="35">
        <f t="shared" si="1"/>
        <v>1</v>
      </c>
      <c r="P23" s="43">
        <f>IF(I23=0,0,VLOOKUP(I23,'00'!$A:$F,4,0))</f>
        <v>0</v>
      </c>
      <c r="Q23" s="37">
        <f>IF(A23=0,0,VLOOKUP(A23,'00'!$A$1:$F$65536,5,0))</f>
        <v>160.88</v>
      </c>
      <c r="R23" s="37">
        <f>IF(A23=0,0,VLOOKUP(A23,'00'!$A$1:$G$65536,6,0))</f>
        <v>5</v>
      </c>
      <c r="S23" s="38">
        <f t="shared" si="2"/>
        <v>1</v>
      </c>
      <c r="T23" s="38">
        <f t="shared" si="3"/>
        <v>0</v>
      </c>
      <c r="U23" s="37">
        <f>IF(I23=0,0,VLOOKUP(I23,'00'!$A:$F,5,0))+X23</f>
        <v>0</v>
      </c>
      <c r="V23" s="37">
        <f>IF(I23=0,0,VLOOKUP(I23,'00'!$A$1:$F$65536,6,0))</f>
        <v>0</v>
      </c>
      <c r="W23" s="30"/>
      <c r="X23" s="30">
        <f t="shared" si="4"/>
        <v>0</v>
      </c>
      <c r="Y23" s="31">
        <f t="shared" si="5"/>
        <v>60</v>
      </c>
      <c r="Z23" s="71">
        <f t="shared" si="6"/>
        <v>1930.56</v>
      </c>
      <c r="AA23" s="71">
        <f t="shared" si="7"/>
        <v>1930.56</v>
      </c>
      <c r="AB23" s="71">
        <f t="shared" si="8"/>
        <v>0</v>
      </c>
      <c r="AC23" s="71">
        <f t="shared" si="9"/>
        <v>0</v>
      </c>
    </row>
    <row r="24" spans="1:29" s="31" customFormat="1" ht="13.5" thickTop="1" thickBot="1">
      <c r="A24" s="32">
        <v>270067</v>
      </c>
      <c r="B24" s="3" t="str">
        <f>IF(A24=0,0,VLOOKUP(A24,'00'!$A$1:$F$65536,2,0))</f>
        <v>DES701(0)</v>
      </c>
      <c r="C24" s="5">
        <v>17</v>
      </c>
      <c r="D24" s="3" t="str">
        <f>IF(C24=0,0,VLOOKUP(C24,'01'!$A$2:$B$98,2,0))</f>
        <v>淮安</v>
      </c>
      <c r="E24" s="12">
        <v>20</v>
      </c>
      <c r="F24" s="33" t="s">
        <v>302</v>
      </c>
      <c r="G24" s="34">
        <f t="shared" si="0"/>
        <v>1000000</v>
      </c>
      <c r="H24" s="206" t="e">
        <f>IF(A24=0,0,VLOOKUP(A24,'00'!$A:$F,4,0))</f>
        <v>#N/A</v>
      </c>
      <c r="I24" s="32"/>
      <c r="J24" s="34">
        <f>IF(I24=0,0,VLOOKUP(I24,'00'!$A$1:$F$65536,2,0))</f>
        <v>0</v>
      </c>
      <c r="K24" s="34"/>
      <c r="L24" s="245">
        <f>IF(K24=0,0,VLOOKUP(K24,'01'!$A$2:$B$98,2,0))</f>
        <v>0</v>
      </c>
      <c r="M24" s="39"/>
      <c r="N24" s="78" t="s">
        <v>0</v>
      </c>
      <c r="O24" s="47">
        <f t="shared" si="1"/>
        <v>1</v>
      </c>
      <c r="P24" s="79">
        <f>IF(I24=0,0,VLOOKUP(I24,'00'!$A:$F,4,0))</f>
        <v>0</v>
      </c>
      <c r="Q24" s="37">
        <f>IF(A24=0,0,VLOOKUP(A24,'00'!$A$1:$F$65536,5,0))</f>
        <v>155</v>
      </c>
      <c r="R24" s="37">
        <f>IF(A24=0,0,VLOOKUP(A24,'00'!$A$1:$G$65536,6,0))</f>
        <v>5.3</v>
      </c>
      <c r="S24" s="38">
        <f t="shared" si="2"/>
        <v>1</v>
      </c>
      <c r="T24" s="38">
        <f t="shared" si="3"/>
        <v>0</v>
      </c>
      <c r="U24" s="37">
        <f>IF(I24=0,0,VLOOKUP(I24,'00'!$A:$F,5,0))+X24</f>
        <v>0</v>
      </c>
      <c r="V24" s="37">
        <f>IF(I24=0,0,VLOOKUP(I24,'00'!$A$1:$F$65536,6,0))</f>
        <v>0</v>
      </c>
      <c r="W24" s="30"/>
      <c r="X24" s="30">
        <f t="shared" si="4"/>
        <v>0</v>
      </c>
      <c r="Y24" s="31">
        <f t="shared" si="5"/>
        <v>106</v>
      </c>
      <c r="Z24" s="71">
        <f t="shared" si="6"/>
        <v>3100</v>
      </c>
      <c r="AA24" s="71">
        <f t="shared" si="7"/>
        <v>3100</v>
      </c>
      <c r="AB24" s="71">
        <f t="shared" si="8"/>
        <v>0</v>
      </c>
      <c r="AC24" s="71">
        <f t="shared" si="9"/>
        <v>0</v>
      </c>
    </row>
    <row r="25" spans="1:29" s="31" customFormat="1" ht="13.5" thickTop="1" thickBot="1">
      <c r="A25" s="32">
        <v>270020</v>
      </c>
      <c r="B25" s="3" t="str">
        <f>IF(A25=0,0,VLOOKUP(A25,'00'!$A$1:$F$65536,2,0))</f>
        <v>DEC701(1)</v>
      </c>
      <c r="C25" s="5">
        <v>1</v>
      </c>
      <c r="D25" s="3" t="str">
        <f>IF(C25=0,0,VLOOKUP(C25,'01'!$A$2:$B$98,2,0))</f>
        <v>炼胶</v>
      </c>
      <c r="E25" s="12">
        <v>24</v>
      </c>
      <c r="F25" s="33" t="s">
        <v>302</v>
      </c>
      <c r="G25" s="34">
        <f t="shared" si="0"/>
        <v>1000000</v>
      </c>
      <c r="H25" s="206">
        <f>IF(A25=0,0,VLOOKUP(A25,'00'!$A:$F,4,0))</f>
        <v>1082493</v>
      </c>
      <c r="I25" s="32"/>
      <c r="J25" s="34">
        <f>IF(I25=0,0,VLOOKUP(I25,'00'!$A$1:$F$65536,2,0))</f>
        <v>0</v>
      </c>
      <c r="K25" s="34"/>
      <c r="L25" s="245">
        <f>IF(K25=0,0,VLOOKUP(K25,'01'!$A$2:$B$98,2,0))</f>
        <v>0</v>
      </c>
      <c r="M25" s="39"/>
      <c r="N25" s="33" t="s">
        <v>0</v>
      </c>
      <c r="O25" s="35">
        <f t="shared" si="1"/>
        <v>1</v>
      </c>
      <c r="P25" s="43">
        <f>IF(I25=0,0,VLOOKUP(I25,'00'!$A:$F,4,0))</f>
        <v>0</v>
      </c>
      <c r="Q25" s="37">
        <f>IF(A25=0,0,VLOOKUP(A25,'00'!$A$1:$F$65536,5,0))</f>
        <v>160</v>
      </c>
      <c r="R25" s="37">
        <f>IF(A25=0,0,VLOOKUP(A25,'00'!$A$1:$G$65536,6,0))</f>
        <v>5.5</v>
      </c>
      <c r="S25" s="38">
        <f t="shared" si="2"/>
        <v>0</v>
      </c>
      <c r="T25" s="38">
        <f t="shared" si="3"/>
        <v>0</v>
      </c>
      <c r="U25" s="37">
        <f>IF(I25=0,0,VLOOKUP(I25,'00'!$A:$F,5,0))+X25</f>
        <v>0</v>
      </c>
      <c r="V25" s="37">
        <f>IF(I25=0,0,VLOOKUP(I25,'00'!$A$1:$F$65536,6,0))</f>
        <v>0</v>
      </c>
      <c r="W25" s="30">
        <v>0</v>
      </c>
      <c r="X25" s="30">
        <f t="shared" si="4"/>
        <v>0</v>
      </c>
      <c r="Y25" s="31">
        <f t="shared" si="5"/>
        <v>132</v>
      </c>
      <c r="Z25" s="71">
        <f t="shared" si="6"/>
        <v>3840</v>
      </c>
      <c r="AA25" s="71">
        <f t="shared" si="7"/>
        <v>0</v>
      </c>
      <c r="AB25" s="71">
        <f t="shared" si="8"/>
        <v>3840</v>
      </c>
      <c r="AC25" s="71">
        <f t="shared" si="9"/>
        <v>0</v>
      </c>
    </row>
    <row r="26" spans="1:29" s="31" customFormat="1" ht="13.5" thickTop="1" thickBot="1">
      <c r="A26" s="32"/>
      <c r="B26" s="3">
        <f>IF(A26=0,0,VLOOKUP(A26,'00'!$A$1:$F$65536,2,0))</f>
        <v>0</v>
      </c>
      <c r="C26" s="5"/>
      <c r="D26" s="3">
        <f>IF(C26=0,0,VLOOKUP(C26,'01'!$A$2:$B$98,2,0))</f>
        <v>0</v>
      </c>
      <c r="E26" s="12"/>
      <c r="F26" s="33" t="s">
        <v>302</v>
      </c>
      <c r="G26" s="34">
        <f t="shared" si="0"/>
        <v>1000000</v>
      </c>
      <c r="H26" s="206">
        <f>IF(A26=0,0,VLOOKUP(A26,'00'!$A:$F,4,0))</f>
        <v>0</v>
      </c>
      <c r="I26" s="92"/>
      <c r="J26" s="34">
        <f>IF(I26=0,0,VLOOKUP(I26,'00'!$A$1:$F$65536,2,0))</f>
        <v>0</v>
      </c>
      <c r="K26" s="87"/>
      <c r="L26" s="246">
        <f>IF(K26=0,0,VLOOKUP(K26,'01'!$A$2:$B$98,2,0))</f>
        <v>0</v>
      </c>
      <c r="M26" s="93"/>
      <c r="N26" s="89" t="s">
        <v>0</v>
      </c>
      <c r="O26" s="90">
        <f t="shared" si="1"/>
        <v>1</v>
      </c>
      <c r="P26" s="91">
        <f>IF(I26=0,0,VLOOKUP(I26,'00'!$A:$F,4,0))</f>
        <v>0</v>
      </c>
      <c r="Q26" s="37">
        <f>IF(A26=0,0,VLOOKUP(A26,'00'!$A$1:$F$65536,5,0))</f>
        <v>0</v>
      </c>
      <c r="R26" s="37">
        <f>IF(A26=0,0,VLOOKUP(A26,'00'!$A$1:$G$65536,6,0))</f>
        <v>0</v>
      </c>
      <c r="S26" s="38">
        <f t="shared" si="2"/>
        <v>0</v>
      </c>
      <c r="T26" s="38">
        <f t="shared" si="3"/>
        <v>0</v>
      </c>
      <c r="U26" s="37">
        <f>IF(I26=0,0,VLOOKUP(I26,'00'!$A:$F,5,0))+X26</f>
        <v>0</v>
      </c>
      <c r="V26" s="37">
        <f>IF(I26=0,0,VLOOKUP(I26,'00'!$A$1:$F$65536,6,0))</f>
        <v>0</v>
      </c>
      <c r="W26" s="30"/>
      <c r="X26" s="30">
        <f t="shared" si="4"/>
        <v>0</v>
      </c>
      <c r="Y26" s="31">
        <f t="shared" si="5"/>
        <v>0</v>
      </c>
      <c r="Z26" s="71">
        <f t="shared" si="6"/>
        <v>0</v>
      </c>
      <c r="AA26" s="71">
        <f t="shared" si="7"/>
        <v>0</v>
      </c>
      <c r="AB26" s="71">
        <f t="shared" si="8"/>
        <v>0</v>
      </c>
      <c r="AC26" s="71">
        <f t="shared" si="9"/>
        <v>0</v>
      </c>
    </row>
    <row r="27" spans="1:29" s="31" customFormat="1" ht="13.5" thickTop="1" thickBot="1">
      <c r="A27" s="152"/>
      <c r="B27" s="199">
        <f>IF(A27=0,0,VLOOKUP(A27,'00'!$A$1:$F$65536,2,0))</f>
        <v>0</v>
      </c>
      <c r="C27" s="5"/>
      <c r="D27" s="3">
        <f>IF(C27=0,0,VLOOKUP(C27,'01'!$A$2:$B$98,2,0))</f>
        <v>0</v>
      </c>
      <c r="E27" s="12"/>
      <c r="F27" s="33" t="s">
        <v>302</v>
      </c>
      <c r="G27" s="34">
        <f t="shared" si="0"/>
        <v>1000000</v>
      </c>
      <c r="H27" s="206">
        <f>IF(A27=0,0,VLOOKUP(A27,'00'!$A:$F,4,0))</f>
        <v>0</v>
      </c>
      <c r="I27" s="9">
        <v>270098</v>
      </c>
      <c r="J27" s="127" t="str">
        <f>IF(I27=0,0,VLOOKUP(I27,'00'!$A$1:$F$65536,2,0))</f>
        <v>DJS601薄片</v>
      </c>
      <c r="K27" s="128">
        <v>10</v>
      </c>
      <c r="L27" s="248" t="str">
        <f>IF(K27=0,0,VLOOKUP(K27,'01'!$A$2:$B$98,2,0))</f>
        <v>申舒</v>
      </c>
      <c r="M27" s="271">
        <v>50</v>
      </c>
      <c r="N27" s="40" t="s">
        <v>1</v>
      </c>
      <c r="O27" s="41">
        <f t="shared" si="1"/>
        <v>10000</v>
      </c>
      <c r="P27" s="42">
        <f>IF(I27=0,0,VLOOKUP(I27,'00'!$A:$F,4,0))</f>
        <v>1082522</v>
      </c>
      <c r="Q27" s="37">
        <f>IF(A27=0,0,VLOOKUP(A27,'00'!$A$1:$F$65536,5,0))</f>
        <v>0</v>
      </c>
      <c r="R27" s="37">
        <f>IF(A27=0,0,VLOOKUP(A27,'00'!$A$1:$G$65536,6,0))</f>
        <v>0</v>
      </c>
      <c r="S27" s="38">
        <f t="shared" si="2"/>
        <v>0</v>
      </c>
      <c r="T27" s="38">
        <f t="shared" si="3"/>
        <v>0</v>
      </c>
      <c r="U27" s="37">
        <f>IF(I27=0,0,VLOOKUP(I27,'00'!$A:$F,5,0))+X27</f>
        <v>0</v>
      </c>
      <c r="V27" s="37">
        <f>IF(I27=0,0,VLOOKUP(I27,'00'!$A$1:$F$65536,6,0))</f>
        <v>1.5</v>
      </c>
      <c r="W27" s="37"/>
      <c r="X27" s="30">
        <f t="shared" si="4"/>
        <v>0</v>
      </c>
      <c r="Y27" s="31">
        <f t="shared" si="5"/>
        <v>0</v>
      </c>
      <c r="Z27" s="71">
        <f t="shared" si="6"/>
        <v>0</v>
      </c>
      <c r="AA27" s="71">
        <f t="shared" si="7"/>
        <v>0</v>
      </c>
      <c r="AB27" s="71">
        <f t="shared" si="8"/>
        <v>0</v>
      </c>
      <c r="AC27" s="71"/>
    </row>
    <row r="28" spans="1:29" s="31" customFormat="1" ht="13.5" thickTop="1" thickBot="1">
      <c r="A28" s="32"/>
      <c r="B28" s="3">
        <f>IF(A28=0,0,VLOOKUP(A28,'00'!$A$1:$F$65536,2,0))</f>
        <v>0</v>
      </c>
      <c r="C28" s="5"/>
      <c r="D28" s="3">
        <f>IF(C28=0,0,VLOOKUP(C28,'01'!$A$2:$B$98,2,0))</f>
        <v>0</v>
      </c>
      <c r="E28" s="12"/>
      <c r="F28" s="33" t="s">
        <v>302</v>
      </c>
      <c r="G28" s="34">
        <f t="shared" si="0"/>
        <v>1000000</v>
      </c>
      <c r="H28" s="206">
        <f>IF(A28=0,0,VLOOKUP(A28,'00'!$A:$F,4,0))</f>
        <v>0</v>
      </c>
      <c r="I28" s="32">
        <v>270098</v>
      </c>
      <c r="J28" s="34" t="str">
        <f>IF(I28=0,0,VLOOKUP(I28,'00'!$A$1:$F$65536,2,0))</f>
        <v>DJS601薄片</v>
      </c>
      <c r="K28" s="34">
        <v>7</v>
      </c>
      <c r="L28" s="245" t="str">
        <f>IF(K28=0,0,VLOOKUP(K28,'01'!$A$2:$B$98,2,0))</f>
        <v>申翔</v>
      </c>
      <c r="M28" s="39">
        <v>70</v>
      </c>
      <c r="N28" s="33" t="s">
        <v>1</v>
      </c>
      <c r="O28" s="35">
        <f t="shared" si="1"/>
        <v>10000</v>
      </c>
      <c r="P28" s="43">
        <f>IF(I28=0,0,VLOOKUP(I28,'00'!$A:$F,4,0))</f>
        <v>1082522</v>
      </c>
      <c r="Q28" s="37">
        <f>IF(A28=0,0,VLOOKUP(A28,'00'!$A$1:$F$65536,5,0))</f>
        <v>0</v>
      </c>
      <c r="R28" s="37">
        <f>IF(A28=0,0,VLOOKUP(A28,'00'!$A$1:$G$65536,6,0))</f>
        <v>0</v>
      </c>
      <c r="S28" s="38">
        <f t="shared" si="2"/>
        <v>0</v>
      </c>
      <c r="T28" s="38">
        <f t="shared" si="3"/>
        <v>0</v>
      </c>
      <c r="U28" s="37">
        <f>IF(I28=0,0,VLOOKUP(I28,'00'!$A:$F,5,0))+X28</f>
        <v>0</v>
      </c>
      <c r="V28" s="37">
        <f>IF(I28=0,0,VLOOKUP(I28,'00'!$A$1:$F$65536,6,0))</f>
        <v>1.5</v>
      </c>
      <c r="W28" s="30"/>
      <c r="X28" s="30">
        <f t="shared" si="4"/>
        <v>0</v>
      </c>
      <c r="Y28" s="31">
        <f t="shared" si="5"/>
        <v>0</v>
      </c>
      <c r="Z28" s="71">
        <f t="shared" si="6"/>
        <v>0</v>
      </c>
      <c r="AA28" s="71">
        <f t="shared" si="7"/>
        <v>0</v>
      </c>
      <c r="AB28" s="71">
        <f t="shared" si="8"/>
        <v>0</v>
      </c>
      <c r="AC28" s="71">
        <f t="shared" si="9"/>
        <v>0</v>
      </c>
    </row>
    <row r="29" spans="1:29" s="31" customFormat="1" ht="13.5" thickTop="1" thickBot="1">
      <c r="A29" s="32"/>
      <c r="B29" s="3">
        <f>IF(A29=0,0,VLOOKUP(A29,'00'!$A$1:$F$65536,2,0))</f>
        <v>0</v>
      </c>
      <c r="C29" s="5"/>
      <c r="D29" s="3">
        <f>IF(C29=0,0,VLOOKUP(C29,'01'!$A$2:$B$98,2,0))</f>
        <v>0</v>
      </c>
      <c r="E29" s="12"/>
      <c r="F29" s="33" t="s">
        <v>302</v>
      </c>
      <c r="G29" s="34">
        <f t="shared" si="0"/>
        <v>1000000</v>
      </c>
      <c r="H29" s="206">
        <f>IF(A29=0,0,VLOOKUP(A29,'00'!$A:$F,4,0))</f>
        <v>0</v>
      </c>
      <c r="I29" s="32">
        <v>270098</v>
      </c>
      <c r="J29" s="34" t="str">
        <f>IF(I29=0,0,VLOOKUP(I29,'00'!$A$1:$F$65536,2,0))</f>
        <v>DJS601薄片</v>
      </c>
      <c r="K29" s="34">
        <v>23</v>
      </c>
      <c r="L29" s="245" t="str">
        <f>IF(K29=0,0,VLOOKUP(K29,'01'!$A$2:$B$98,2,0))</f>
        <v>三区</v>
      </c>
      <c r="M29" s="39">
        <v>8</v>
      </c>
      <c r="N29" s="33" t="s">
        <v>1</v>
      </c>
      <c r="O29" s="35">
        <f t="shared" si="1"/>
        <v>10000</v>
      </c>
      <c r="P29" s="43">
        <f>IF(I29=0,0,VLOOKUP(I29,'00'!$A:$F,4,0))</f>
        <v>1082522</v>
      </c>
      <c r="Q29" s="37">
        <f>IF(A29=0,0,VLOOKUP(A29,'00'!$A$1:$F$65536,5,0))</f>
        <v>0</v>
      </c>
      <c r="R29" s="37">
        <f>IF(A29=0,0,VLOOKUP(A29,'00'!$A$1:$G$65536,6,0))</f>
        <v>0</v>
      </c>
      <c r="S29" s="38">
        <f t="shared" si="2"/>
        <v>0</v>
      </c>
      <c r="T29" s="38">
        <f t="shared" si="3"/>
        <v>0</v>
      </c>
      <c r="U29" s="37">
        <f>IF(I29=0,0,VLOOKUP(I29,'00'!$A:$F,5,0))+X29</f>
        <v>0</v>
      </c>
      <c r="V29" s="37">
        <f>IF(I29=0,0,VLOOKUP(I29,'00'!$A$1:$F$65536,6,0))</f>
        <v>1.5</v>
      </c>
      <c r="W29" s="30"/>
      <c r="X29" s="30">
        <f t="shared" si="4"/>
        <v>0</v>
      </c>
      <c r="Y29" s="31">
        <f t="shared" si="5"/>
        <v>0</v>
      </c>
      <c r="Z29" s="71">
        <f t="shared" si="6"/>
        <v>0</v>
      </c>
      <c r="AA29" s="71">
        <f t="shared" si="7"/>
        <v>0</v>
      </c>
      <c r="AB29" s="71">
        <f t="shared" si="8"/>
        <v>0</v>
      </c>
      <c r="AC29" s="71">
        <f t="shared" si="9"/>
        <v>0</v>
      </c>
    </row>
    <row r="30" spans="1:29" s="31" customFormat="1" ht="13.5" thickTop="1" thickBot="1">
      <c r="A30" s="32"/>
      <c r="B30" s="3">
        <f>IF(A30=0,0,VLOOKUP(A30,'00'!$A$1:$F$65536,2,0))</f>
        <v>0</v>
      </c>
      <c r="C30" s="5"/>
      <c r="D30" s="3">
        <f>IF(C30=0,0,VLOOKUP(C30,'01'!$A$2:$B$98,2,0))</f>
        <v>0</v>
      </c>
      <c r="E30" s="12"/>
      <c r="F30" s="33" t="s">
        <v>302</v>
      </c>
      <c r="G30" s="34">
        <f t="shared" si="0"/>
        <v>1000000</v>
      </c>
      <c r="H30" s="206">
        <f>IF(A30=0,0,VLOOKUP(A30,'00'!$A:$F,4,0))</f>
        <v>0</v>
      </c>
      <c r="I30" s="32" t="s">
        <v>359</v>
      </c>
      <c r="J30" s="34" t="str">
        <f>IF(I30=0,0,VLOOKUP(I30,'00'!$A$1:$F$65536,2,0))</f>
        <v>DJS601(1)</v>
      </c>
      <c r="K30" s="34">
        <v>23</v>
      </c>
      <c r="L30" s="245" t="str">
        <f>IF(K30=0,0,VLOOKUP(K30,'01'!$A$2:$B$98,2,0))</f>
        <v>三区</v>
      </c>
      <c r="M30" s="39">
        <v>2</v>
      </c>
      <c r="N30" s="33" t="s">
        <v>1</v>
      </c>
      <c r="O30" s="35">
        <f t="shared" si="1"/>
        <v>10000</v>
      </c>
      <c r="P30" s="43">
        <f>IF(I30=0,0,VLOOKUP(I30,'00'!$A:$F,4,0))</f>
        <v>1082518</v>
      </c>
      <c r="Q30" s="37">
        <f>IF(A30=0,0,VLOOKUP(A30,'00'!$A$1:$F$65536,5,0))</f>
        <v>0</v>
      </c>
      <c r="R30" s="37">
        <f>IF(A30=0,0,VLOOKUP(A30,'00'!$A$1:$G$65536,6,0))</f>
        <v>0</v>
      </c>
      <c r="S30" s="38">
        <f t="shared" si="2"/>
        <v>0</v>
      </c>
      <c r="T30" s="38">
        <f t="shared" si="3"/>
        <v>0</v>
      </c>
      <c r="U30" s="37">
        <f>IF(I30=0,0,VLOOKUP(I30,'00'!$A:$F,5,0))+X30</f>
        <v>40</v>
      </c>
      <c r="V30" s="37">
        <f>IF(I30=0,0,VLOOKUP(I30,'00'!$A$1:$F$65536,6,0))</f>
        <v>10</v>
      </c>
      <c r="W30" s="30"/>
      <c r="X30" s="30">
        <f t="shared" si="4"/>
        <v>0</v>
      </c>
      <c r="Y30" s="31">
        <f t="shared" si="5"/>
        <v>0</v>
      </c>
      <c r="Z30" s="71">
        <f t="shared" si="6"/>
        <v>0</v>
      </c>
      <c r="AA30" s="71">
        <f t="shared" si="7"/>
        <v>0</v>
      </c>
      <c r="AB30" s="71">
        <f t="shared" si="8"/>
        <v>0</v>
      </c>
      <c r="AC30" s="71">
        <f t="shared" si="9"/>
        <v>80</v>
      </c>
    </row>
    <row r="31" spans="1:29" s="31" customFormat="1" ht="13.5" thickTop="1" thickBot="1">
      <c r="A31" s="32"/>
      <c r="B31" s="3">
        <f>IF(A31=0,0,VLOOKUP(A31,'00'!$A$1:$F$65536,2,0))</f>
        <v>0</v>
      </c>
      <c r="C31" s="5"/>
      <c r="D31" s="3">
        <f>IF(C31=0,0,VLOOKUP(C31,'01'!$A$2:$B$98,2,0))</f>
        <v>0</v>
      </c>
      <c r="E31" s="12"/>
      <c r="F31" s="33" t="s">
        <v>302</v>
      </c>
      <c r="G31" s="34">
        <f t="shared" si="0"/>
        <v>1000000</v>
      </c>
      <c r="H31" s="206">
        <f>IF(A31=0,0,VLOOKUP(A31,'00'!$A:$F,4,0))</f>
        <v>0</v>
      </c>
      <c r="I31" s="32" t="s">
        <v>358</v>
      </c>
      <c r="J31" s="34" t="str">
        <f>IF(I31=0,0,VLOOKUP(I31,'00'!$A$1:$F$65536,2,0))</f>
        <v>DJM604(1)</v>
      </c>
      <c r="K31" s="34">
        <v>23</v>
      </c>
      <c r="L31" s="245" t="str">
        <f>IF(K31=0,0,VLOOKUP(K31,'01'!$A$2:$B$98,2,0))</f>
        <v>三区</v>
      </c>
      <c r="M31" s="39">
        <v>3</v>
      </c>
      <c r="N31" s="33" t="s">
        <v>1</v>
      </c>
      <c r="O31" s="35">
        <f t="shared" si="1"/>
        <v>10000</v>
      </c>
      <c r="P31" s="43">
        <f>IF(I31=0,0,VLOOKUP(I31,'00'!$A:$F,4,0))</f>
        <v>1082517</v>
      </c>
      <c r="Q31" s="37">
        <f>IF(A31=0,0,VLOOKUP(A31,'00'!$A$1:$F$65536,5,0))</f>
        <v>0</v>
      </c>
      <c r="R31" s="37">
        <f>IF(A31=0,0,VLOOKUP(A31,'00'!$A$1:$G$65536,6,0))</f>
        <v>0</v>
      </c>
      <c r="S31" s="38">
        <f t="shared" si="2"/>
        <v>0</v>
      </c>
      <c r="T31" s="38">
        <f t="shared" si="3"/>
        <v>0</v>
      </c>
      <c r="U31" s="37">
        <f>IF(I31=0,0,VLOOKUP(I31,'00'!$A:$F,5,0))+X31</f>
        <v>37</v>
      </c>
      <c r="V31" s="37">
        <f>IF(I31=0,0,VLOOKUP(I31,'00'!$A$1:$F$65536,6,0))</f>
        <v>15</v>
      </c>
      <c r="W31" s="30"/>
      <c r="X31" s="30">
        <f t="shared" si="4"/>
        <v>0</v>
      </c>
      <c r="Y31" s="31">
        <f t="shared" si="5"/>
        <v>0</v>
      </c>
      <c r="Z31" s="71">
        <f t="shared" si="6"/>
        <v>0</v>
      </c>
      <c r="AA31" s="71">
        <f t="shared" si="7"/>
        <v>0</v>
      </c>
      <c r="AB31" s="71">
        <f t="shared" si="8"/>
        <v>0</v>
      </c>
      <c r="AC31" s="71">
        <f t="shared" si="9"/>
        <v>111</v>
      </c>
    </row>
    <row r="32" spans="1:29" s="31" customFormat="1" ht="13.5" thickTop="1" thickBot="1">
      <c r="A32" s="32"/>
      <c r="B32" s="3">
        <f>IF(A32=0,0,VLOOKUP(A32,'00'!$A$1:$F$65536,2,0))</f>
        <v>0</v>
      </c>
      <c r="C32" s="5"/>
      <c r="D32" s="3">
        <f>IF(C32=0,0,VLOOKUP(C32,'01'!$A$2:$B$98,2,0))</f>
        <v>0</v>
      </c>
      <c r="E32" s="12"/>
      <c r="F32" s="33" t="s">
        <v>302</v>
      </c>
      <c r="G32" s="34">
        <f t="shared" si="0"/>
        <v>1000000</v>
      </c>
      <c r="H32" s="206">
        <f>IF(A32=0,0,VLOOKUP(A32,'00'!$A:$F,4,0))</f>
        <v>0</v>
      </c>
      <c r="I32" s="32">
        <v>270143</v>
      </c>
      <c r="J32" s="34" t="str">
        <f>IF(I32=0,0,VLOOKUP(I32,'00'!$A$1:$F$65536,2,0))</f>
        <v>DJS702(1)</v>
      </c>
      <c r="K32" s="34">
        <v>23</v>
      </c>
      <c r="L32" s="245" t="str">
        <f>IF(K32=0,0,VLOOKUP(K32,'01'!$A$2:$B$98,2,0))</f>
        <v>三区</v>
      </c>
      <c r="M32" s="39">
        <v>2</v>
      </c>
      <c r="N32" s="33" t="s">
        <v>1</v>
      </c>
      <c r="O32" s="35">
        <f t="shared" si="1"/>
        <v>10000</v>
      </c>
      <c r="P32" s="43">
        <f>IF(I32=0,0,VLOOKUP(I32,'00'!$A:$F,4,0))</f>
        <v>1082516</v>
      </c>
      <c r="Q32" s="37">
        <f>IF(A32=0,0,VLOOKUP(A32,'00'!$A$1:$F$65536,5,0))</f>
        <v>0</v>
      </c>
      <c r="R32" s="37">
        <f>IF(A32=0,0,VLOOKUP(A32,'00'!$A$1:$G$65536,6,0))</f>
        <v>0</v>
      </c>
      <c r="S32" s="38">
        <f t="shared" si="2"/>
        <v>0</v>
      </c>
      <c r="T32" s="38">
        <f t="shared" si="3"/>
        <v>0</v>
      </c>
      <c r="U32" s="37">
        <f>IF(I32=0,0,VLOOKUP(I32,'00'!$A:$F,5,0))+X32</f>
        <v>37</v>
      </c>
      <c r="V32" s="37">
        <f>IF(I32=0,0,VLOOKUP(I32,'00'!$A$1:$F$65536,6,0))</f>
        <v>15</v>
      </c>
      <c r="W32" s="30"/>
      <c r="X32" s="30">
        <f t="shared" si="4"/>
        <v>0</v>
      </c>
      <c r="Y32" s="31">
        <f t="shared" si="5"/>
        <v>0</v>
      </c>
      <c r="Z32" s="71">
        <f t="shared" si="6"/>
        <v>0</v>
      </c>
      <c r="AA32" s="71">
        <f t="shared" si="7"/>
        <v>0</v>
      </c>
      <c r="AB32" s="71">
        <f t="shared" si="8"/>
        <v>0</v>
      </c>
      <c r="AC32" s="71">
        <f t="shared" si="9"/>
        <v>74</v>
      </c>
    </row>
    <row r="33" spans="1:29" s="31" customFormat="1" ht="13.5" thickTop="1" thickBot="1">
      <c r="A33" s="152"/>
      <c r="B33" s="199">
        <f>IF(A33=0,0,VLOOKUP(A33,'00'!$A$1:$F$65536,2,0))</f>
        <v>0</v>
      </c>
      <c r="C33" s="5"/>
      <c r="D33" s="3">
        <f>IF(C33=0,0,VLOOKUP(C33,'01'!$A$2:$B$98,2,0))</f>
        <v>0</v>
      </c>
      <c r="E33" s="12"/>
      <c r="F33" s="33" t="s">
        <v>302</v>
      </c>
      <c r="G33" s="34">
        <f t="shared" si="0"/>
        <v>1000000</v>
      </c>
      <c r="H33" s="206">
        <f>IF(A33=0,0,VLOOKUP(A33,'00'!$A:$F,4,0))</f>
        <v>0</v>
      </c>
      <c r="I33" s="9">
        <v>270143</v>
      </c>
      <c r="J33" s="34" t="str">
        <f>IF(I33=0,0,VLOOKUP(I33,'00'!$A$1:$F$65536,2,0))</f>
        <v>DJS702(1)</v>
      </c>
      <c r="K33" s="10">
        <v>25</v>
      </c>
      <c r="L33" s="7" t="str">
        <f>IF(K33=0,0,VLOOKUP(K33,'01'!$A$2:$B$98,2,0))</f>
        <v>三区宽</v>
      </c>
      <c r="M33" s="39">
        <v>3</v>
      </c>
      <c r="N33" s="33" t="s">
        <v>1</v>
      </c>
      <c r="O33" s="35">
        <f t="shared" si="1"/>
        <v>10000</v>
      </c>
      <c r="P33" s="43">
        <f>IF(I33=0,0,VLOOKUP(I33,'00'!$A:$F,4,0))</f>
        <v>1082516</v>
      </c>
      <c r="Q33" s="37">
        <f>IF(A33=0,0,VLOOKUP(A33,'00'!$A$1:$F$65536,5,0))</f>
        <v>0</v>
      </c>
      <c r="R33" s="37">
        <f>IF(A33=0,0,VLOOKUP(A33,'00'!$A$1:$G$65536,6,0))</f>
        <v>0</v>
      </c>
      <c r="S33" s="38">
        <f t="shared" si="2"/>
        <v>0</v>
      </c>
      <c r="T33" s="38">
        <f t="shared" si="3"/>
        <v>0</v>
      </c>
      <c r="U33" s="37">
        <f>IF(I33=0,0,VLOOKUP(I33,'00'!$A:$F,5,0))+X33</f>
        <v>37</v>
      </c>
      <c r="V33" s="37">
        <f>IF(I33=0,0,VLOOKUP(I33,'00'!$A$1:$F$65536,6,0))</f>
        <v>15</v>
      </c>
      <c r="W33" s="30"/>
      <c r="X33" s="30">
        <f t="shared" si="4"/>
        <v>0</v>
      </c>
      <c r="Y33" s="31">
        <f t="shared" si="5"/>
        <v>0</v>
      </c>
      <c r="Z33" s="71">
        <f t="shared" si="6"/>
        <v>0</v>
      </c>
      <c r="AA33" s="71">
        <f t="shared" si="7"/>
        <v>0</v>
      </c>
      <c r="AB33" s="71">
        <f t="shared" si="8"/>
        <v>0</v>
      </c>
      <c r="AC33" s="71">
        <f t="shared" si="9"/>
        <v>111</v>
      </c>
    </row>
    <row r="34" spans="1:29" s="31" customFormat="1" ht="13.5" thickTop="1" thickBot="1">
      <c r="A34" s="32"/>
      <c r="B34" s="3">
        <f>IF(A34=0,0,VLOOKUP(A34,'00'!$A$1:$F$65536,2,0))</f>
        <v>0</v>
      </c>
      <c r="C34" s="5"/>
      <c r="D34" s="3">
        <f>IF(C34=0,0,VLOOKUP(C34,'01'!$A$2:$B$98,2,0))</f>
        <v>0</v>
      </c>
      <c r="E34" s="12"/>
      <c r="F34" s="33" t="s">
        <v>302</v>
      </c>
      <c r="G34" s="34">
        <f t="shared" si="0"/>
        <v>1000000</v>
      </c>
      <c r="H34" s="206">
        <f>IF(A34=0,0,VLOOKUP(A34,'00'!$A:$F,4,0))</f>
        <v>0</v>
      </c>
      <c r="I34" s="9">
        <v>270143</v>
      </c>
      <c r="J34" s="34" t="str">
        <f>IF(I34=0,0,VLOOKUP(I34,'00'!$A$1:$F$65536,2,0))</f>
        <v>DJS702(1)</v>
      </c>
      <c r="K34" s="10">
        <v>10</v>
      </c>
      <c r="L34" s="7" t="str">
        <f>IF(K34=0,0,VLOOKUP(K34,'01'!$A$2:$B$98,2,0))</f>
        <v>申舒</v>
      </c>
      <c r="M34" s="39">
        <v>2</v>
      </c>
      <c r="N34" s="78" t="s">
        <v>1</v>
      </c>
      <c r="O34" s="47">
        <f t="shared" si="1"/>
        <v>10000</v>
      </c>
      <c r="P34" s="79">
        <f>IF(I34=0,0,VLOOKUP(I34,'00'!$A:$F,4,0))</f>
        <v>1082516</v>
      </c>
      <c r="Q34" s="37">
        <f>IF(A34=0,0,VLOOKUP(A34,'00'!$A$1:$F$65536,5,0))</f>
        <v>0</v>
      </c>
      <c r="R34" s="37">
        <f>IF(A34=0,0,VLOOKUP(A34,'00'!$A$1:$G$65536,6,0))</f>
        <v>0</v>
      </c>
      <c r="S34" s="38">
        <f t="shared" si="2"/>
        <v>0</v>
      </c>
      <c r="T34" s="38">
        <f t="shared" si="3"/>
        <v>0</v>
      </c>
      <c r="U34" s="37">
        <f>IF(I34=0,0,VLOOKUP(I34,'00'!$A:$F,5,0))+X34</f>
        <v>37</v>
      </c>
      <c r="V34" s="37">
        <f>IF(I34=0,0,VLOOKUP(I34,'00'!$A$1:$F$65536,6,0))</f>
        <v>15</v>
      </c>
      <c r="W34" s="30"/>
      <c r="X34" s="30">
        <f t="shared" si="4"/>
        <v>0</v>
      </c>
      <c r="Y34" s="31">
        <f t="shared" si="5"/>
        <v>0</v>
      </c>
      <c r="Z34" s="71">
        <f t="shared" si="6"/>
        <v>0</v>
      </c>
      <c r="AA34" s="71">
        <f t="shared" si="7"/>
        <v>0</v>
      </c>
      <c r="AB34" s="71">
        <f t="shared" si="8"/>
        <v>0</v>
      </c>
      <c r="AC34" s="71">
        <f t="shared" si="9"/>
        <v>74</v>
      </c>
    </row>
    <row r="35" spans="1:29" s="31" customFormat="1" ht="13.5" thickTop="1" thickBot="1">
      <c r="A35" s="32"/>
      <c r="B35" s="3">
        <f>IF(A35=0,0,VLOOKUP(A35,'00'!$A$1:$F$65536,2,0))</f>
        <v>0</v>
      </c>
      <c r="C35" s="5"/>
      <c r="D35" s="3">
        <f>IF(C35=0,0,VLOOKUP(C35,'01'!$A$2:$B$98,2,0))</f>
        <v>0</v>
      </c>
      <c r="E35" s="12"/>
      <c r="F35" s="33" t="s">
        <v>302</v>
      </c>
      <c r="G35" s="34">
        <f t="shared" si="0"/>
        <v>1000000</v>
      </c>
      <c r="H35" s="206">
        <f>IF(A35=0,0,VLOOKUP(A35,'00'!$A:$F,4,0))</f>
        <v>0</v>
      </c>
      <c r="I35" s="9"/>
      <c r="J35" s="34">
        <f>IF(I35=0,0,VLOOKUP(I35,'00'!$A$1:$F$65536,2,0))</f>
        <v>0</v>
      </c>
      <c r="K35" s="10"/>
      <c r="L35" s="7">
        <f>IF(K35=0,0,VLOOKUP(K35,'01'!$A$2:$B$98,2,0))</f>
        <v>0</v>
      </c>
      <c r="M35" s="39"/>
      <c r="N35" s="33" t="s">
        <v>1</v>
      </c>
      <c r="O35" s="35">
        <f t="shared" si="1"/>
        <v>10000</v>
      </c>
      <c r="P35" s="43">
        <f>IF(I35=0,0,VLOOKUP(I35,'00'!$A:$F,4,0))</f>
        <v>0</v>
      </c>
      <c r="Q35" s="37">
        <f>IF(A35=0,0,VLOOKUP(A35,'00'!$A$1:$F$65536,5,0))</f>
        <v>0</v>
      </c>
      <c r="R35" s="37">
        <f>IF(A35=0,0,VLOOKUP(A35,'00'!$A$1:$G$65536,6,0))</f>
        <v>0</v>
      </c>
      <c r="S35" s="38">
        <f t="shared" si="2"/>
        <v>0</v>
      </c>
      <c r="T35" s="38">
        <f t="shared" si="3"/>
        <v>0</v>
      </c>
      <c r="U35" s="37">
        <f>IF(I35=0,0,VLOOKUP(I35,'00'!$A:$F,5,0))+X35</f>
        <v>0</v>
      </c>
      <c r="V35" s="37">
        <f>IF(I35=0,0,VLOOKUP(I35,'00'!$A$1:$F$65536,6,0))</f>
        <v>0</v>
      </c>
      <c r="W35" s="30"/>
      <c r="X35" s="30">
        <f t="shared" si="4"/>
        <v>0</v>
      </c>
      <c r="Y35" s="31">
        <f t="shared" si="5"/>
        <v>0</v>
      </c>
      <c r="Z35" s="71">
        <f t="shared" si="6"/>
        <v>0</v>
      </c>
      <c r="AA35" s="71">
        <f t="shared" si="7"/>
        <v>0</v>
      </c>
      <c r="AB35" s="71">
        <f t="shared" si="8"/>
        <v>0</v>
      </c>
      <c r="AC35" s="71">
        <f t="shared" si="9"/>
        <v>0</v>
      </c>
    </row>
    <row r="36" spans="1:29" s="31" customFormat="1" ht="13.5" thickTop="1" thickBot="1">
      <c r="A36" s="32"/>
      <c r="B36" s="3">
        <f>IF(A36=0,0,VLOOKUP(A36,'00'!$A$1:$F$65536,2,0))</f>
        <v>0</v>
      </c>
      <c r="C36" s="5"/>
      <c r="D36" s="3">
        <f>IF(C36=0,0,VLOOKUP(C36,'01'!$A$2:$B$98,2,0))</f>
        <v>0</v>
      </c>
      <c r="E36" s="12"/>
      <c r="F36" s="33" t="s">
        <v>302</v>
      </c>
      <c r="G36" s="34">
        <f t="shared" si="0"/>
        <v>1000000</v>
      </c>
      <c r="H36" s="206">
        <f>IF(A36=0,0,VLOOKUP(A36,'00'!$A:$F,4,0))</f>
        <v>0</v>
      </c>
      <c r="I36" s="9"/>
      <c r="J36" s="34">
        <f>IF(I36=0,0,VLOOKUP(I36,'00'!$A$1:$F$65536,2,0))</f>
        <v>0</v>
      </c>
      <c r="K36" s="10"/>
      <c r="L36" s="7">
        <f>IF(K36=0,0,VLOOKUP(K36,'01'!$A$2:$B$98,2,0))</f>
        <v>0</v>
      </c>
      <c r="M36" s="39"/>
      <c r="N36" s="33" t="s">
        <v>1</v>
      </c>
      <c r="O36" s="35">
        <f t="shared" si="1"/>
        <v>10000</v>
      </c>
      <c r="P36" s="43">
        <f>IF(I36=0,0,VLOOKUP(I36,'00'!$A:$F,4,0))</f>
        <v>0</v>
      </c>
      <c r="Q36" s="37">
        <f>IF(A36=0,0,VLOOKUP(A36,'00'!$A$1:$F$65536,5,0))</f>
        <v>0</v>
      </c>
      <c r="R36" s="37">
        <f>IF(A36=0,0,VLOOKUP(A36,'00'!$A$1:$G$65536,6,0))</f>
        <v>0</v>
      </c>
      <c r="S36" s="38">
        <f t="shared" si="2"/>
        <v>0</v>
      </c>
      <c r="T36" s="38">
        <f t="shared" si="3"/>
        <v>0</v>
      </c>
      <c r="U36" s="37">
        <f>IF(I36=0,0,VLOOKUP(I36,'00'!$A:$F,5,0))+X36</f>
        <v>0</v>
      </c>
      <c r="V36" s="37">
        <f>IF(I36=0,0,VLOOKUP(I36,'00'!$A$1:$F$65536,6,0))</f>
        <v>0</v>
      </c>
      <c r="W36" s="30"/>
      <c r="X36" s="30">
        <f t="shared" si="4"/>
        <v>0</v>
      </c>
      <c r="Y36" s="31">
        <f t="shared" si="5"/>
        <v>0</v>
      </c>
      <c r="Z36" s="71">
        <f t="shared" si="6"/>
        <v>0</v>
      </c>
      <c r="AA36" s="71">
        <f t="shared" si="7"/>
        <v>0</v>
      </c>
      <c r="AB36" s="71">
        <f t="shared" si="8"/>
        <v>0</v>
      </c>
      <c r="AC36" s="71">
        <f t="shared" si="9"/>
        <v>0</v>
      </c>
    </row>
    <row r="37" spans="1:29" s="31" customFormat="1" ht="13.5" thickTop="1" thickBot="1">
      <c r="A37" s="32"/>
      <c r="B37" s="108">
        <f>IF(A37=0,0,VLOOKUP(A37,'00'!$A$1:$F$65536,2,0))</f>
        <v>0</v>
      </c>
      <c r="C37" s="109"/>
      <c r="D37" s="108">
        <f>IF(C37=0,0,VLOOKUP(C37,'01'!$A$2:$B$98,2,0))</f>
        <v>0</v>
      </c>
      <c r="E37" s="110"/>
      <c r="F37" s="33" t="s">
        <v>302</v>
      </c>
      <c r="G37" s="56">
        <f t="shared" si="0"/>
        <v>1000000</v>
      </c>
      <c r="H37" s="60">
        <f>IF(A37=0,0,VLOOKUP(A37,'00'!$A:$F,4,0))</f>
        <v>0</v>
      </c>
      <c r="I37" s="80"/>
      <c r="J37" s="81">
        <f>IF(I37=0,0,VLOOKUP(I37,'00'!$A$1:$F$65536,2,0))</f>
        <v>0</v>
      </c>
      <c r="K37" s="81"/>
      <c r="L37" s="82">
        <f>IF(K37=0,0,VLOOKUP(K37,'01'!$A$2:$B$98,2,0))</f>
        <v>0</v>
      </c>
      <c r="M37" s="83"/>
      <c r="N37" s="84" t="s">
        <v>1</v>
      </c>
      <c r="O37" s="85">
        <f t="shared" si="1"/>
        <v>10000</v>
      </c>
      <c r="P37" s="86">
        <f>IF(I37=0,0,VLOOKUP(I37,'00'!$A:$F,4,0))</f>
        <v>0</v>
      </c>
      <c r="Q37" s="37">
        <f>IF(A37=0,0,VLOOKUP(A37,'00'!$A$1:$F$65536,5,0))</f>
        <v>0</v>
      </c>
      <c r="R37" s="37">
        <f>IF(A37=0,0,VLOOKUP(A37,'00'!$A$1:$G$65536,6,0))</f>
        <v>0</v>
      </c>
      <c r="S37" s="38">
        <f t="shared" si="2"/>
        <v>0</v>
      </c>
      <c r="T37" s="38">
        <f t="shared" si="3"/>
        <v>0</v>
      </c>
      <c r="U37" s="37">
        <f>IF(I37=0,0,VLOOKUP(I37,'00'!$A:$F,5,0))+X37</f>
        <v>0</v>
      </c>
      <c r="V37" s="37">
        <f>IF(I37=0,0,VLOOKUP(I37,'00'!$A$1:$F$65536,6,0))</f>
        <v>0</v>
      </c>
      <c r="W37" s="30"/>
      <c r="X37" s="30">
        <f t="shared" si="4"/>
        <v>0</v>
      </c>
      <c r="Y37" s="31">
        <f t="shared" si="5"/>
        <v>0</v>
      </c>
      <c r="Z37" s="71">
        <f t="shared" si="6"/>
        <v>0</v>
      </c>
      <c r="AA37" s="71">
        <f t="shared" si="7"/>
        <v>0</v>
      </c>
      <c r="AB37" s="71">
        <f t="shared" si="8"/>
        <v>0</v>
      </c>
      <c r="AC37" s="71">
        <f t="shared" si="9"/>
        <v>0</v>
      </c>
    </row>
    <row r="38" spans="1:29" s="31" customFormat="1" ht="13.5" thickTop="1" thickBot="1">
      <c r="A38" s="57" t="s">
        <v>303</v>
      </c>
      <c r="B38" s="236" t="s">
        <v>335</v>
      </c>
      <c r="C38" s="249"/>
      <c r="D38" s="249"/>
      <c r="E38" s="249"/>
      <c r="F38" s="249"/>
      <c r="G38" s="249"/>
      <c r="H38" s="250"/>
      <c r="I38" s="238"/>
      <c r="J38" s="236"/>
      <c r="K38" s="328" t="s">
        <v>305</v>
      </c>
      <c r="L38" s="328"/>
      <c r="M38" s="328"/>
      <c r="N38" s="328"/>
      <c r="O38" s="328"/>
      <c r="P38" s="329"/>
      <c r="Q38" s="37"/>
      <c r="R38" s="37"/>
      <c r="S38" s="38"/>
      <c r="T38" s="38"/>
      <c r="U38" s="54"/>
      <c r="V38" s="54"/>
      <c r="W38" s="30"/>
      <c r="X38" s="30"/>
      <c r="Z38" s="71"/>
      <c r="AA38" s="71"/>
      <c r="AB38" s="71"/>
      <c r="AC38" s="71"/>
    </row>
    <row r="39" spans="1:29" s="31" customFormat="1" ht="13.5" thickTop="1" thickBot="1">
      <c r="A39" s="58" t="s">
        <v>306</v>
      </c>
      <c r="B39" s="226" t="s">
        <v>336</v>
      </c>
      <c r="C39" s="212"/>
      <c r="D39" s="212"/>
      <c r="E39" s="212"/>
      <c r="F39" s="212"/>
      <c r="G39" s="212"/>
      <c r="H39" s="213"/>
      <c r="I39" s="240"/>
      <c r="J39" s="241"/>
      <c r="K39" s="241"/>
      <c r="L39" s="241"/>
      <c r="M39" s="241"/>
      <c r="N39" s="241"/>
      <c r="O39" s="241"/>
      <c r="P39" s="242"/>
      <c r="Q39" s="37"/>
      <c r="R39" s="37"/>
      <c r="S39" s="38"/>
      <c r="T39" s="38"/>
      <c r="U39" s="54"/>
      <c r="V39" s="54"/>
      <c r="W39" s="30"/>
      <c r="X39" s="30"/>
      <c r="Z39" s="71"/>
      <c r="AA39" s="71"/>
      <c r="AB39" s="71"/>
      <c r="AC39" s="71"/>
    </row>
    <row r="40" spans="1:29" s="31" customFormat="1" ht="13.5" thickTop="1" thickBot="1">
      <c r="A40" s="58" t="s">
        <v>40</v>
      </c>
      <c r="B40" s="212" t="s">
        <v>337</v>
      </c>
      <c r="C40" s="212"/>
      <c r="D40" s="212"/>
      <c r="E40" s="212"/>
      <c r="F40" s="212"/>
      <c r="G40" s="212"/>
      <c r="H40" s="213"/>
      <c r="I40" s="240"/>
      <c r="J40" s="241"/>
      <c r="K40" s="241"/>
      <c r="L40" s="241"/>
      <c r="M40" s="241"/>
      <c r="N40" s="241"/>
      <c r="O40" s="241"/>
      <c r="P40" s="242"/>
      <c r="Q40" s="37"/>
      <c r="R40" s="37"/>
      <c r="S40" s="38"/>
      <c r="T40" s="38"/>
      <c r="U40" s="54"/>
      <c r="V40" s="54"/>
      <c r="W40" s="30"/>
      <c r="X40" s="30"/>
      <c r="Z40" s="71"/>
      <c r="AA40" s="71"/>
      <c r="AB40" s="71"/>
      <c r="AC40" s="71"/>
    </row>
    <row r="41" spans="1:29" s="31" customFormat="1" ht="13.5" thickTop="1" thickBot="1">
      <c r="A41" s="58" t="s">
        <v>41</v>
      </c>
      <c r="B41" s="212" t="s">
        <v>338</v>
      </c>
      <c r="C41" s="212"/>
      <c r="D41" s="212"/>
      <c r="E41" s="212"/>
      <c r="F41" s="212"/>
      <c r="G41" s="212"/>
      <c r="H41" s="213"/>
      <c r="I41" s="240"/>
      <c r="J41" s="241"/>
      <c r="K41" s="241"/>
      <c r="L41" s="241"/>
      <c r="M41" s="241"/>
      <c r="N41" s="241"/>
      <c r="O41" s="241"/>
      <c r="P41" s="242"/>
      <c r="Q41" s="37"/>
      <c r="R41" s="37"/>
      <c r="S41" s="38"/>
      <c r="T41" s="38"/>
      <c r="U41" s="54"/>
      <c r="V41" s="54"/>
      <c r="W41" s="30"/>
      <c r="X41" s="30"/>
      <c r="Z41" s="71"/>
      <c r="AA41" s="71"/>
      <c r="AB41" s="71"/>
      <c r="AC41" s="71"/>
    </row>
    <row r="42" spans="1:29" s="31" customFormat="1" ht="13.5" thickTop="1" thickBot="1">
      <c r="A42" s="58" t="s">
        <v>311</v>
      </c>
      <c r="B42" s="212"/>
      <c r="C42" s="212"/>
      <c r="D42" s="212"/>
      <c r="E42" s="212"/>
      <c r="F42" s="212"/>
      <c r="G42" s="212"/>
      <c r="H42" s="213"/>
      <c r="I42" s="240"/>
      <c r="J42" s="241"/>
      <c r="K42" s="241"/>
      <c r="L42" s="241"/>
      <c r="M42" s="241"/>
      <c r="N42" s="241"/>
      <c r="O42" s="241"/>
      <c r="P42" s="242"/>
      <c r="Q42" s="37"/>
      <c r="R42" s="37"/>
      <c r="S42" s="38"/>
      <c r="T42" s="38"/>
      <c r="U42" s="54"/>
      <c r="V42" s="54"/>
      <c r="W42" s="30"/>
      <c r="X42" s="30"/>
      <c r="Z42" s="71"/>
      <c r="AA42" s="71"/>
      <c r="AB42" s="71"/>
      <c r="AC42" s="71"/>
    </row>
    <row r="43" spans="1:29" s="31" customFormat="1" ht="13.5" thickTop="1" thickBot="1">
      <c r="A43" s="98" t="s">
        <v>330</v>
      </c>
      <c r="B43" s="334"/>
      <c r="C43" s="334"/>
      <c r="D43" s="334"/>
      <c r="E43" s="334"/>
      <c r="F43" s="334"/>
      <c r="G43" s="334"/>
      <c r="H43" s="335"/>
      <c r="I43" s="336"/>
      <c r="J43" s="337"/>
      <c r="K43" s="337"/>
      <c r="L43" s="337"/>
      <c r="M43" s="337"/>
      <c r="N43" s="337"/>
      <c r="O43" s="337"/>
      <c r="P43" s="338"/>
      <c r="Q43" s="37"/>
      <c r="R43" s="37"/>
      <c r="S43" s="38"/>
      <c r="T43" s="38"/>
      <c r="U43" s="54"/>
      <c r="V43" s="54"/>
      <c r="W43" s="30"/>
      <c r="X43" s="30"/>
      <c r="Z43" s="71"/>
      <c r="AA43" s="71"/>
      <c r="AB43" s="71"/>
      <c r="AC43" s="71"/>
    </row>
    <row r="44" spans="1:29" s="31" customFormat="1" ht="13.5" thickTop="1" thickBot="1">
      <c r="A44" s="314" t="s">
        <v>313</v>
      </c>
      <c r="B44" s="53" t="s">
        <v>67</v>
      </c>
      <c r="C44" s="305" t="s">
        <v>314</v>
      </c>
      <c r="D44" s="306"/>
      <c r="E44" s="307"/>
      <c r="F44" s="274" t="s">
        <v>68</v>
      </c>
      <c r="G44" s="275"/>
      <c r="H44" s="276"/>
      <c r="I44" s="282" t="s">
        <v>315</v>
      </c>
      <c r="J44" s="53" t="s">
        <v>67</v>
      </c>
      <c r="K44" s="305" t="s">
        <v>314</v>
      </c>
      <c r="L44" s="306"/>
      <c r="M44" s="307"/>
      <c r="N44" s="274" t="s">
        <v>68</v>
      </c>
      <c r="O44" s="275"/>
      <c r="P44" s="276"/>
      <c r="Q44" s="37"/>
      <c r="R44" s="37"/>
      <c r="S44" s="38"/>
      <c r="T44" s="38"/>
      <c r="U44" s="54"/>
      <c r="V44" s="54"/>
      <c r="W44" s="30"/>
      <c r="X44" s="30"/>
      <c r="Z44" s="71"/>
      <c r="AA44" s="71"/>
      <c r="AB44" s="71"/>
      <c r="AC44" s="71"/>
    </row>
    <row r="45" spans="1:29" s="31" customFormat="1" ht="13.5" thickTop="1" thickBot="1">
      <c r="A45" s="315" t="s">
        <v>286</v>
      </c>
      <c r="B45" s="34" t="s">
        <v>299</v>
      </c>
      <c r="C45" s="285">
        <f>+SUMIF(F:F,B45,Y:Y)*Q48</f>
        <v>448.09999999999997</v>
      </c>
      <c r="D45" s="286"/>
      <c r="E45" s="288"/>
      <c r="F45" s="285">
        <f>(SUMPRODUCT(M5:M15,V5:V15)+W5*V5)*Q48</f>
        <v>180</v>
      </c>
      <c r="G45" s="286"/>
      <c r="H45" s="287"/>
      <c r="I45" s="283" t="s">
        <v>286</v>
      </c>
      <c r="J45" s="34" t="s">
        <v>339</v>
      </c>
      <c r="K45" s="317"/>
      <c r="L45" s="318"/>
      <c r="M45" s="124">
        <f>IF(K45=0,0,K50/K45*1000)</f>
        <v>0</v>
      </c>
      <c r="N45" s="124"/>
      <c r="O45" s="215"/>
      <c r="P45" s="216"/>
      <c r="Q45" s="37"/>
      <c r="R45" s="37"/>
      <c r="S45" s="38"/>
      <c r="T45" s="38"/>
      <c r="U45" s="54"/>
      <c r="V45" s="54"/>
      <c r="W45" s="30"/>
      <c r="X45" s="30"/>
      <c r="Z45" s="71"/>
      <c r="AA45" s="71"/>
      <c r="AB45" s="71"/>
      <c r="AC45" s="71"/>
    </row>
    <row r="46" spans="1:29" s="31" customFormat="1" ht="13.5" thickTop="1" thickBot="1">
      <c r="A46" s="315">
        <v>270172</v>
      </c>
      <c r="B46" s="34" t="s">
        <v>301</v>
      </c>
      <c r="C46" s="285">
        <f>+SUMIF(F:F,B46,Y:Y)*Q48</f>
        <v>476.4</v>
      </c>
      <c r="D46" s="286"/>
      <c r="E46" s="288"/>
      <c r="F46" s="285">
        <f>(SUMPRODUCT(M16:M26,V16:V26)+W16*V16)*Q48</f>
        <v>360</v>
      </c>
      <c r="G46" s="286"/>
      <c r="H46" s="287"/>
      <c r="I46" s="283">
        <v>270172</v>
      </c>
      <c r="J46" s="34" t="s">
        <v>340</v>
      </c>
      <c r="K46" s="317"/>
      <c r="L46" s="318"/>
      <c r="M46" s="124">
        <f>IF(K46=0,0,K51/K46*1000)</f>
        <v>0</v>
      </c>
      <c r="N46" s="124"/>
      <c r="O46" s="215"/>
      <c r="P46" s="216"/>
      <c r="Q46" s="37"/>
      <c r="R46" s="37"/>
      <c r="S46" s="38"/>
      <c r="T46" s="38"/>
      <c r="U46" s="54"/>
      <c r="V46" s="54"/>
      <c r="W46" s="30"/>
      <c r="X46" s="30"/>
      <c r="Z46" s="71"/>
      <c r="AA46" s="71"/>
      <c r="AB46" s="71"/>
      <c r="AC46" s="71"/>
    </row>
    <row r="47" spans="1:29" s="31" customFormat="1" ht="13.5" thickTop="1" thickBot="1">
      <c r="A47" s="315">
        <v>270127</v>
      </c>
      <c r="B47" s="34" t="s">
        <v>302</v>
      </c>
      <c r="C47" s="285">
        <f>+SUMIF(F:F,B47,Y:Y)*Q48</f>
        <v>440.79999999999995</v>
      </c>
      <c r="D47" s="286"/>
      <c r="E47" s="288"/>
      <c r="F47" s="285">
        <f>(SUMPRODUCT(M27:M37,V27:V37)+W27*V27)*Q48</f>
        <v>362</v>
      </c>
      <c r="G47" s="286"/>
      <c r="H47" s="287"/>
      <c r="I47" s="283">
        <v>270127</v>
      </c>
      <c r="J47" s="34" t="s">
        <v>341</v>
      </c>
      <c r="K47" s="317"/>
      <c r="L47" s="318"/>
      <c r="M47" s="124">
        <f>IF(K47=0,0,K52/K47*1000)</f>
        <v>0</v>
      </c>
      <c r="N47" s="124"/>
      <c r="O47" s="215"/>
      <c r="P47" s="216"/>
      <c r="Q47" s="37"/>
      <c r="R47" s="37"/>
      <c r="S47" s="38"/>
      <c r="T47" s="38"/>
      <c r="U47" s="54"/>
      <c r="V47" s="54"/>
      <c r="W47" s="30"/>
      <c r="X47" s="30"/>
      <c r="Z47" s="71"/>
      <c r="AA47" s="71"/>
      <c r="AB47" s="71"/>
      <c r="AC47" s="71"/>
    </row>
    <row r="48" spans="1:29" s="31" customFormat="1" ht="13.5" thickTop="1" thickBot="1">
      <c r="A48" s="316">
        <v>270127</v>
      </c>
      <c r="B48" s="107" t="s">
        <v>319</v>
      </c>
      <c r="C48" s="289">
        <f>SUM(C45:E47)</f>
        <v>1365.3</v>
      </c>
      <c r="D48" s="290"/>
      <c r="E48" s="291"/>
      <c r="F48" s="289">
        <f>SUM(F45:H47)</f>
        <v>902</v>
      </c>
      <c r="G48" s="290"/>
      <c r="H48" s="300"/>
      <c r="I48" s="284">
        <v>270127</v>
      </c>
      <c r="J48" s="107" t="s">
        <v>319</v>
      </c>
      <c r="K48" s="301">
        <f>SUM(K45:L47)</f>
        <v>0</v>
      </c>
      <c r="L48" s="302"/>
      <c r="M48" s="120">
        <f>IF(K48=0,0,K53/K48*1000)</f>
        <v>0</v>
      </c>
      <c r="N48" s="121"/>
      <c r="O48" s="210">
        <f>SUM(O45:P47)</f>
        <v>0</v>
      </c>
      <c r="P48" s="211"/>
      <c r="Q48" s="294">
        <v>1</v>
      </c>
      <c r="R48" s="295"/>
      <c r="S48" s="38"/>
      <c r="T48" s="38"/>
      <c r="U48" s="54"/>
      <c r="V48" s="54"/>
      <c r="W48" s="30"/>
      <c r="X48" s="30"/>
      <c r="Z48" s="71"/>
      <c r="AA48" s="71"/>
      <c r="AB48" s="71"/>
      <c r="AC48" s="71"/>
    </row>
    <row r="49" spans="1:29" s="31" customFormat="1" ht="13.5" thickTop="1" thickBot="1">
      <c r="A49" s="315" t="s">
        <v>320</v>
      </c>
      <c r="B49" s="99" t="s">
        <v>291</v>
      </c>
      <c r="C49" s="296" t="s">
        <v>321</v>
      </c>
      <c r="D49" s="325"/>
      <c r="E49" s="100" t="s">
        <v>322</v>
      </c>
      <c r="F49" s="101" t="s">
        <v>323</v>
      </c>
      <c r="G49" s="101"/>
      <c r="H49" s="102" t="s">
        <v>319</v>
      </c>
      <c r="I49" s="315" t="s">
        <v>324</v>
      </c>
      <c r="J49" s="99" t="s">
        <v>291</v>
      </c>
      <c r="K49" s="296" t="s">
        <v>319</v>
      </c>
      <c r="L49" s="297"/>
      <c r="M49" s="103" t="s">
        <v>322</v>
      </c>
      <c r="N49" s="104" t="s">
        <v>323</v>
      </c>
      <c r="O49" s="105"/>
      <c r="P49" s="106" t="s">
        <v>321</v>
      </c>
      <c r="Q49" s="292" t="s">
        <v>325</v>
      </c>
      <c r="R49" s="293"/>
      <c r="S49" s="38"/>
      <c r="T49" s="38"/>
      <c r="U49" s="54"/>
      <c r="V49" s="54"/>
      <c r="W49" s="30"/>
      <c r="X49" s="30"/>
      <c r="Z49" s="71"/>
      <c r="AA49" s="71"/>
      <c r="AB49" s="71"/>
      <c r="AC49" s="71"/>
    </row>
    <row r="50" spans="1:29" s="31" customFormat="1" ht="13.5" thickTop="1" thickBot="1">
      <c r="A50" s="315"/>
      <c r="B50" s="34" t="s">
        <v>299</v>
      </c>
      <c r="C50" s="321">
        <f>SUMIF($N$5:$N$37,B50,$AC$5:$AC$37)/1000</f>
        <v>0.192</v>
      </c>
      <c r="D50" s="322"/>
      <c r="E50" s="191">
        <f>SUMIF($F$5:$F$37,B50,$AA$5:$AA$37)/1000</f>
        <v>0</v>
      </c>
      <c r="F50" s="192">
        <f>SUMIF($F$5:$F$37,B50,$AB$5:$AB$37)/1000</f>
        <v>14.117000000000001</v>
      </c>
      <c r="G50" s="192"/>
      <c r="H50" s="207">
        <f>+E50+F50</f>
        <v>14.117000000000001</v>
      </c>
      <c r="I50" s="315"/>
      <c r="J50" s="34" t="s">
        <v>299</v>
      </c>
      <c r="K50" s="298">
        <f>SUM(M50:N50)</f>
        <v>0</v>
      </c>
      <c r="L50" s="299"/>
      <c r="M50" s="111"/>
      <c r="N50" s="112"/>
      <c r="O50" s="59"/>
      <c r="P50" s="116"/>
      <c r="Q50" s="145">
        <f>+Q51+Q52</f>
        <v>40.626859999999994</v>
      </c>
      <c r="R50" s="144">
        <f>+FLOOR(SUM(SUMPRODUCT(E5:E37,G5:G37,R5:R37))/100000000000,1)/10</f>
        <v>416.9</v>
      </c>
      <c r="S50" s="38"/>
      <c r="T50" s="38"/>
      <c r="U50" s="54"/>
      <c r="V50" s="54"/>
      <c r="W50" s="30"/>
      <c r="X50" s="30"/>
      <c r="Z50" s="71"/>
      <c r="AA50" s="71"/>
      <c r="AB50" s="71"/>
      <c r="AC50" s="71"/>
    </row>
    <row r="51" spans="1:29" s="31" customFormat="1" ht="15.75" thickTop="1" thickBot="1">
      <c r="A51" s="315"/>
      <c r="B51" s="34" t="s">
        <v>301</v>
      </c>
      <c r="C51" s="321">
        <f>SUMIF($N$5:$N$37,B51,$AC$5:$AC$37)/1000</f>
        <v>0.88800000000000001</v>
      </c>
      <c r="D51" s="322"/>
      <c r="E51" s="191">
        <f>SUMIF($F$5:$F$37,B51,$AA$5:$AA$37)/1000</f>
        <v>1.53</v>
      </c>
      <c r="F51" s="192">
        <f>SUMIF($F$5:$F$37,B51,$AB$5:$AB$37)/1000</f>
        <v>12.274799999999999</v>
      </c>
      <c r="G51" s="192"/>
      <c r="H51" s="207">
        <f>+E51+F51</f>
        <v>13.804799999999998</v>
      </c>
      <c r="I51" s="315"/>
      <c r="J51" s="206" t="s">
        <v>301</v>
      </c>
      <c r="K51" s="298">
        <f>SUM(M51:N51)</f>
        <v>0</v>
      </c>
      <c r="L51" s="299"/>
      <c r="M51" s="111"/>
      <c r="N51" s="112"/>
      <c r="O51" s="59"/>
      <c r="P51" s="116"/>
      <c r="Q51" s="145">
        <f>+H53</f>
        <v>40.626859999999994</v>
      </c>
      <c r="R51" s="144">
        <f>+SUMPRODUCT(E5:E37,G5:G37,R5:R37)-R50*1000000000000-R52*1000000</f>
        <v>476.375</v>
      </c>
      <c r="S51" s="38"/>
      <c r="T51" s="38"/>
      <c r="U51" s="17"/>
      <c r="V51" s="17"/>
      <c r="W51" s="30"/>
      <c r="X51" s="30"/>
      <c r="Z51" s="71"/>
      <c r="AA51" s="71"/>
      <c r="AB51" s="71"/>
      <c r="AC51" s="71"/>
    </row>
    <row r="52" spans="1:29" s="31" customFormat="1" ht="15.75" thickTop="1" thickBot="1">
      <c r="A52" s="315"/>
      <c r="B52" s="34" t="s">
        <v>302</v>
      </c>
      <c r="C52" s="321">
        <f>SUMIF($N$5:$N$37,B52,$AC$5:$AC$37)/1000</f>
        <v>0.45</v>
      </c>
      <c r="D52" s="322"/>
      <c r="E52" s="191">
        <f>SUMIF($F$5:$F$37,B52,$AA$5:$AA$37)/1000</f>
        <v>8.8650599999999997</v>
      </c>
      <c r="F52" s="192">
        <f>SUMIF($F$5:$F$37,B52,$AB$5:$AB$37)/1000</f>
        <v>3.84</v>
      </c>
      <c r="G52" s="192"/>
      <c r="H52" s="207">
        <f>+E52+F52</f>
        <v>12.70506</v>
      </c>
      <c r="I52" s="315"/>
      <c r="J52" s="60" t="s">
        <v>302</v>
      </c>
      <c r="K52" s="298">
        <f>SUM(M52:N52)</f>
        <v>0</v>
      </c>
      <c r="L52" s="299"/>
      <c r="M52" s="111"/>
      <c r="N52" s="113"/>
      <c r="O52" s="61"/>
      <c r="P52" s="116"/>
      <c r="Q52" s="145">
        <f>SUMPRODUCT(E5:E37,T5:T37,Q5:Q37)/1000</f>
        <v>0</v>
      </c>
      <c r="R52" s="144">
        <f>+FLOOR(MOD(SUMPRODUCT(E5:E37,G5:G37,R5:R37),100000000000)/100000,1)/10</f>
        <v>440.8</v>
      </c>
      <c r="S52" s="38"/>
      <c r="T52" s="38"/>
      <c r="U52" s="17"/>
      <c r="V52" s="17"/>
      <c r="W52" s="30"/>
      <c r="X52" s="30"/>
      <c r="Z52" s="71"/>
      <c r="AA52" s="71"/>
      <c r="AB52" s="71"/>
      <c r="AC52" s="71"/>
    </row>
    <row r="53" spans="1:29" s="31" customFormat="1" ht="15.75" thickTop="1" thickBot="1">
      <c r="A53" s="320"/>
      <c r="B53" s="62" t="s">
        <v>319</v>
      </c>
      <c r="C53" s="323">
        <f>SUM(C50:C52)</f>
        <v>1.53</v>
      </c>
      <c r="D53" s="324"/>
      <c r="E53" s="149">
        <f>SUM(E50:E52)</f>
        <v>10.395059999999999</v>
      </c>
      <c r="F53" s="147">
        <f>SUM(F50:F52)</f>
        <v>30.2318</v>
      </c>
      <c r="G53" s="147"/>
      <c r="H53" s="148">
        <f>SUM(H50:H52)</f>
        <v>40.626859999999994</v>
      </c>
      <c r="I53" s="320"/>
      <c r="J53" s="63" t="s">
        <v>319</v>
      </c>
      <c r="K53" s="326">
        <f>+M53+N53</f>
        <v>0</v>
      </c>
      <c r="L53" s="327"/>
      <c r="M53" s="114">
        <f>SUM(M50:M52)</f>
        <v>0</v>
      </c>
      <c r="N53" s="115">
        <f>SUM(N50:N52)</f>
        <v>0</v>
      </c>
      <c r="O53" s="64">
        <f>SUM(O50:O52)</f>
        <v>0</v>
      </c>
      <c r="P53" s="117">
        <f>SUM(P50:P52)</f>
        <v>0</v>
      </c>
      <c r="Q53" s="145">
        <f>SUMPRODUCT(Q5:Q28,E5:E28)/1000</f>
        <v>40.626860000000001</v>
      </c>
      <c r="R53" s="144">
        <f>SUM(R50:R52)</f>
        <v>1334.075</v>
      </c>
      <c r="S53" s="38">
        <v>0</v>
      </c>
      <c r="T53" s="38"/>
      <c r="U53" s="17"/>
      <c r="V53" s="17"/>
      <c r="W53" s="30"/>
      <c r="X53" s="30"/>
      <c r="Z53" s="71"/>
      <c r="AA53" s="71"/>
      <c r="AB53" s="71"/>
      <c r="AC53" s="71"/>
    </row>
    <row r="54" spans="1:29" s="66" customFormat="1" ht="25.5">
      <c r="A54" s="319" t="s">
        <v>326</v>
      </c>
      <c r="B54" s="319"/>
      <c r="C54" s="319"/>
      <c r="D54" s="319"/>
      <c r="E54" s="319"/>
      <c r="F54" s="319"/>
      <c r="G54" s="319"/>
      <c r="H54" s="319"/>
      <c r="I54" s="319" t="s">
        <v>327</v>
      </c>
      <c r="J54" s="319"/>
      <c r="K54" s="319"/>
      <c r="L54" s="319"/>
      <c r="M54" s="319"/>
      <c r="N54" s="319"/>
      <c r="O54" s="319"/>
      <c r="P54" s="319"/>
      <c r="Q54" s="14"/>
      <c r="R54" s="15">
        <v>0</v>
      </c>
      <c r="S54" s="16"/>
      <c r="T54" s="16"/>
      <c r="U54" s="17"/>
      <c r="V54" s="17"/>
      <c r="W54" s="65"/>
      <c r="X54" s="65"/>
      <c r="Z54" s="69"/>
      <c r="AA54" s="69"/>
      <c r="AB54" s="69"/>
      <c r="AC54" s="69"/>
    </row>
    <row r="55" spans="1:29" s="66" customFormat="1">
      <c r="A55" s="67"/>
      <c r="B55" s="67"/>
      <c r="C55" s="67"/>
      <c r="D55" s="67"/>
      <c r="E55" s="67"/>
      <c r="F55" s="77"/>
      <c r="G55" s="68"/>
      <c r="H55" s="67"/>
      <c r="I55" s="67"/>
      <c r="J55" s="69"/>
      <c r="K55" s="69"/>
      <c r="L55" s="69"/>
      <c r="M55" s="69"/>
      <c r="N55" s="67"/>
      <c r="O55" s="70"/>
      <c r="P55" s="69"/>
      <c r="Q55" s="14">
        <v>0</v>
      </c>
      <c r="R55" s="15">
        <v>0</v>
      </c>
      <c r="S55" s="16"/>
      <c r="T55" s="16"/>
      <c r="U55" s="17"/>
      <c r="V55" s="17"/>
      <c r="W55" s="65"/>
      <c r="X55" s="65"/>
      <c r="Z55" s="69"/>
      <c r="AA55" s="69"/>
      <c r="AB55" s="69"/>
      <c r="AC55" s="69"/>
    </row>
    <row r="56" spans="1:29" s="66" customFormat="1">
      <c r="A56" s="67"/>
      <c r="B56" s="67"/>
      <c r="C56" s="67"/>
      <c r="D56" s="67"/>
      <c r="E56" s="67"/>
      <c r="F56" s="69"/>
      <c r="G56" s="68"/>
      <c r="H56" s="67"/>
      <c r="I56" s="67"/>
      <c r="J56" s="69"/>
      <c r="K56" s="69"/>
      <c r="L56" s="69"/>
      <c r="M56" s="71"/>
      <c r="N56" s="72"/>
      <c r="O56" s="70"/>
      <c r="P56" s="69"/>
      <c r="Q56" s="14">
        <v>0</v>
      </c>
      <c r="R56" s="15"/>
      <c r="S56" s="16"/>
      <c r="T56" s="16"/>
      <c r="U56" s="17"/>
      <c r="V56" s="17"/>
      <c r="W56" s="65"/>
      <c r="X56" s="65"/>
      <c r="Z56" s="69"/>
      <c r="AA56" s="69"/>
      <c r="AB56" s="69"/>
      <c r="AC56" s="69"/>
    </row>
    <row r="57" spans="1:29" s="66" customFormat="1">
      <c r="A57" s="67"/>
      <c r="B57" s="67"/>
      <c r="C57" s="67"/>
      <c r="D57" s="67"/>
      <c r="E57" s="67"/>
      <c r="F57" s="67"/>
      <c r="G57" s="68"/>
      <c r="H57" s="67"/>
      <c r="I57" s="69"/>
      <c r="J57" s="73"/>
      <c r="K57" s="73"/>
      <c r="L57" s="73"/>
      <c r="M57" s="69"/>
      <c r="N57" s="67"/>
      <c r="O57" s="70"/>
      <c r="P57" s="69"/>
      <c r="Q57" s="14"/>
      <c r="R57" s="15"/>
      <c r="S57" s="16"/>
      <c r="T57" s="16"/>
      <c r="U57" s="17"/>
      <c r="V57" s="17"/>
      <c r="W57" s="65"/>
      <c r="X57" s="65"/>
      <c r="Z57" s="69"/>
      <c r="AA57" s="69"/>
      <c r="AB57" s="69"/>
      <c r="AC57" s="69"/>
    </row>
    <row r="58" spans="1:29" s="66" customFormat="1">
      <c r="A58" s="67"/>
      <c r="B58" s="67"/>
      <c r="C58" s="67"/>
      <c r="D58" s="67"/>
      <c r="E58" s="67"/>
      <c r="F58" s="67"/>
      <c r="G58" s="68"/>
      <c r="H58" s="67"/>
      <c r="I58" s="67"/>
      <c r="J58" s="69"/>
      <c r="K58" s="69"/>
      <c r="L58" s="69"/>
      <c r="M58" s="69"/>
      <c r="N58" s="67"/>
      <c r="O58" s="70"/>
      <c r="P58" s="69"/>
      <c r="Q58" s="14"/>
      <c r="R58" s="15"/>
      <c r="S58" s="16"/>
      <c r="T58" s="16"/>
      <c r="U58" s="17"/>
      <c r="V58" s="17"/>
      <c r="W58" s="65"/>
      <c r="X58" s="65"/>
      <c r="Z58" s="69"/>
      <c r="AA58" s="69"/>
      <c r="AB58" s="69"/>
      <c r="AC58" s="69"/>
    </row>
    <row r="59" spans="1:29" s="66" customFormat="1">
      <c r="A59" s="67"/>
      <c r="B59" s="67"/>
      <c r="C59" s="67"/>
      <c r="D59" s="67"/>
      <c r="E59" s="67"/>
      <c r="F59" s="67"/>
      <c r="G59" s="68"/>
      <c r="H59" s="67"/>
      <c r="I59" s="67"/>
      <c r="J59" s="69"/>
      <c r="K59" s="69"/>
      <c r="L59" s="69"/>
      <c r="M59" s="69"/>
      <c r="N59" s="67"/>
      <c r="O59" s="70"/>
      <c r="P59" s="69"/>
      <c r="Q59" s="14"/>
      <c r="R59" s="15"/>
      <c r="S59" s="16"/>
      <c r="T59" s="16"/>
      <c r="U59" s="17"/>
      <c r="V59" s="17"/>
      <c r="W59" s="65"/>
      <c r="X59" s="65"/>
      <c r="Z59" s="69"/>
      <c r="AA59" s="69"/>
      <c r="AB59" s="69"/>
      <c r="AC59" s="69"/>
    </row>
    <row r="60" spans="1:29" s="66" customFormat="1">
      <c r="A60" s="67"/>
      <c r="B60" s="67"/>
      <c r="C60" s="67"/>
      <c r="D60" s="67"/>
      <c r="E60" s="67"/>
      <c r="F60" s="67"/>
      <c r="G60" s="68"/>
      <c r="H60" s="67"/>
      <c r="I60" s="67"/>
      <c r="J60" s="69"/>
      <c r="K60" s="69"/>
      <c r="L60" s="69"/>
      <c r="M60" s="69"/>
      <c r="N60" s="67"/>
      <c r="O60" s="70"/>
      <c r="P60" s="69"/>
      <c r="Q60" s="14"/>
      <c r="R60" s="15"/>
      <c r="S60" s="16"/>
      <c r="T60" s="16"/>
      <c r="U60" s="17"/>
      <c r="V60" s="17"/>
      <c r="W60" s="65"/>
      <c r="X60" s="65"/>
      <c r="Z60" s="69"/>
      <c r="AA60" s="69"/>
      <c r="AB60" s="69"/>
      <c r="AC60" s="69"/>
    </row>
    <row r="61" spans="1:29" s="66" customFormat="1">
      <c r="A61" s="67"/>
      <c r="B61" s="67"/>
      <c r="C61" s="67"/>
      <c r="D61" s="67"/>
      <c r="E61" s="67"/>
      <c r="F61" s="67"/>
      <c r="G61" s="68"/>
      <c r="H61" s="67"/>
      <c r="I61" s="67"/>
      <c r="J61" s="69"/>
      <c r="K61" s="69"/>
      <c r="L61" s="69"/>
      <c r="M61" s="69"/>
      <c r="N61" s="67"/>
      <c r="O61" s="70"/>
      <c r="P61" s="69"/>
      <c r="Q61" s="14"/>
      <c r="R61" s="15"/>
      <c r="S61" s="16"/>
      <c r="T61" s="16"/>
      <c r="U61" s="17"/>
      <c r="V61" s="17"/>
      <c r="W61" s="65"/>
      <c r="X61" s="65"/>
      <c r="Z61" s="69"/>
      <c r="AA61" s="69"/>
      <c r="AB61" s="69"/>
      <c r="AC61" s="69"/>
    </row>
    <row r="62" spans="1:29" s="66" customFormat="1">
      <c r="A62" s="67"/>
      <c r="B62" s="67"/>
      <c r="C62" s="67"/>
      <c r="D62" s="67"/>
      <c r="E62" s="67"/>
      <c r="F62" s="67"/>
      <c r="G62" s="68"/>
      <c r="H62" s="67"/>
      <c r="I62" s="67"/>
      <c r="J62" s="69"/>
      <c r="K62" s="69"/>
      <c r="L62" s="69"/>
      <c r="M62" s="69"/>
      <c r="N62" s="67"/>
      <c r="O62" s="70"/>
      <c r="P62" s="69"/>
      <c r="Q62" s="14"/>
      <c r="R62" s="15"/>
      <c r="S62" s="16"/>
      <c r="T62" s="16"/>
      <c r="U62" s="17"/>
      <c r="V62" s="17"/>
      <c r="W62" s="65"/>
      <c r="X62" s="65"/>
      <c r="Z62" s="69"/>
      <c r="AA62" s="69"/>
      <c r="AB62" s="69"/>
      <c r="AC62" s="69"/>
    </row>
    <row r="63" spans="1:29" s="66" customFormat="1">
      <c r="A63" s="67"/>
      <c r="B63" s="67"/>
      <c r="C63" s="67"/>
      <c r="D63" s="67"/>
      <c r="E63" s="67"/>
      <c r="F63" s="67"/>
      <c r="G63" s="68"/>
      <c r="H63" s="67"/>
      <c r="I63" s="67"/>
      <c r="J63" s="69"/>
      <c r="K63" s="69"/>
      <c r="L63" s="69"/>
      <c r="M63" s="69"/>
      <c r="N63" s="67"/>
      <c r="O63" s="70"/>
      <c r="P63" s="69"/>
      <c r="Q63" s="14"/>
      <c r="R63" s="15"/>
      <c r="S63" s="16"/>
      <c r="T63" s="16"/>
      <c r="U63" s="17"/>
      <c r="V63" s="17"/>
      <c r="W63" s="65"/>
      <c r="X63" s="65"/>
      <c r="Z63" s="69"/>
      <c r="AA63" s="69"/>
      <c r="AB63" s="69"/>
      <c r="AC63" s="69"/>
    </row>
    <row r="64" spans="1:29" s="66" customFormat="1">
      <c r="A64" s="67"/>
      <c r="B64" s="67"/>
      <c r="C64" s="67"/>
      <c r="D64" s="67"/>
      <c r="E64" s="67"/>
      <c r="F64" s="67"/>
      <c r="G64" s="68"/>
      <c r="H64" s="67"/>
      <c r="I64" s="67"/>
      <c r="J64" s="69"/>
      <c r="K64" s="69"/>
      <c r="L64" s="69"/>
      <c r="M64" s="69"/>
      <c r="N64" s="67"/>
      <c r="O64" s="70"/>
      <c r="P64" s="69"/>
      <c r="Q64" s="14"/>
      <c r="R64" s="15"/>
      <c r="S64" s="16"/>
      <c r="T64" s="16"/>
      <c r="U64" s="17"/>
      <c r="V64" s="17"/>
      <c r="W64" s="65"/>
      <c r="X64" s="65"/>
      <c r="Z64" s="69"/>
      <c r="AA64" s="69"/>
      <c r="AB64" s="69"/>
      <c r="AC64" s="69"/>
    </row>
    <row r="65" spans="1:29" s="66" customFormat="1">
      <c r="A65" s="67"/>
      <c r="B65" s="67"/>
      <c r="C65" s="67"/>
      <c r="D65" s="67"/>
      <c r="E65" s="67"/>
      <c r="F65" s="67"/>
      <c r="G65" s="68"/>
      <c r="H65" s="67"/>
      <c r="I65" s="67"/>
      <c r="J65" s="69"/>
      <c r="K65" s="69"/>
      <c r="L65" s="69"/>
      <c r="M65" s="69"/>
      <c r="N65" s="67"/>
      <c r="O65" s="70"/>
      <c r="P65" s="69"/>
      <c r="Q65" s="14"/>
      <c r="R65" s="15"/>
      <c r="S65" s="16"/>
      <c r="T65" s="16"/>
      <c r="U65" s="17"/>
      <c r="V65" s="17"/>
      <c r="W65" s="65"/>
      <c r="X65" s="65"/>
      <c r="Z65" s="69"/>
      <c r="AA65" s="69"/>
      <c r="AB65" s="69"/>
      <c r="AC65" s="69"/>
    </row>
    <row r="66" spans="1:29" s="66" customFormat="1">
      <c r="A66" s="67"/>
      <c r="B66" s="67"/>
      <c r="C66" s="67"/>
      <c r="D66" s="67"/>
      <c r="E66" s="67"/>
      <c r="F66" s="67"/>
      <c r="G66" s="68"/>
      <c r="H66" s="67"/>
      <c r="I66" s="67"/>
      <c r="J66" s="69"/>
      <c r="K66" s="69"/>
      <c r="L66" s="69"/>
      <c r="M66" s="69"/>
      <c r="N66" s="67"/>
      <c r="O66" s="70"/>
      <c r="P66" s="69"/>
      <c r="Q66" s="14"/>
      <c r="R66" s="15"/>
      <c r="S66" s="16"/>
      <c r="T66" s="16"/>
      <c r="U66" s="17"/>
      <c r="V66" s="17"/>
      <c r="W66" s="65"/>
      <c r="X66" s="65"/>
      <c r="Z66" s="69"/>
      <c r="AA66" s="69"/>
      <c r="AB66" s="69"/>
      <c r="AC66" s="69"/>
    </row>
    <row r="67" spans="1:29" s="66" customFormat="1">
      <c r="A67" s="67"/>
      <c r="B67" s="67"/>
      <c r="C67" s="67"/>
      <c r="D67" s="67"/>
      <c r="E67" s="67"/>
      <c r="F67" s="67"/>
      <c r="G67" s="68"/>
      <c r="H67" s="67"/>
      <c r="I67" s="67"/>
      <c r="J67" s="69"/>
      <c r="K67" s="69"/>
      <c r="L67" s="69"/>
      <c r="M67" s="69"/>
      <c r="N67" s="67"/>
      <c r="O67" s="70"/>
      <c r="P67" s="69"/>
      <c r="Q67" s="14"/>
      <c r="R67" s="15"/>
      <c r="S67" s="16"/>
      <c r="T67" s="16"/>
      <c r="U67" s="17"/>
      <c r="V67" s="17"/>
      <c r="W67" s="65"/>
      <c r="X67" s="65"/>
      <c r="Z67" s="69"/>
      <c r="AA67" s="69"/>
      <c r="AB67" s="69"/>
      <c r="AC67" s="69"/>
    </row>
    <row r="68" spans="1:29" s="66" customFormat="1">
      <c r="A68" s="67"/>
      <c r="B68" s="67"/>
      <c r="C68" s="67"/>
      <c r="D68" s="67"/>
      <c r="E68" s="67"/>
      <c r="F68" s="67"/>
      <c r="G68" s="68"/>
      <c r="H68" s="67"/>
      <c r="I68" s="67"/>
      <c r="J68" s="69"/>
      <c r="K68" s="69"/>
      <c r="L68" s="69"/>
      <c r="M68" s="69"/>
      <c r="N68" s="67"/>
      <c r="O68" s="70"/>
      <c r="P68" s="69"/>
      <c r="Q68" s="14"/>
      <c r="R68" s="15"/>
      <c r="S68" s="16"/>
      <c r="T68" s="16"/>
      <c r="U68" s="17"/>
      <c r="V68" s="17"/>
      <c r="W68" s="65"/>
      <c r="X68" s="65"/>
      <c r="Z68" s="69"/>
      <c r="AA68" s="69"/>
      <c r="AB68" s="69"/>
      <c r="AC68" s="69"/>
    </row>
    <row r="69" spans="1:29" s="66" customFormat="1">
      <c r="A69" s="67"/>
      <c r="B69" s="67"/>
      <c r="C69" s="67"/>
      <c r="D69" s="67"/>
      <c r="E69" s="67"/>
      <c r="F69" s="67"/>
      <c r="G69" s="68"/>
      <c r="H69" s="67"/>
      <c r="I69" s="67"/>
      <c r="J69" s="69"/>
      <c r="K69" s="69"/>
      <c r="L69" s="69"/>
      <c r="M69" s="69"/>
      <c r="N69" s="67"/>
      <c r="O69" s="70"/>
      <c r="P69" s="69"/>
      <c r="Q69" s="14"/>
      <c r="R69" s="15"/>
      <c r="S69" s="16"/>
      <c r="T69" s="16"/>
      <c r="U69" s="17"/>
      <c r="V69" s="17"/>
      <c r="W69" s="65"/>
      <c r="X69" s="65"/>
      <c r="Z69" s="69"/>
      <c r="AA69" s="69"/>
      <c r="AB69" s="69"/>
      <c r="AC69" s="69"/>
    </row>
    <row r="70" spans="1:29" s="66" customFormat="1">
      <c r="A70" s="67"/>
      <c r="B70" s="67"/>
      <c r="C70" s="67"/>
      <c r="D70" s="67"/>
      <c r="E70" s="67"/>
      <c r="F70" s="67"/>
      <c r="G70" s="68"/>
      <c r="H70" s="67"/>
      <c r="I70" s="67"/>
      <c r="J70" s="69"/>
      <c r="K70" s="69"/>
      <c r="L70" s="69"/>
      <c r="M70" s="69"/>
      <c r="N70" s="67"/>
      <c r="O70" s="70"/>
      <c r="P70" s="69"/>
      <c r="Q70" s="14"/>
      <c r="R70" s="15"/>
      <c r="S70" s="16"/>
      <c r="T70" s="16"/>
      <c r="U70" s="17"/>
      <c r="V70" s="17"/>
      <c r="W70" s="65"/>
      <c r="X70" s="65"/>
      <c r="Z70" s="69"/>
      <c r="AA70" s="69"/>
      <c r="AB70" s="69"/>
      <c r="AC70" s="69"/>
    </row>
    <row r="71" spans="1:29" s="66" customFormat="1">
      <c r="A71" s="67"/>
      <c r="B71" s="67"/>
      <c r="C71" s="67"/>
      <c r="D71" s="67"/>
      <c r="E71" s="67"/>
      <c r="F71" s="67"/>
      <c r="G71" s="68"/>
      <c r="H71" s="67"/>
      <c r="I71" s="67"/>
      <c r="J71" s="69"/>
      <c r="K71" s="69"/>
      <c r="L71" s="69"/>
      <c r="M71" s="69"/>
      <c r="N71" s="67"/>
      <c r="O71" s="70"/>
      <c r="P71" s="69"/>
      <c r="Q71" s="14"/>
      <c r="R71" s="15"/>
      <c r="S71" s="16"/>
      <c r="T71" s="16"/>
      <c r="U71" s="17"/>
      <c r="V71" s="17"/>
      <c r="W71" s="65"/>
      <c r="X71" s="65"/>
      <c r="Z71" s="69"/>
      <c r="AA71" s="69"/>
      <c r="AB71" s="69"/>
      <c r="AC71" s="69"/>
    </row>
    <row r="72" spans="1:29" s="66" customFormat="1">
      <c r="A72" s="67"/>
      <c r="B72" s="67"/>
      <c r="C72" s="67"/>
      <c r="D72" s="67"/>
      <c r="E72" s="67"/>
      <c r="F72" s="67"/>
      <c r="G72" s="68"/>
      <c r="H72" s="67"/>
      <c r="I72" s="67"/>
      <c r="J72" s="69"/>
      <c r="K72" s="69"/>
      <c r="L72" s="69"/>
      <c r="M72" s="69"/>
      <c r="N72" s="67"/>
      <c r="O72" s="70"/>
      <c r="P72" s="69"/>
      <c r="Q72" s="14"/>
      <c r="R72" s="15"/>
      <c r="S72" s="16"/>
      <c r="T72" s="16"/>
      <c r="U72" s="17"/>
      <c r="V72" s="17"/>
      <c r="W72" s="65"/>
      <c r="X72" s="65"/>
      <c r="Z72" s="69"/>
      <c r="AA72" s="69"/>
      <c r="AB72" s="69"/>
      <c r="AC72" s="69"/>
    </row>
    <row r="73" spans="1:29" s="66" customFormat="1">
      <c r="A73" s="67"/>
      <c r="B73" s="67"/>
      <c r="C73" s="67"/>
      <c r="D73" s="67"/>
      <c r="E73" s="67"/>
      <c r="F73" s="67"/>
      <c r="G73" s="68"/>
      <c r="H73" s="67"/>
      <c r="I73" s="67"/>
      <c r="J73" s="69"/>
      <c r="K73" s="69"/>
      <c r="L73" s="69"/>
      <c r="M73" s="69"/>
      <c r="N73" s="67"/>
      <c r="O73" s="70"/>
      <c r="P73" s="69"/>
      <c r="Q73" s="14"/>
      <c r="R73" s="15"/>
      <c r="S73" s="16"/>
      <c r="T73" s="16"/>
      <c r="U73" s="17"/>
      <c r="V73" s="17"/>
      <c r="W73" s="65"/>
      <c r="X73" s="65"/>
      <c r="Z73" s="69"/>
      <c r="AA73" s="69"/>
      <c r="AB73" s="69"/>
      <c r="AC73" s="69"/>
    </row>
    <row r="74" spans="1:29" s="66" customFormat="1">
      <c r="A74" s="67"/>
      <c r="B74" s="67"/>
      <c r="C74" s="67"/>
      <c r="D74" s="67"/>
      <c r="E74" s="67"/>
      <c r="F74" s="67"/>
      <c r="G74" s="68"/>
      <c r="H74" s="67"/>
      <c r="I74" s="67"/>
      <c r="J74" s="69"/>
      <c r="K74" s="69"/>
      <c r="L74" s="69"/>
      <c r="M74" s="69"/>
      <c r="N74" s="67"/>
      <c r="O74" s="70"/>
      <c r="P74" s="69"/>
      <c r="Q74" s="14"/>
      <c r="R74" s="15"/>
      <c r="S74" s="16"/>
      <c r="T74" s="16"/>
      <c r="U74" s="17"/>
      <c r="V74" s="17"/>
      <c r="W74" s="65"/>
      <c r="X74" s="65"/>
      <c r="Z74" s="69"/>
      <c r="AA74" s="69"/>
      <c r="AB74" s="69"/>
      <c r="AC74" s="69"/>
    </row>
    <row r="75" spans="1:29" s="66" customFormat="1">
      <c r="A75" s="67"/>
      <c r="B75" s="67"/>
      <c r="C75" s="67"/>
      <c r="D75" s="67"/>
      <c r="E75" s="67"/>
      <c r="F75" s="67"/>
      <c r="G75" s="68"/>
      <c r="H75" s="67"/>
      <c r="I75" s="67"/>
      <c r="J75" s="69"/>
      <c r="K75" s="69"/>
      <c r="L75" s="69"/>
      <c r="M75" s="69"/>
      <c r="N75" s="67"/>
      <c r="O75" s="70"/>
      <c r="P75" s="69"/>
      <c r="Q75" s="14"/>
      <c r="R75" s="15"/>
      <c r="S75" s="16"/>
      <c r="T75" s="16"/>
      <c r="U75" s="17"/>
      <c r="V75" s="17"/>
      <c r="W75" s="65"/>
      <c r="X75" s="65"/>
      <c r="Z75" s="69"/>
      <c r="AA75" s="69"/>
      <c r="AB75" s="69"/>
      <c r="AC75" s="69"/>
    </row>
    <row r="76" spans="1:29" s="66" customFormat="1">
      <c r="A76" s="67"/>
      <c r="B76" s="67"/>
      <c r="C76" s="67"/>
      <c r="D76" s="67"/>
      <c r="E76" s="67"/>
      <c r="F76" s="67"/>
      <c r="G76" s="68"/>
      <c r="H76" s="67"/>
      <c r="I76" s="67"/>
      <c r="J76" s="69"/>
      <c r="K76" s="69"/>
      <c r="L76" s="69"/>
      <c r="M76" s="69"/>
      <c r="N76" s="67"/>
      <c r="O76" s="70"/>
      <c r="P76" s="69"/>
      <c r="Q76" s="14"/>
      <c r="R76" s="15"/>
      <c r="S76" s="16"/>
      <c r="T76" s="16"/>
      <c r="U76" s="17"/>
      <c r="V76" s="17"/>
      <c r="W76" s="65"/>
      <c r="X76" s="65"/>
      <c r="Z76" s="69"/>
      <c r="AA76" s="69"/>
      <c r="AB76" s="69"/>
      <c r="AC76" s="69"/>
    </row>
    <row r="77" spans="1:29" s="66" customFormat="1">
      <c r="A77" s="67"/>
      <c r="B77" s="67"/>
      <c r="C77" s="67"/>
      <c r="D77" s="67"/>
      <c r="E77" s="67"/>
      <c r="F77" s="67"/>
      <c r="G77" s="68"/>
      <c r="H77" s="67"/>
      <c r="I77" s="67"/>
      <c r="J77" s="69"/>
      <c r="K77" s="69"/>
      <c r="L77" s="69"/>
      <c r="M77" s="69"/>
      <c r="N77" s="67"/>
      <c r="O77" s="70"/>
      <c r="P77" s="69"/>
      <c r="Q77" s="14"/>
      <c r="R77" s="15"/>
      <c r="S77" s="16"/>
      <c r="T77" s="16"/>
      <c r="U77" s="17"/>
      <c r="V77" s="17"/>
      <c r="W77" s="65"/>
      <c r="X77" s="65"/>
      <c r="Z77" s="69"/>
      <c r="AA77" s="69"/>
      <c r="AB77" s="69"/>
      <c r="AC77" s="69"/>
    </row>
    <row r="78" spans="1:29" s="66" customFormat="1">
      <c r="A78" s="67"/>
      <c r="B78" s="67"/>
      <c r="C78" s="67"/>
      <c r="D78" s="67"/>
      <c r="E78" s="67"/>
      <c r="F78" s="67"/>
      <c r="G78" s="68"/>
      <c r="H78" s="67"/>
      <c r="I78" s="67"/>
      <c r="J78" s="69"/>
      <c r="K78" s="69"/>
      <c r="L78" s="69"/>
      <c r="M78" s="69"/>
      <c r="N78" s="67"/>
      <c r="O78" s="70"/>
      <c r="P78" s="69"/>
      <c r="Q78" s="14"/>
      <c r="R78" s="15"/>
      <c r="S78" s="16"/>
      <c r="T78" s="16"/>
      <c r="U78" s="17"/>
      <c r="V78" s="17"/>
      <c r="W78" s="65"/>
      <c r="X78" s="65"/>
      <c r="Z78" s="69"/>
      <c r="AA78" s="69"/>
      <c r="AB78" s="69"/>
      <c r="AC78" s="69"/>
    </row>
    <row r="79" spans="1:29" s="66" customFormat="1">
      <c r="A79" s="67"/>
      <c r="B79" s="67"/>
      <c r="C79" s="67"/>
      <c r="D79" s="67"/>
      <c r="E79" s="67"/>
      <c r="F79" s="67"/>
      <c r="G79" s="68"/>
      <c r="H79" s="67"/>
      <c r="I79" s="67"/>
      <c r="J79" s="69"/>
      <c r="K79" s="69"/>
      <c r="L79" s="69"/>
      <c r="M79" s="69"/>
      <c r="N79" s="67"/>
      <c r="O79" s="70"/>
      <c r="P79" s="69"/>
      <c r="Q79" s="14"/>
      <c r="R79" s="15"/>
      <c r="S79" s="16"/>
      <c r="T79" s="16"/>
      <c r="U79" s="17"/>
      <c r="V79" s="17"/>
      <c r="W79" s="65"/>
      <c r="X79" s="65"/>
      <c r="Z79" s="69"/>
      <c r="AA79" s="69"/>
      <c r="AB79" s="69"/>
      <c r="AC79" s="69"/>
    </row>
    <row r="80" spans="1:29" s="66" customFormat="1">
      <c r="A80" s="67"/>
      <c r="B80" s="67"/>
      <c r="C80" s="67"/>
      <c r="D80" s="67"/>
      <c r="E80" s="67"/>
      <c r="F80" s="67"/>
      <c r="G80" s="68"/>
      <c r="H80" s="67"/>
      <c r="I80" s="67"/>
      <c r="J80" s="69"/>
      <c r="K80" s="69"/>
      <c r="L80" s="69"/>
      <c r="M80" s="69"/>
      <c r="N80" s="67"/>
      <c r="O80" s="70"/>
      <c r="P80" s="69"/>
      <c r="Q80" s="14"/>
      <c r="R80" s="15"/>
      <c r="S80" s="16"/>
      <c r="T80" s="16"/>
      <c r="U80" s="17"/>
      <c r="V80" s="17"/>
      <c r="W80" s="65"/>
      <c r="X80" s="65"/>
      <c r="Z80" s="69"/>
      <c r="AA80" s="69"/>
      <c r="AB80" s="69"/>
      <c r="AC80" s="69"/>
    </row>
    <row r="81" spans="1:29" s="66" customFormat="1">
      <c r="A81" s="67"/>
      <c r="B81" s="67"/>
      <c r="C81" s="67"/>
      <c r="D81" s="67"/>
      <c r="E81" s="67"/>
      <c r="F81" s="67"/>
      <c r="G81" s="68"/>
      <c r="H81" s="67"/>
      <c r="I81" s="67"/>
      <c r="J81" s="69"/>
      <c r="K81" s="69"/>
      <c r="L81" s="69"/>
      <c r="M81" s="69"/>
      <c r="N81" s="67"/>
      <c r="O81" s="70"/>
      <c r="P81" s="69"/>
      <c r="Q81" s="14"/>
      <c r="R81" s="15"/>
      <c r="S81" s="16"/>
      <c r="T81" s="16"/>
      <c r="U81" s="17"/>
      <c r="V81" s="17"/>
      <c r="W81" s="65"/>
      <c r="X81" s="65"/>
      <c r="Z81" s="69"/>
      <c r="AA81" s="69"/>
      <c r="AB81" s="69"/>
      <c r="AC81" s="69"/>
    </row>
    <row r="82" spans="1:29" s="66" customFormat="1">
      <c r="A82" s="67"/>
      <c r="B82" s="67"/>
      <c r="C82" s="67"/>
      <c r="D82" s="67"/>
      <c r="E82" s="67"/>
      <c r="F82" s="67"/>
      <c r="G82" s="68"/>
      <c r="H82" s="67"/>
      <c r="I82" s="67"/>
      <c r="J82" s="69"/>
      <c r="K82" s="69"/>
      <c r="L82" s="69"/>
      <c r="M82" s="69"/>
      <c r="N82" s="67"/>
      <c r="O82" s="70"/>
      <c r="P82" s="69"/>
      <c r="Q82" s="14"/>
      <c r="R82" s="15"/>
      <c r="S82" s="16"/>
      <c r="T82" s="16"/>
      <c r="U82" s="17"/>
      <c r="V82" s="17"/>
      <c r="W82" s="65"/>
      <c r="X82" s="65"/>
      <c r="Z82" s="69"/>
      <c r="AA82" s="69"/>
      <c r="AB82" s="69"/>
      <c r="AC82" s="69"/>
    </row>
    <row r="83" spans="1:29" s="66" customFormat="1">
      <c r="A83" s="67"/>
      <c r="B83" s="67"/>
      <c r="C83" s="67"/>
      <c r="D83" s="67"/>
      <c r="E83" s="67"/>
      <c r="F83" s="67"/>
      <c r="G83" s="68"/>
      <c r="H83" s="67"/>
      <c r="I83" s="67"/>
      <c r="J83" s="69"/>
      <c r="K83" s="69"/>
      <c r="L83" s="69"/>
      <c r="M83" s="69"/>
      <c r="N83" s="67"/>
      <c r="O83" s="70"/>
      <c r="P83" s="69"/>
      <c r="Q83" s="14"/>
      <c r="R83" s="15"/>
      <c r="S83" s="16"/>
      <c r="T83" s="16"/>
      <c r="U83" s="17"/>
      <c r="V83" s="17"/>
      <c r="W83" s="65"/>
      <c r="X83" s="65"/>
      <c r="Z83" s="69"/>
      <c r="AA83" s="69"/>
      <c r="AB83" s="69"/>
      <c r="AC83" s="69"/>
    </row>
    <row r="84" spans="1:29" s="66" customFormat="1">
      <c r="A84" s="67"/>
      <c r="B84" s="67"/>
      <c r="C84" s="67"/>
      <c r="D84" s="67"/>
      <c r="E84" s="67"/>
      <c r="F84" s="67"/>
      <c r="G84" s="68"/>
      <c r="H84" s="67"/>
      <c r="I84" s="67"/>
      <c r="J84" s="69"/>
      <c r="K84" s="69"/>
      <c r="L84" s="69"/>
      <c r="M84" s="69"/>
      <c r="N84" s="67"/>
      <c r="O84" s="70"/>
      <c r="P84" s="69"/>
      <c r="Q84" s="14"/>
      <c r="R84" s="15"/>
      <c r="S84" s="16"/>
      <c r="T84" s="16"/>
      <c r="U84" s="17"/>
      <c r="V84" s="17"/>
      <c r="W84" s="65"/>
      <c r="X84" s="65"/>
      <c r="Z84" s="69"/>
      <c r="AA84" s="69"/>
      <c r="AB84" s="69"/>
      <c r="AC84" s="69"/>
    </row>
    <row r="85" spans="1:29" s="66" customFormat="1">
      <c r="A85" s="67"/>
      <c r="B85" s="67"/>
      <c r="C85" s="67"/>
      <c r="D85" s="67"/>
      <c r="E85" s="67"/>
      <c r="F85" s="67"/>
      <c r="G85" s="68"/>
      <c r="H85" s="67"/>
      <c r="I85" s="67"/>
      <c r="J85" s="69"/>
      <c r="K85" s="69"/>
      <c r="L85" s="69"/>
      <c r="M85" s="69"/>
      <c r="N85" s="67"/>
      <c r="O85" s="70"/>
      <c r="P85" s="69"/>
      <c r="Q85" s="14"/>
      <c r="R85" s="15"/>
      <c r="S85" s="16"/>
      <c r="T85" s="16"/>
      <c r="U85" s="17"/>
      <c r="V85" s="17"/>
      <c r="W85" s="65"/>
      <c r="X85" s="65"/>
      <c r="Z85" s="69"/>
      <c r="AA85" s="69"/>
      <c r="AB85" s="69"/>
      <c r="AC85" s="69"/>
    </row>
    <row r="86" spans="1:29" s="66" customFormat="1">
      <c r="A86" s="67"/>
      <c r="B86" s="67"/>
      <c r="C86" s="67"/>
      <c r="D86" s="67"/>
      <c r="E86" s="67"/>
      <c r="F86" s="67"/>
      <c r="G86" s="68"/>
      <c r="H86" s="67"/>
      <c r="I86" s="67"/>
      <c r="J86" s="69"/>
      <c r="K86" s="69"/>
      <c r="L86" s="69"/>
      <c r="M86" s="69"/>
      <c r="N86" s="67"/>
      <c r="O86" s="70"/>
      <c r="P86" s="69"/>
      <c r="Q86" s="14"/>
      <c r="R86" s="15"/>
      <c r="S86" s="16"/>
      <c r="T86" s="16"/>
      <c r="U86" s="17"/>
      <c r="V86" s="17"/>
      <c r="W86" s="65"/>
      <c r="X86" s="65"/>
      <c r="Z86" s="69"/>
      <c r="AA86" s="69"/>
      <c r="AB86" s="69"/>
      <c r="AC86" s="69"/>
    </row>
    <row r="87" spans="1:29" s="66" customFormat="1">
      <c r="A87" s="67"/>
      <c r="B87" s="67"/>
      <c r="C87" s="67"/>
      <c r="D87" s="67"/>
      <c r="E87" s="67"/>
      <c r="F87" s="67"/>
      <c r="G87" s="68"/>
      <c r="H87" s="67"/>
      <c r="I87" s="67"/>
      <c r="J87" s="69"/>
      <c r="K87" s="69"/>
      <c r="L87" s="69"/>
      <c r="M87" s="69"/>
      <c r="N87" s="67"/>
      <c r="O87" s="70"/>
      <c r="P87" s="69"/>
      <c r="Q87" s="14"/>
      <c r="R87" s="15"/>
      <c r="S87" s="16"/>
      <c r="T87" s="16"/>
      <c r="U87" s="17"/>
      <c r="V87" s="17"/>
      <c r="W87" s="65"/>
      <c r="X87" s="65"/>
      <c r="Z87" s="69"/>
      <c r="AA87" s="69"/>
      <c r="AB87" s="69"/>
      <c r="AC87" s="69"/>
    </row>
    <row r="88" spans="1:29" s="66" customFormat="1">
      <c r="A88" s="67"/>
      <c r="B88" s="67"/>
      <c r="C88" s="67"/>
      <c r="D88" s="67"/>
      <c r="E88" s="67"/>
      <c r="F88" s="67"/>
      <c r="G88" s="68"/>
      <c r="H88" s="67"/>
      <c r="I88" s="67"/>
      <c r="J88" s="69"/>
      <c r="K88" s="69"/>
      <c r="L88" s="69"/>
      <c r="M88" s="69"/>
      <c r="N88" s="67"/>
      <c r="O88" s="70"/>
      <c r="P88" s="69"/>
      <c r="Q88" s="14"/>
      <c r="R88" s="15"/>
      <c r="S88" s="16"/>
      <c r="T88" s="16"/>
      <c r="U88" s="17"/>
      <c r="V88" s="17"/>
      <c r="W88" s="65"/>
      <c r="X88" s="65"/>
      <c r="Z88" s="69"/>
      <c r="AA88" s="69"/>
      <c r="AB88" s="69"/>
      <c r="AC88" s="69"/>
    </row>
    <row r="89" spans="1:29" s="66" customFormat="1">
      <c r="A89" s="67"/>
      <c r="B89" s="67"/>
      <c r="C89" s="67"/>
      <c r="D89" s="67"/>
      <c r="E89" s="67"/>
      <c r="F89" s="67"/>
      <c r="G89" s="68"/>
      <c r="H89" s="67"/>
      <c r="I89" s="67"/>
      <c r="J89" s="69"/>
      <c r="K89" s="69"/>
      <c r="L89" s="69"/>
      <c r="M89" s="69"/>
      <c r="N89" s="67"/>
      <c r="O89" s="70"/>
      <c r="P89" s="69"/>
      <c r="Q89" s="14"/>
      <c r="R89" s="15"/>
      <c r="S89" s="16"/>
      <c r="T89" s="16"/>
      <c r="U89" s="17"/>
      <c r="V89" s="17"/>
      <c r="W89" s="65"/>
      <c r="X89" s="65"/>
      <c r="Z89" s="69"/>
      <c r="AA89" s="69"/>
      <c r="AB89" s="69"/>
      <c r="AC89" s="69"/>
    </row>
    <row r="90" spans="1:29" s="66" customFormat="1">
      <c r="A90" s="67"/>
      <c r="B90" s="67"/>
      <c r="C90" s="67"/>
      <c r="D90" s="67"/>
      <c r="E90" s="67"/>
      <c r="F90" s="67"/>
      <c r="G90" s="68"/>
      <c r="H90" s="67"/>
      <c r="I90" s="67"/>
      <c r="J90" s="69"/>
      <c r="K90" s="69"/>
      <c r="L90" s="69"/>
      <c r="M90" s="69"/>
      <c r="N90" s="67"/>
      <c r="O90" s="70"/>
      <c r="P90" s="69"/>
      <c r="Q90" s="14"/>
      <c r="R90" s="15"/>
      <c r="S90" s="16"/>
      <c r="T90" s="16"/>
      <c r="U90" s="17"/>
      <c r="V90" s="17"/>
      <c r="W90" s="65"/>
      <c r="X90" s="65"/>
      <c r="Z90" s="69"/>
      <c r="AA90" s="69"/>
      <c r="AB90" s="69"/>
      <c r="AC90" s="69"/>
    </row>
    <row r="91" spans="1:29" s="66" customFormat="1">
      <c r="A91" s="67"/>
      <c r="B91" s="67"/>
      <c r="C91" s="67"/>
      <c r="D91" s="67"/>
      <c r="E91" s="67"/>
      <c r="F91" s="67"/>
      <c r="G91" s="68"/>
      <c r="H91" s="67"/>
      <c r="I91" s="67"/>
      <c r="J91" s="69"/>
      <c r="K91" s="69"/>
      <c r="L91" s="69"/>
      <c r="M91" s="69"/>
      <c r="N91" s="67"/>
      <c r="O91" s="70"/>
      <c r="P91" s="69"/>
      <c r="Q91" s="14"/>
      <c r="R91" s="15"/>
      <c r="S91" s="16"/>
      <c r="T91" s="16"/>
      <c r="U91" s="17"/>
      <c r="V91" s="17"/>
      <c r="W91" s="65"/>
      <c r="X91" s="65"/>
      <c r="Z91" s="69"/>
      <c r="AA91" s="69"/>
      <c r="AB91" s="69"/>
      <c r="AC91" s="69"/>
    </row>
    <row r="92" spans="1:29" s="66" customFormat="1">
      <c r="A92" s="67"/>
      <c r="B92" s="67"/>
      <c r="C92" s="67"/>
      <c r="D92" s="67"/>
      <c r="E92" s="67"/>
      <c r="F92" s="67"/>
      <c r="G92" s="68"/>
      <c r="H92" s="67"/>
      <c r="I92" s="67"/>
      <c r="J92" s="69"/>
      <c r="K92" s="69"/>
      <c r="L92" s="69"/>
      <c r="M92" s="69"/>
      <c r="N92" s="67"/>
      <c r="O92" s="70"/>
      <c r="P92" s="69"/>
      <c r="Q92" s="14"/>
      <c r="R92" s="15"/>
      <c r="S92" s="16"/>
      <c r="T92" s="16"/>
      <c r="U92" s="17"/>
      <c r="V92" s="17"/>
      <c r="W92" s="65"/>
      <c r="X92" s="65"/>
      <c r="Z92" s="69"/>
      <c r="AA92" s="69"/>
      <c r="AB92" s="69"/>
      <c r="AC92" s="69"/>
    </row>
    <row r="93" spans="1:29" s="66" customFormat="1">
      <c r="A93" s="67"/>
      <c r="B93" s="67"/>
      <c r="C93" s="67"/>
      <c r="D93" s="67"/>
      <c r="E93" s="67"/>
      <c r="F93" s="67"/>
      <c r="G93" s="68"/>
      <c r="H93" s="67"/>
      <c r="I93" s="67"/>
      <c r="J93" s="69"/>
      <c r="K93" s="69"/>
      <c r="L93" s="69"/>
      <c r="M93" s="69"/>
      <c r="N93" s="67"/>
      <c r="O93" s="70"/>
      <c r="P93" s="69"/>
      <c r="Q93" s="14"/>
      <c r="R93" s="15"/>
      <c r="S93" s="16"/>
      <c r="T93" s="16"/>
      <c r="U93" s="17"/>
      <c r="V93" s="17"/>
      <c r="W93" s="65"/>
      <c r="X93" s="65"/>
      <c r="Z93" s="69"/>
      <c r="AA93" s="69"/>
      <c r="AB93" s="69"/>
      <c r="AC93" s="69"/>
    </row>
    <row r="94" spans="1:29" s="66" customFormat="1">
      <c r="A94" s="67"/>
      <c r="B94" s="67"/>
      <c r="C94" s="67"/>
      <c r="D94" s="67"/>
      <c r="E94" s="67"/>
      <c r="F94" s="67"/>
      <c r="G94" s="68"/>
      <c r="H94" s="67"/>
      <c r="I94" s="67"/>
      <c r="J94" s="69"/>
      <c r="K94" s="69"/>
      <c r="L94" s="69"/>
      <c r="M94" s="69"/>
      <c r="N94" s="67"/>
      <c r="O94" s="70"/>
      <c r="P94" s="69"/>
      <c r="Q94" s="14"/>
      <c r="R94" s="15"/>
      <c r="S94" s="16"/>
      <c r="T94" s="16"/>
      <c r="U94" s="17"/>
      <c r="V94" s="17"/>
      <c r="W94" s="65"/>
      <c r="X94" s="65"/>
      <c r="Z94" s="69"/>
      <c r="AA94" s="69"/>
      <c r="AB94" s="69"/>
      <c r="AC94" s="69"/>
    </row>
    <row r="95" spans="1:29" s="66" customFormat="1">
      <c r="A95" s="67"/>
      <c r="B95" s="67"/>
      <c r="C95" s="67"/>
      <c r="D95" s="67"/>
      <c r="E95" s="67"/>
      <c r="F95" s="67"/>
      <c r="G95" s="68"/>
      <c r="H95" s="67"/>
      <c r="I95" s="67"/>
      <c r="J95" s="69"/>
      <c r="K95" s="69"/>
      <c r="L95" s="69"/>
      <c r="M95" s="69"/>
      <c r="N95" s="67"/>
      <c r="O95" s="70"/>
      <c r="P95" s="69"/>
      <c r="Q95" s="14"/>
      <c r="R95" s="15"/>
      <c r="S95" s="16"/>
      <c r="T95" s="16"/>
      <c r="U95" s="17"/>
      <c r="V95" s="17"/>
      <c r="W95" s="65"/>
      <c r="X95" s="65"/>
      <c r="Z95" s="69"/>
      <c r="AA95" s="69"/>
      <c r="AB95" s="69"/>
      <c r="AC95" s="69"/>
    </row>
    <row r="96" spans="1:29" s="66" customFormat="1">
      <c r="A96" s="67"/>
      <c r="B96" s="67"/>
      <c r="C96" s="67"/>
      <c r="D96" s="67"/>
      <c r="E96" s="67"/>
      <c r="F96" s="67"/>
      <c r="G96" s="68"/>
      <c r="H96" s="67"/>
      <c r="I96" s="67"/>
      <c r="J96" s="69"/>
      <c r="K96" s="69"/>
      <c r="L96" s="69"/>
      <c r="M96" s="69"/>
      <c r="N96" s="67"/>
      <c r="O96" s="70"/>
      <c r="P96" s="69"/>
      <c r="Q96" s="14"/>
      <c r="R96" s="15"/>
      <c r="S96" s="16"/>
      <c r="T96" s="16"/>
      <c r="U96" s="17"/>
      <c r="V96" s="17"/>
      <c r="W96" s="65"/>
      <c r="X96" s="65"/>
      <c r="Z96" s="69"/>
      <c r="AA96" s="69"/>
      <c r="AB96" s="69"/>
      <c r="AC96" s="69"/>
    </row>
    <row r="97" spans="1:29" s="66" customFormat="1">
      <c r="A97" s="67"/>
      <c r="B97" s="67"/>
      <c r="C97" s="67"/>
      <c r="D97" s="67"/>
      <c r="E97" s="67"/>
      <c r="F97" s="67"/>
      <c r="G97" s="68"/>
      <c r="H97" s="67"/>
      <c r="I97" s="67"/>
      <c r="J97" s="69"/>
      <c r="K97" s="69"/>
      <c r="L97" s="69"/>
      <c r="M97" s="69"/>
      <c r="N97" s="67"/>
      <c r="O97" s="70"/>
      <c r="P97" s="69"/>
      <c r="Q97" s="14"/>
      <c r="R97" s="15"/>
      <c r="S97" s="16"/>
      <c r="T97" s="16"/>
      <c r="U97" s="17"/>
      <c r="V97" s="17"/>
      <c r="W97" s="65"/>
      <c r="X97" s="65"/>
      <c r="Z97" s="69"/>
      <c r="AA97" s="69"/>
      <c r="AB97" s="69"/>
      <c r="AC97" s="69"/>
    </row>
    <row r="98" spans="1:29" s="66" customFormat="1">
      <c r="A98" s="67"/>
      <c r="B98" s="67"/>
      <c r="C98" s="67"/>
      <c r="D98" s="67"/>
      <c r="E98" s="67"/>
      <c r="F98" s="67"/>
      <c r="G98" s="68"/>
      <c r="H98" s="67"/>
      <c r="I98" s="67"/>
      <c r="J98" s="69"/>
      <c r="K98" s="69"/>
      <c r="L98" s="69"/>
      <c r="M98" s="69"/>
      <c r="N98" s="67"/>
      <c r="O98" s="70"/>
      <c r="P98" s="69"/>
      <c r="Q98" s="14"/>
      <c r="R98" s="15"/>
      <c r="S98" s="16"/>
      <c r="T98" s="16"/>
      <c r="U98" s="17"/>
      <c r="V98" s="17"/>
      <c r="W98" s="65"/>
      <c r="X98" s="65"/>
      <c r="Z98" s="69"/>
      <c r="AA98" s="69"/>
      <c r="AB98" s="69"/>
      <c r="AC98" s="69"/>
    </row>
    <row r="99" spans="1:29" s="66" customFormat="1">
      <c r="A99" s="67"/>
      <c r="B99" s="67"/>
      <c r="C99" s="67"/>
      <c r="D99" s="67"/>
      <c r="E99" s="67"/>
      <c r="F99" s="67"/>
      <c r="G99" s="68"/>
      <c r="H99" s="67"/>
      <c r="I99" s="67"/>
      <c r="J99" s="69"/>
      <c r="K99" s="69"/>
      <c r="L99" s="69"/>
      <c r="M99" s="69"/>
      <c r="N99" s="67"/>
      <c r="O99" s="70"/>
      <c r="P99" s="69"/>
      <c r="Q99" s="14"/>
      <c r="R99" s="15"/>
      <c r="S99" s="16"/>
      <c r="T99" s="16"/>
      <c r="U99" s="17"/>
      <c r="V99" s="17"/>
      <c r="W99" s="65"/>
      <c r="X99" s="65"/>
      <c r="Z99" s="69"/>
      <c r="AA99" s="69"/>
      <c r="AB99" s="69"/>
      <c r="AC99" s="69"/>
    </row>
    <row r="100" spans="1:29" s="66" customFormat="1">
      <c r="A100" s="67"/>
      <c r="B100" s="67"/>
      <c r="C100" s="67"/>
      <c r="D100" s="67"/>
      <c r="E100" s="67"/>
      <c r="F100" s="67"/>
      <c r="G100" s="68"/>
      <c r="H100" s="67"/>
      <c r="I100" s="67"/>
      <c r="J100" s="69"/>
      <c r="K100" s="69"/>
      <c r="L100" s="69"/>
      <c r="M100" s="69"/>
      <c r="N100" s="67"/>
      <c r="O100" s="70"/>
      <c r="P100" s="69"/>
      <c r="Q100" s="14"/>
      <c r="R100" s="15"/>
      <c r="S100" s="16"/>
      <c r="T100" s="16"/>
      <c r="U100" s="17"/>
      <c r="V100" s="17"/>
      <c r="W100" s="65"/>
      <c r="X100" s="65"/>
      <c r="Z100" s="69"/>
      <c r="AA100" s="69"/>
      <c r="AB100" s="69"/>
      <c r="AC100" s="69"/>
    </row>
    <row r="101" spans="1:29" s="66" customFormat="1">
      <c r="A101" s="67"/>
      <c r="B101" s="67"/>
      <c r="C101" s="67"/>
      <c r="D101" s="67"/>
      <c r="E101" s="67"/>
      <c r="F101" s="67"/>
      <c r="G101" s="68"/>
      <c r="H101" s="67"/>
      <c r="I101" s="67"/>
      <c r="J101" s="69"/>
      <c r="K101" s="69"/>
      <c r="L101" s="69"/>
      <c r="M101" s="69"/>
      <c r="N101" s="67"/>
      <c r="O101" s="70"/>
      <c r="P101" s="69"/>
      <c r="Q101" s="14"/>
      <c r="R101" s="15"/>
      <c r="S101" s="16"/>
      <c r="T101" s="16"/>
      <c r="U101" s="17"/>
      <c r="V101" s="17"/>
      <c r="W101" s="65"/>
      <c r="X101" s="65"/>
      <c r="Z101" s="69"/>
      <c r="AA101" s="69"/>
      <c r="AB101" s="69"/>
      <c r="AC101" s="69"/>
    </row>
    <row r="102" spans="1:29" s="66" customFormat="1">
      <c r="A102" s="67"/>
      <c r="B102" s="67"/>
      <c r="C102" s="67"/>
      <c r="D102" s="67"/>
      <c r="E102" s="67"/>
      <c r="F102" s="67"/>
      <c r="G102" s="68"/>
      <c r="H102" s="67"/>
      <c r="I102" s="67"/>
      <c r="J102" s="69"/>
      <c r="K102" s="69"/>
      <c r="L102" s="69"/>
      <c r="M102" s="69"/>
      <c r="N102" s="67"/>
      <c r="O102" s="70"/>
      <c r="P102" s="69"/>
      <c r="Q102" s="14"/>
      <c r="R102" s="15"/>
      <c r="S102" s="16"/>
      <c r="T102" s="16"/>
      <c r="U102" s="17"/>
      <c r="V102" s="17"/>
      <c r="W102" s="65"/>
      <c r="X102" s="65"/>
      <c r="Z102" s="69"/>
      <c r="AA102" s="69"/>
      <c r="AB102" s="69"/>
      <c r="AC102" s="69"/>
    </row>
    <row r="103" spans="1:29" s="66" customFormat="1">
      <c r="A103" s="67"/>
      <c r="B103" s="67"/>
      <c r="C103" s="67"/>
      <c r="D103" s="67"/>
      <c r="E103" s="67"/>
      <c r="F103" s="67"/>
      <c r="G103" s="68"/>
      <c r="H103" s="67"/>
      <c r="I103" s="67"/>
      <c r="J103" s="69"/>
      <c r="K103" s="69"/>
      <c r="L103" s="69"/>
      <c r="M103" s="69"/>
      <c r="N103" s="67"/>
      <c r="O103" s="70"/>
      <c r="P103" s="69"/>
      <c r="Q103" s="14"/>
      <c r="R103" s="15"/>
      <c r="S103" s="16"/>
      <c r="T103" s="16"/>
      <c r="U103" s="17"/>
      <c r="V103" s="17"/>
      <c r="W103" s="65"/>
      <c r="X103" s="65"/>
      <c r="Z103" s="69"/>
      <c r="AA103" s="69"/>
      <c r="AB103" s="69"/>
      <c r="AC103" s="69"/>
    </row>
    <row r="104" spans="1:29" s="66" customFormat="1">
      <c r="A104" s="67"/>
      <c r="B104" s="67"/>
      <c r="C104" s="67"/>
      <c r="D104" s="67"/>
      <c r="E104" s="67"/>
      <c r="F104" s="67"/>
      <c r="G104" s="68"/>
      <c r="H104" s="67"/>
      <c r="I104" s="67"/>
      <c r="J104" s="69"/>
      <c r="K104" s="69"/>
      <c r="L104" s="69"/>
      <c r="M104" s="69"/>
      <c r="N104" s="67"/>
      <c r="O104" s="70"/>
      <c r="P104" s="69"/>
      <c r="Q104" s="14"/>
      <c r="R104" s="15"/>
      <c r="S104" s="16"/>
      <c r="T104" s="16"/>
      <c r="U104" s="17"/>
      <c r="V104" s="17"/>
      <c r="W104" s="65"/>
      <c r="X104" s="65"/>
      <c r="Z104" s="69"/>
      <c r="AA104" s="69"/>
      <c r="AB104" s="69"/>
      <c r="AC104" s="69"/>
    </row>
    <row r="105" spans="1:29" s="66" customFormat="1">
      <c r="A105" s="67"/>
      <c r="B105" s="67"/>
      <c r="C105" s="67"/>
      <c r="D105" s="67"/>
      <c r="E105" s="67"/>
      <c r="F105" s="67"/>
      <c r="G105" s="68"/>
      <c r="H105" s="67"/>
      <c r="I105" s="67"/>
      <c r="J105" s="69"/>
      <c r="K105" s="69"/>
      <c r="L105" s="69"/>
      <c r="M105" s="69"/>
      <c r="N105" s="67"/>
      <c r="O105" s="70"/>
      <c r="P105" s="69"/>
      <c r="Q105" s="14"/>
      <c r="R105" s="15"/>
      <c r="S105" s="16"/>
      <c r="T105" s="16"/>
      <c r="U105" s="17"/>
      <c r="V105" s="17"/>
      <c r="W105" s="65"/>
      <c r="X105" s="65"/>
      <c r="Z105" s="69"/>
      <c r="AA105" s="69"/>
      <c r="AB105" s="69"/>
      <c r="AC105" s="69"/>
    </row>
    <row r="106" spans="1:29" s="66" customFormat="1">
      <c r="A106" s="67"/>
      <c r="B106" s="67"/>
      <c r="C106" s="67"/>
      <c r="D106" s="67"/>
      <c r="E106" s="67"/>
      <c r="F106" s="67"/>
      <c r="G106" s="68"/>
      <c r="H106" s="67"/>
      <c r="I106" s="67"/>
      <c r="J106" s="69"/>
      <c r="K106" s="69"/>
      <c r="L106" s="69"/>
      <c r="M106" s="69"/>
      <c r="N106" s="67"/>
      <c r="O106" s="70"/>
      <c r="P106" s="69"/>
      <c r="Q106" s="14"/>
      <c r="R106" s="15"/>
      <c r="S106" s="16"/>
      <c r="T106" s="16"/>
      <c r="U106" s="17"/>
      <c r="V106" s="17"/>
      <c r="W106" s="65"/>
      <c r="X106" s="65"/>
      <c r="Z106" s="69"/>
      <c r="AA106" s="69"/>
      <c r="AB106" s="69"/>
      <c r="AC106" s="69"/>
    </row>
    <row r="107" spans="1:29" s="66" customFormat="1">
      <c r="A107" s="67"/>
      <c r="B107" s="67"/>
      <c r="C107" s="67"/>
      <c r="D107" s="67"/>
      <c r="E107" s="67"/>
      <c r="F107" s="67"/>
      <c r="G107" s="68"/>
      <c r="H107" s="67"/>
      <c r="I107" s="67"/>
      <c r="J107" s="69"/>
      <c r="K107" s="69"/>
      <c r="L107" s="69"/>
      <c r="M107" s="69"/>
      <c r="N107" s="67"/>
      <c r="O107" s="70"/>
      <c r="P107" s="69"/>
      <c r="Q107" s="14"/>
      <c r="R107" s="15"/>
      <c r="S107" s="16"/>
      <c r="T107" s="16"/>
      <c r="U107" s="17"/>
      <c r="V107" s="17"/>
      <c r="W107" s="65"/>
      <c r="X107" s="65"/>
      <c r="Z107" s="69"/>
      <c r="AA107" s="69"/>
      <c r="AB107" s="69"/>
      <c r="AC107" s="69"/>
    </row>
    <row r="108" spans="1:29" s="66" customFormat="1">
      <c r="A108" s="67"/>
      <c r="B108" s="67"/>
      <c r="C108" s="67"/>
      <c r="D108" s="67"/>
      <c r="E108" s="67"/>
      <c r="F108" s="67"/>
      <c r="G108" s="68"/>
      <c r="H108" s="67"/>
      <c r="I108" s="67"/>
      <c r="J108" s="69"/>
      <c r="K108" s="69"/>
      <c r="L108" s="69"/>
      <c r="M108" s="69"/>
      <c r="N108" s="67"/>
      <c r="O108" s="70"/>
      <c r="P108" s="69"/>
      <c r="Q108" s="14"/>
      <c r="R108" s="15"/>
      <c r="S108" s="16"/>
      <c r="T108" s="16"/>
      <c r="U108" s="17"/>
      <c r="V108" s="17"/>
      <c r="W108" s="65"/>
      <c r="X108" s="65"/>
      <c r="Z108" s="69"/>
      <c r="AA108" s="69"/>
      <c r="AB108" s="69"/>
      <c r="AC108" s="69"/>
    </row>
    <row r="109" spans="1:29" s="66" customFormat="1">
      <c r="A109" s="67"/>
      <c r="B109" s="67"/>
      <c r="C109" s="67"/>
      <c r="D109" s="67"/>
      <c r="E109" s="67"/>
      <c r="F109" s="67"/>
      <c r="G109" s="68"/>
      <c r="H109" s="67"/>
      <c r="I109" s="67"/>
      <c r="J109" s="69"/>
      <c r="K109" s="69"/>
      <c r="L109" s="69"/>
      <c r="M109" s="69"/>
      <c r="N109" s="67"/>
      <c r="O109" s="70"/>
      <c r="P109" s="69"/>
      <c r="Q109" s="14"/>
      <c r="R109" s="15"/>
      <c r="S109" s="16"/>
      <c r="T109" s="16"/>
      <c r="U109" s="17"/>
      <c r="V109" s="17"/>
      <c r="W109" s="65"/>
      <c r="X109" s="65"/>
      <c r="Z109" s="69"/>
      <c r="AA109" s="69"/>
      <c r="AB109" s="69"/>
      <c r="AC109" s="69"/>
    </row>
    <row r="110" spans="1:29" s="66" customFormat="1">
      <c r="A110" s="67"/>
      <c r="B110" s="67"/>
      <c r="C110" s="67"/>
      <c r="D110" s="67"/>
      <c r="E110" s="67"/>
      <c r="F110" s="67"/>
      <c r="G110" s="68"/>
      <c r="H110" s="67"/>
      <c r="I110" s="67"/>
      <c r="J110" s="69"/>
      <c r="K110" s="69"/>
      <c r="L110" s="69"/>
      <c r="M110" s="69"/>
      <c r="N110" s="67"/>
      <c r="O110" s="70"/>
      <c r="P110" s="69"/>
      <c r="Q110" s="14"/>
      <c r="R110" s="15"/>
      <c r="S110" s="16"/>
      <c r="T110" s="16"/>
      <c r="U110" s="17"/>
      <c r="V110" s="17"/>
      <c r="W110" s="65"/>
      <c r="X110" s="65"/>
      <c r="Z110" s="69"/>
      <c r="AA110" s="69"/>
      <c r="AB110" s="69"/>
      <c r="AC110" s="69"/>
    </row>
    <row r="111" spans="1:29" s="66" customFormat="1">
      <c r="A111" s="67"/>
      <c r="B111" s="67"/>
      <c r="C111" s="67"/>
      <c r="D111" s="67"/>
      <c r="E111" s="67"/>
      <c r="F111" s="67"/>
      <c r="G111" s="68"/>
      <c r="H111" s="67"/>
      <c r="I111" s="67"/>
      <c r="J111" s="69"/>
      <c r="K111" s="69"/>
      <c r="L111" s="69"/>
      <c r="M111" s="69"/>
      <c r="N111" s="67"/>
      <c r="O111" s="70"/>
      <c r="P111" s="69"/>
      <c r="Q111" s="14"/>
      <c r="R111" s="15"/>
      <c r="S111" s="16"/>
      <c r="T111" s="16"/>
      <c r="U111" s="17"/>
      <c r="V111" s="17"/>
      <c r="W111" s="65"/>
      <c r="X111" s="65"/>
      <c r="Z111" s="69"/>
      <c r="AA111" s="69"/>
      <c r="AB111" s="69"/>
      <c r="AC111" s="69"/>
    </row>
    <row r="112" spans="1:29" s="66" customFormat="1">
      <c r="A112" s="67"/>
      <c r="B112" s="67"/>
      <c r="C112" s="67"/>
      <c r="D112" s="67"/>
      <c r="E112" s="67"/>
      <c r="F112" s="67"/>
      <c r="G112" s="68"/>
      <c r="H112" s="67"/>
      <c r="I112" s="67"/>
      <c r="J112" s="69"/>
      <c r="K112" s="69"/>
      <c r="L112" s="69"/>
      <c r="M112" s="69"/>
      <c r="N112" s="67"/>
      <c r="O112" s="70"/>
      <c r="P112" s="69"/>
      <c r="Q112" s="14"/>
      <c r="R112" s="15"/>
      <c r="S112" s="16"/>
      <c r="T112" s="16"/>
      <c r="U112" s="17"/>
      <c r="V112" s="17"/>
      <c r="W112" s="65"/>
      <c r="X112" s="65"/>
      <c r="Z112" s="69"/>
      <c r="AA112" s="69"/>
      <c r="AB112" s="69"/>
      <c r="AC112" s="69"/>
    </row>
    <row r="113" spans="1:29" s="66" customFormat="1">
      <c r="A113" s="67"/>
      <c r="B113" s="67"/>
      <c r="C113" s="67"/>
      <c r="D113" s="67"/>
      <c r="E113" s="67"/>
      <c r="F113" s="67"/>
      <c r="G113" s="68"/>
      <c r="H113" s="67"/>
      <c r="I113" s="67"/>
      <c r="J113" s="69"/>
      <c r="K113" s="69"/>
      <c r="L113" s="69"/>
      <c r="M113" s="69"/>
      <c r="N113" s="67"/>
      <c r="O113" s="70"/>
      <c r="P113" s="69"/>
      <c r="Q113" s="14"/>
      <c r="R113" s="15"/>
      <c r="S113" s="16"/>
      <c r="T113" s="16"/>
      <c r="U113" s="17"/>
      <c r="V113" s="17"/>
      <c r="W113" s="65"/>
      <c r="X113" s="65"/>
      <c r="Z113" s="69"/>
      <c r="AA113" s="69"/>
      <c r="AB113" s="69"/>
      <c r="AC113" s="69"/>
    </row>
    <row r="114" spans="1:29" s="66" customFormat="1">
      <c r="A114" s="67"/>
      <c r="B114" s="67"/>
      <c r="C114" s="67"/>
      <c r="D114" s="67"/>
      <c r="E114" s="67"/>
      <c r="F114" s="67"/>
      <c r="G114" s="68"/>
      <c r="H114" s="67"/>
      <c r="I114" s="67"/>
      <c r="J114" s="69"/>
      <c r="K114" s="69"/>
      <c r="L114" s="69"/>
      <c r="M114" s="69"/>
      <c r="N114" s="67"/>
      <c r="O114" s="70"/>
      <c r="P114" s="69"/>
      <c r="Q114" s="14"/>
      <c r="R114" s="15"/>
      <c r="S114" s="16"/>
      <c r="T114" s="16"/>
      <c r="U114" s="17"/>
      <c r="V114" s="17"/>
      <c r="W114" s="65"/>
      <c r="X114" s="65"/>
      <c r="Z114" s="69"/>
      <c r="AA114" s="69"/>
      <c r="AB114" s="69"/>
      <c r="AC114" s="69"/>
    </row>
    <row r="115" spans="1:29" s="66" customFormat="1">
      <c r="A115" s="67"/>
      <c r="B115" s="67"/>
      <c r="C115" s="67"/>
      <c r="D115" s="67"/>
      <c r="E115" s="67"/>
      <c r="F115" s="67"/>
      <c r="G115" s="67"/>
      <c r="H115" s="67"/>
      <c r="I115" s="67"/>
      <c r="J115" s="69"/>
      <c r="K115" s="69"/>
      <c r="L115" s="69"/>
      <c r="M115" s="69"/>
      <c r="N115" s="67"/>
      <c r="O115" s="70"/>
      <c r="P115" s="69"/>
      <c r="Q115" s="14"/>
      <c r="R115" s="15"/>
      <c r="S115" s="16"/>
      <c r="T115" s="16"/>
      <c r="U115" s="17"/>
      <c r="V115" s="17"/>
      <c r="W115" s="65"/>
      <c r="X115" s="65"/>
      <c r="Z115" s="69"/>
      <c r="AA115" s="69"/>
      <c r="AB115" s="69"/>
      <c r="AC115" s="69"/>
    </row>
    <row r="116" spans="1:29" s="66" customFormat="1">
      <c r="A116" s="67"/>
      <c r="B116" s="67"/>
      <c r="C116" s="67"/>
      <c r="D116" s="67"/>
      <c r="E116" s="67"/>
      <c r="F116" s="67"/>
      <c r="G116" s="67"/>
      <c r="H116" s="67"/>
      <c r="I116" s="67"/>
      <c r="J116" s="69"/>
      <c r="K116" s="69"/>
      <c r="L116" s="69"/>
      <c r="M116" s="69"/>
      <c r="N116" s="67"/>
      <c r="O116" s="70"/>
      <c r="P116" s="69"/>
      <c r="Q116" s="14"/>
      <c r="R116" s="15"/>
      <c r="S116" s="16"/>
      <c r="T116" s="16"/>
      <c r="U116" s="17"/>
      <c r="V116" s="17"/>
      <c r="W116" s="65"/>
      <c r="X116" s="65"/>
      <c r="Z116" s="69"/>
      <c r="AA116" s="69"/>
      <c r="AB116" s="69"/>
      <c r="AC116" s="69"/>
    </row>
    <row r="117" spans="1:29" s="66" customFormat="1">
      <c r="A117" s="67"/>
      <c r="B117" s="67"/>
      <c r="C117" s="67"/>
      <c r="D117" s="67"/>
      <c r="E117" s="67"/>
      <c r="F117" s="67"/>
      <c r="G117" s="67"/>
      <c r="H117" s="67"/>
      <c r="I117" s="67"/>
      <c r="J117" s="69"/>
      <c r="K117" s="69"/>
      <c r="L117" s="69"/>
      <c r="M117" s="69"/>
      <c r="N117" s="67"/>
      <c r="O117" s="70"/>
      <c r="P117" s="69"/>
      <c r="Q117" s="14"/>
      <c r="R117" s="15"/>
      <c r="S117" s="16"/>
      <c r="T117" s="16"/>
      <c r="U117" s="17"/>
      <c r="V117" s="17"/>
      <c r="W117" s="65"/>
      <c r="X117" s="65"/>
      <c r="Z117" s="69"/>
      <c r="AA117" s="69"/>
      <c r="AB117" s="69"/>
      <c r="AC117" s="69"/>
    </row>
    <row r="118" spans="1:29" s="66" customFormat="1">
      <c r="A118" s="67"/>
      <c r="B118" s="67"/>
      <c r="C118" s="67"/>
      <c r="D118" s="67"/>
      <c r="E118" s="67"/>
      <c r="F118" s="67"/>
      <c r="G118" s="67"/>
      <c r="H118" s="67"/>
      <c r="I118" s="67"/>
      <c r="J118" s="69"/>
      <c r="K118" s="69"/>
      <c r="L118" s="69"/>
      <c r="M118" s="69"/>
      <c r="N118" s="67"/>
      <c r="O118" s="70"/>
      <c r="P118" s="69"/>
      <c r="Q118" s="14"/>
      <c r="R118" s="15"/>
      <c r="S118" s="16"/>
      <c r="T118" s="16"/>
      <c r="U118" s="17"/>
      <c r="V118" s="17"/>
      <c r="W118" s="65"/>
      <c r="X118" s="65"/>
      <c r="Z118" s="69"/>
      <c r="AA118" s="69"/>
      <c r="AB118" s="69"/>
      <c r="AC118" s="69"/>
    </row>
    <row r="119" spans="1:29" s="66" customFormat="1">
      <c r="A119" s="67"/>
      <c r="B119" s="67"/>
      <c r="C119" s="67"/>
      <c r="D119" s="67"/>
      <c r="E119" s="67"/>
      <c r="F119" s="67"/>
      <c r="G119" s="67"/>
      <c r="H119" s="67"/>
      <c r="I119" s="67"/>
      <c r="J119" s="69"/>
      <c r="K119" s="69"/>
      <c r="L119" s="69"/>
      <c r="M119" s="69"/>
      <c r="N119" s="67"/>
      <c r="O119" s="70"/>
      <c r="P119" s="69"/>
      <c r="Q119" s="14"/>
      <c r="R119" s="15"/>
      <c r="S119" s="16"/>
      <c r="T119" s="16"/>
      <c r="U119" s="17"/>
      <c r="V119" s="17"/>
      <c r="W119" s="65"/>
      <c r="X119" s="65"/>
      <c r="Z119" s="69"/>
      <c r="AA119" s="69"/>
      <c r="AB119" s="69"/>
      <c r="AC119" s="69"/>
    </row>
    <row r="120" spans="1:29" s="66" customFormat="1">
      <c r="A120" s="67"/>
      <c r="B120" s="67"/>
      <c r="C120" s="67"/>
      <c r="D120" s="67"/>
      <c r="E120" s="67"/>
      <c r="F120" s="67"/>
      <c r="G120" s="67"/>
      <c r="H120" s="67"/>
      <c r="I120" s="67"/>
      <c r="J120" s="69"/>
      <c r="K120" s="69"/>
      <c r="L120" s="69"/>
      <c r="M120" s="69"/>
      <c r="N120" s="67"/>
      <c r="O120" s="70"/>
      <c r="P120" s="69"/>
      <c r="Q120" s="14"/>
      <c r="R120" s="15"/>
      <c r="S120" s="16"/>
      <c r="T120" s="16"/>
      <c r="U120" s="17"/>
      <c r="V120" s="17"/>
      <c r="W120" s="65"/>
      <c r="X120" s="65"/>
      <c r="Z120" s="69"/>
      <c r="AA120" s="69"/>
      <c r="AB120" s="69"/>
      <c r="AC120" s="69"/>
    </row>
    <row r="121" spans="1:29" s="66" customFormat="1">
      <c r="A121" s="67"/>
      <c r="B121" s="67"/>
      <c r="C121" s="67"/>
      <c r="D121" s="67"/>
      <c r="E121" s="67"/>
      <c r="F121" s="67"/>
      <c r="G121" s="67"/>
      <c r="H121" s="67"/>
      <c r="I121" s="67"/>
      <c r="J121" s="69"/>
      <c r="K121" s="69"/>
      <c r="L121" s="69"/>
      <c r="M121" s="69"/>
      <c r="N121" s="67"/>
      <c r="O121" s="70"/>
      <c r="P121" s="69"/>
      <c r="Q121" s="14"/>
      <c r="R121" s="15"/>
      <c r="S121" s="16"/>
      <c r="T121" s="16"/>
      <c r="U121" s="17"/>
      <c r="V121" s="17"/>
      <c r="W121" s="65"/>
      <c r="X121" s="65"/>
      <c r="Z121" s="69"/>
      <c r="AA121" s="69"/>
      <c r="AB121" s="69"/>
      <c r="AC121" s="69"/>
    </row>
    <row r="122" spans="1:29" s="66" customFormat="1">
      <c r="A122" s="67"/>
      <c r="B122" s="67"/>
      <c r="C122" s="67"/>
      <c r="D122" s="67"/>
      <c r="E122" s="67"/>
      <c r="F122" s="67"/>
      <c r="G122" s="67"/>
      <c r="H122" s="67"/>
      <c r="I122" s="67"/>
      <c r="J122" s="69"/>
      <c r="K122" s="69"/>
      <c r="L122" s="69"/>
      <c r="M122" s="69"/>
      <c r="N122" s="67"/>
      <c r="O122" s="70"/>
      <c r="P122" s="69"/>
      <c r="Q122" s="14"/>
      <c r="R122" s="15"/>
      <c r="S122" s="16"/>
      <c r="T122" s="16"/>
      <c r="U122" s="17"/>
      <c r="V122" s="17"/>
      <c r="W122" s="65"/>
      <c r="X122" s="65"/>
      <c r="Z122" s="69"/>
      <c r="AA122" s="69"/>
      <c r="AB122" s="69"/>
      <c r="AC122" s="69"/>
    </row>
    <row r="123" spans="1:29">
      <c r="B123" s="67"/>
      <c r="C123" s="67"/>
      <c r="D123" s="67"/>
      <c r="E123" s="67"/>
      <c r="F123" s="67"/>
      <c r="G123" s="67"/>
      <c r="H123" s="67"/>
      <c r="I123" s="67"/>
      <c r="J123" s="69"/>
      <c r="K123" s="69"/>
      <c r="L123" s="69"/>
      <c r="M123" s="69"/>
      <c r="N123" s="67"/>
      <c r="O123" s="70"/>
      <c r="P123" s="69"/>
    </row>
    <row r="124" spans="1:29">
      <c r="B124" s="67"/>
      <c r="C124" s="67"/>
      <c r="D124" s="67"/>
      <c r="E124" s="67"/>
      <c r="F124" s="67"/>
      <c r="G124" s="67"/>
      <c r="H124" s="67"/>
      <c r="I124" s="67"/>
      <c r="J124" s="69"/>
      <c r="K124" s="69"/>
      <c r="L124" s="69"/>
      <c r="M124" s="69"/>
      <c r="N124" s="67"/>
      <c r="O124" s="70"/>
      <c r="P124" s="69"/>
    </row>
    <row r="125" spans="1:29">
      <c r="B125" s="67"/>
      <c r="C125" s="67"/>
      <c r="D125" s="67"/>
      <c r="E125" s="67"/>
      <c r="F125" s="67"/>
      <c r="G125" s="67"/>
      <c r="H125" s="67"/>
      <c r="I125" s="67"/>
      <c r="J125" s="69"/>
      <c r="K125" s="69"/>
      <c r="L125" s="69"/>
      <c r="M125" s="69"/>
      <c r="N125" s="67"/>
      <c r="O125" s="70"/>
      <c r="P125" s="69"/>
    </row>
    <row r="126" spans="1:29">
      <c r="B126" s="67"/>
      <c r="C126" s="67"/>
      <c r="D126" s="67"/>
      <c r="E126" s="67"/>
      <c r="F126" s="67"/>
      <c r="G126" s="67"/>
      <c r="H126" s="67"/>
      <c r="I126" s="67"/>
      <c r="J126" s="69"/>
      <c r="K126" s="69"/>
      <c r="L126" s="69"/>
      <c r="M126" s="69"/>
      <c r="N126" s="67"/>
      <c r="O126" s="70"/>
      <c r="P126" s="69"/>
    </row>
    <row r="127" spans="1:29">
      <c r="B127" s="67"/>
      <c r="C127" s="67"/>
      <c r="D127" s="67"/>
      <c r="E127" s="67"/>
      <c r="F127" s="67"/>
      <c r="G127" s="67"/>
      <c r="H127" s="67"/>
      <c r="I127" s="67"/>
      <c r="J127" s="69"/>
      <c r="K127" s="69"/>
      <c r="L127" s="69"/>
      <c r="M127" s="69"/>
      <c r="N127" s="67"/>
      <c r="O127" s="70"/>
      <c r="P127" s="69"/>
    </row>
    <row r="128" spans="1:29">
      <c r="B128" s="67"/>
      <c r="C128" s="67"/>
      <c r="D128" s="67"/>
      <c r="E128" s="67"/>
      <c r="F128" s="67"/>
      <c r="G128" s="67"/>
      <c r="H128" s="67"/>
      <c r="I128" s="67"/>
      <c r="J128" s="69"/>
      <c r="K128" s="69"/>
      <c r="L128" s="69"/>
      <c r="M128" s="69"/>
      <c r="N128" s="67"/>
      <c r="O128" s="70"/>
      <c r="P128" s="69"/>
    </row>
    <row r="129" spans="2:16">
      <c r="B129" s="67"/>
      <c r="C129" s="67"/>
      <c r="D129" s="67"/>
      <c r="E129" s="67"/>
      <c r="F129" s="67"/>
      <c r="G129" s="67"/>
      <c r="H129" s="67"/>
      <c r="I129" s="67"/>
      <c r="J129" s="69"/>
      <c r="K129" s="69"/>
      <c r="L129" s="69"/>
      <c r="M129" s="69"/>
      <c r="N129" s="67"/>
      <c r="O129" s="70"/>
      <c r="P129" s="69"/>
    </row>
    <row r="130" spans="2:16">
      <c r="B130" s="67"/>
      <c r="C130" s="67"/>
      <c r="D130" s="67"/>
      <c r="E130" s="67"/>
      <c r="F130" s="67"/>
      <c r="G130" s="67"/>
      <c r="H130" s="67"/>
      <c r="I130" s="67"/>
      <c r="J130" s="69"/>
      <c r="K130" s="69"/>
      <c r="L130" s="69"/>
      <c r="M130" s="69"/>
      <c r="N130" s="67"/>
      <c r="O130" s="70"/>
      <c r="P130" s="69"/>
    </row>
    <row r="131" spans="2:16">
      <c r="B131" s="67"/>
      <c r="C131" s="67"/>
      <c r="D131" s="67"/>
      <c r="E131" s="67"/>
      <c r="F131" s="67"/>
      <c r="G131" s="67"/>
      <c r="H131" s="67"/>
      <c r="I131" s="67"/>
      <c r="J131" s="69"/>
      <c r="K131" s="69"/>
      <c r="L131" s="69"/>
      <c r="M131" s="69"/>
      <c r="N131" s="67"/>
      <c r="O131" s="70"/>
      <c r="P131" s="69"/>
    </row>
    <row r="132" spans="2:16">
      <c r="B132" s="67"/>
      <c r="C132" s="67"/>
      <c r="D132" s="67"/>
      <c r="E132" s="67"/>
      <c r="F132" s="67"/>
      <c r="G132" s="67"/>
      <c r="H132" s="67"/>
      <c r="I132" s="67"/>
      <c r="J132" s="69"/>
      <c r="K132" s="69"/>
      <c r="L132" s="69"/>
      <c r="M132" s="69"/>
      <c r="N132" s="67"/>
      <c r="O132" s="70"/>
      <c r="P132" s="69"/>
    </row>
    <row r="133" spans="2:16">
      <c r="B133" s="67"/>
      <c r="C133" s="67"/>
      <c r="D133" s="67"/>
      <c r="E133" s="67"/>
      <c r="F133" s="67"/>
      <c r="G133" s="67"/>
      <c r="H133" s="67"/>
      <c r="I133" s="67"/>
      <c r="J133" s="69"/>
      <c r="K133" s="69"/>
      <c r="L133" s="69"/>
      <c r="M133" s="69"/>
      <c r="N133" s="67"/>
      <c r="O133" s="70"/>
      <c r="P133" s="69"/>
    </row>
    <row r="134" spans="2:16">
      <c r="B134" s="67"/>
      <c r="C134" s="67"/>
      <c r="D134" s="67"/>
      <c r="E134" s="67"/>
      <c r="F134" s="67"/>
      <c r="G134" s="67"/>
      <c r="H134" s="67"/>
      <c r="I134" s="67"/>
      <c r="J134" s="69"/>
      <c r="K134" s="69"/>
      <c r="L134" s="69"/>
      <c r="M134" s="69"/>
      <c r="N134" s="67"/>
      <c r="O134" s="70"/>
      <c r="P134" s="69"/>
    </row>
    <row r="135" spans="2:16">
      <c r="B135" s="67"/>
      <c r="C135" s="67"/>
      <c r="D135" s="67"/>
      <c r="E135" s="67"/>
      <c r="F135" s="67"/>
      <c r="G135" s="67"/>
      <c r="H135" s="67"/>
      <c r="I135" s="67"/>
      <c r="J135" s="69"/>
      <c r="K135" s="69"/>
      <c r="L135" s="69"/>
      <c r="M135" s="69"/>
      <c r="N135" s="67"/>
      <c r="O135" s="70"/>
      <c r="P135" s="69"/>
    </row>
    <row r="136" spans="2:16">
      <c r="B136" s="67"/>
      <c r="C136" s="67"/>
      <c r="D136" s="67"/>
      <c r="E136" s="67"/>
      <c r="F136" s="67"/>
      <c r="G136" s="67"/>
      <c r="H136" s="67"/>
      <c r="I136" s="67"/>
      <c r="J136" s="69"/>
      <c r="K136" s="69"/>
      <c r="L136" s="69"/>
      <c r="M136" s="69"/>
      <c r="N136" s="67"/>
      <c r="O136" s="70"/>
      <c r="P136" s="69"/>
    </row>
    <row r="137" spans="2:16">
      <c r="B137" s="67"/>
      <c r="C137" s="67"/>
      <c r="D137" s="67"/>
      <c r="E137" s="67"/>
      <c r="F137" s="67"/>
      <c r="G137" s="67"/>
      <c r="H137" s="67"/>
      <c r="I137" s="67"/>
      <c r="J137" s="69"/>
      <c r="K137" s="69"/>
      <c r="L137" s="69"/>
      <c r="M137" s="69"/>
      <c r="N137" s="67"/>
      <c r="O137" s="70"/>
      <c r="P137" s="69"/>
    </row>
    <row r="138" spans="2:16">
      <c r="B138" s="67"/>
      <c r="C138" s="67"/>
      <c r="D138" s="67"/>
      <c r="E138" s="67"/>
      <c r="F138" s="67"/>
      <c r="G138" s="67"/>
      <c r="H138" s="67"/>
      <c r="I138" s="67"/>
      <c r="J138" s="69"/>
      <c r="K138" s="69"/>
      <c r="L138" s="69"/>
      <c r="M138" s="69"/>
      <c r="N138" s="67"/>
      <c r="O138" s="70"/>
      <c r="P138" s="69"/>
    </row>
    <row r="139" spans="2:16">
      <c r="B139" s="67"/>
      <c r="C139" s="67"/>
      <c r="D139" s="67"/>
      <c r="E139" s="67"/>
      <c r="F139" s="67"/>
      <c r="G139" s="67"/>
      <c r="H139" s="67"/>
      <c r="I139" s="67"/>
      <c r="J139" s="69"/>
      <c r="K139" s="69"/>
      <c r="L139" s="69"/>
      <c r="M139" s="69"/>
      <c r="N139" s="67"/>
      <c r="O139" s="70"/>
      <c r="P139" s="69"/>
    </row>
    <row r="140" spans="2:16">
      <c r="B140" s="67"/>
      <c r="C140" s="67"/>
      <c r="D140" s="67"/>
      <c r="E140" s="67"/>
      <c r="F140" s="67"/>
      <c r="G140" s="67"/>
      <c r="H140" s="67"/>
      <c r="I140" s="67"/>
      <c r="J140" s="69"/>
      <c r="K140" s="69"/>
      <c r="L140" s="69"/>
      <c r="M140" s="69"/>
      <c r="N140" s="67"/>
      <c r="O140" s="70"/>
      <c r="P140" s="69"/>
    </row>
    <row r="141" spans="2:16">
      <c r="B141" s="67"/>
      <c r="C141" s="67"/>
      <c r="D141" s="67"/>
      <c r="E141" s="67"/>
      <c r="F141" s="67"/>
      <c r="G141" s="67"/>
      <c r="H141" s="67"/>
      <c r="I141" s="67"/>
      <c r="J141" s="69"/>
      <c r="K141" s="69"/>
      <c r="L141" s="69"/>
      <c r="M141" s="69"/>
      <c r="N141" s="67"/>
      <c r="O141" s="70"/>
      <c r="P141" s="69"/>
    </row>
    <row r="142" spans="2:16">
      <c r="B142" s="67"/>
      <c r="C142" s="67"/>
      <c r="D142" s="67"/>
      <c r="E142" s="67"/>
      <c r="F142" s="67"/>
      <c r="G142" s="67"/>
      <c r="H142" s="67"/>
      <c r="I142" s="67"/>
      <c r="J142" s="69"/>
      <c r="K142" s="69"/>
      <c r="L142" s="69"/>
      <c r="M142" s="69"/>
      <c r="N142" s="67"/>
      <c r="O142" s="70"/>
      <c r="P142" s="69"/>
    </row>
    <row r="143" spans="2:16">
      <c r="B143" s="67"/>
      <c r="C143" s="67"/>
      <c r="D143" s="67"/>
      <c r="E143" s="67"/>
      <c r="F143" s="67"/>
      <c r="G143" s="67"/>
      <c r="H143" s="67"/>
      <c r="I143" s="67"/>
      <c r="J143" s="69"/>
      <c r="K143" s="69"/>
      <c r="L143" s="69"/>
      <c r="M143" s="69"/>
      <c r="N143" s="67"/>
      <c r="O143" s="70"/>
      <c r="P143" s="69"/>
    </row>
    <row r="144" spans="2:16">
      <c r="B144" s="67"/>
      <c r="C144" s="67"/>
      <c r="D144" s="67"/>
      <c r="E144" s="67"/>
      <c r="F144" s="67"/>
      <c r="G144" s="67"/>
      <c r="H144" s="67"/>
      <c r="I144" s="67"/>
      <c r="J144" s="69"/>
      <c r="K144" s="69"/>
      <c r="L144" s="69"/>
      <c r="M144" s="69"/>
      <c r="N144" s="67"/>
      <c r="O144" s="70"/>
      <c r="P144" s="69"/>
    </row>
    <row r="145" spans="2:16">
      <c r="B145" s="67"/>
      <c r="C145" s="67"/>
      <c r="D145" s="67"/>
      <c r="E145" s="67"/>
      <c r="F145" s="67"/>
      <c r="G145" s="67"/>
      <c r="H145" s="67"/>
      <c r="I145" s="67"/>
      <c r="J145" s="69"/>
      <c r="K145" s="69"/>
      <c r="L145" s="69"/>
      <c r="M145" s="69"/>
      <c r="N145" s="67"/>
      <c r="O145" s="70"/>
      <c r="P145" s="69"/>
    </row>
    <row r="146" spans="2:16">
      <c r="B146" s="67"/>
      <c r="C146" s="67"/>
      <c r="D146" s="67"/>
      <c r="E146" s="67"/>
      <c r="F146" s="67"/>
      <c r="G146" s="67"/>
      <c r="H146" s="67"/>
      <c r="I146" s="67"/>
      <c r="J146" s="69"/>
      <c r="K146" s="69"/>
      <c r="L146" s="69"/>
      <c r="M146" s="69"/>
      <c r="N146" s="67"/>
      <c r="O146" s="70"/>
      <c r="P146" s="69"/>
    </row>
    <row r="147" spans="2:16">
      <c r="B147" s="67"/>
      <c r="C147" s="67"/>
      <c r="D147" s="67"/>
      <c r="E147" s="67"/>
      <c r="F147" s="67"/>
      <c r="G147" s="67"/>
      <c r="H147" s="67"/>
      <c r="I147" s="67"/>
      <c r="J147" s="69"/>
      <c r="K147" s="69"/>
      <c r="L147" s="69"/>
      <c r="M147" s="69"/>
      <c r="N147" s="67"/>
      <c r="O147" s="70"/>
      <c r="P147" s="69"/>
    </row>
    <row r="148" spans="2:16">
      <c r="B148" s="67"/>
      <c r="C148" s="67"/>
      <c r="D148" s="67"/>
      <c r="E148" s="67"/>
      <c r="F148" s="67"/>
      <c r="G148" s="67"/>
      <c r="H148" s="67"/>
      <c r="I148" s="67"/>
      <c r="J148" s="69"/>
      <c r="K148" s="69"/>
      <c r="L148" s="69"/>
      <c r="M148" s="69"/>
      <c r="N148" s="67"/>
      <c r="O148" s="70"/>
      <c r="P148" s="69"/>
    </row>
    <row r="149" spans="2:16">
      <c r="B149" s="67"/>
      <c r="C149" s="67"/>
      <c r="D149" s="67"/>
      <c r="E149" s="67"/>
      <c r="F149" s="67"/>
      <c r="G149" s="67"/>
      <c r="H149" s="67"/>
      <c r="I149" s="67"/>
      <c r="J149" s="69"/>
      <c r="K149" s="69"/>
      <c r="L149" s="69"/>
      <c r="M149" s="69"/>
      <c r="N149" s="67"/>
      <c r="O149" s="70"/>
      <c r="P149" s="69"/>
    </row>
    <row r="150" spans="2:16">
      <c r="B150" s="67"/>
      <c r="C150" s="67"/>
      <c r="D150" s="67"/>
      <c r="E150" s="67"/>
      <c r="F150" s="67"/>
      <c r="G150" s="67"/>
      <c r="H150" s="67"/>
      <c r="I150" s="67"/>
      <c r="J150" s="69"/>
      <c r="K150" s="69"/>
      <c r="L150" s="69"/>
      <c r="M150" s="69"/>
      <c r="N150" s="67"/>
      <c r="O150" s="70"/>
      <c r="P150" s="69"/>
    </row>
    <row r="151" spans="2:16">
      <c r="B151" s="67"/>
      <c r="C151" s="67"/>
      <c r="D151" s="67"/>
      <c r="E151" s="67"/>
      <c r="F151" s="67"/>
      <c r="G151" s="67"/>
      <c r="H151" s="67"/>
      <c r="I151" s="67"/>
      <c r="J151" s="69"/>
      <c r="K151" s="69"/>
      <c r="L151" s="69"/>
      <c r="M151" s="69"/>
      <c r="N151" s="67"/>
      <c r="O151" s="70"/>
      <c r="P151" s="69"/>
    </row>
    <row r="152" spans="2:16">
      <c r="B152" s="67"/>
      <c r="C152" s="67"/>
      <c r="D152" s="67"/>
      <c r="E152" s="67"/>
      <c r="F152" s="67"/>
      <c r="G152" s="67"/>
      <c r="H152" s="67"/>
      <c r="I152" s="67"/>
      <c r="J152" s="69"/>
      <c r="K152" s="69"/>
      <c r="L152" s="69"/>
      <c r="M152" s="69"/>
      <c r="N152" s="67"/>
      <c r="O152" s="70"/>
      <c r="P152" s="69"/>
    </row>
    <row r="153" spans="2:16">
      <c r="B153" s="67"/>
      <c r="C153" s="67"/>
      <c r="D153" s="67"/>
      <c r="E153" s="67"/>
      <c r="F153" s="67"/>
      <c r="G153" s="67"/>
      <c r="H153" s="67"/>
      <c r="I153" s="67"/>
      <c r="J153" s="69"/>
      <c r="K153" s="69"/>
      <c r="L153" s="69"/>
      <c r="M153" s="69"/>
      <c r="N153" s="67"/>
      <c r="O153" s="70"/>
      <c r="P153" s="69"/>
    </row>
    <row r="154" spans="2:16">
      <c r="B154" s="67"/>
      <c r="C154" s="67"/>
      <c r="D154" s="67"/>
      <c r="E154" s="67"/>
      <c r="F154" s="67"/>
      <c r="G154" s="67"/>
      <c r="H154" s="67"/>
      <c r="I154" s="67"/>
      <c r="J154" s="69"/>
      <c r="K154" s="69"/>
      <c r="L154" s="69"/>
      <c r="M154" s="69"/>
      <c r="N154" s="67"/>
      <c r="O154" s="70"/>
      <c r="P154" s="69"/>
    </row>
    <row r="155" spans="2:16">
      <c r="B155" s="67"/>
      <c r="C155" s="67"/>
      <c r="D155" s="67"/>
      <c r="E155" s="67"/>
      <c r="F155" s="67"/>
      <c r="G155" s="67"/>
      <c r="H155" s="67"/>
      <c r="I155" s="67"/>
      <c r="J155" s="69"/>
      <c r="K155" s="69"/>
      <c r="L155" s="69"/>
      <c r="M155" s="69"/>
      <c r="N155" s="67"/>
      <c r="O155" s="70"/>
      <c r="P155" s="69"/>
    </row>
    <row r="156" spans="2:16">
      <c r="B156" s="67"/>
      <c r="C156" s="67"/>
      <c r="D156" s="67"/>
      <c r="E156" s="67"/>
      <c r="F156" s="67"/>
      <c r="G156" s="67"/>
      <c r="H156" s="67"/>
      <c r="I156" s="67"/>
      <c r="J156" s="69"/>
      <c r="K156" s="69"/>
      <c r="L156" s="69"/>
      <c r="M156" s="69"/>
      <c r="N156" s="67"/>
      <c r="O156" s="70"/>
      <c r="P156" s="69"/>
    </row>
    <row r="157" spans="2:16">
      <c r="B157" s="67"/>
      <c r="C157" s="67"/>
      <c r="D157" s="67"/>
      <c r="E157" s="67"/>
      <c r="F157" s="67"/>
      <c r="G157" s="67"/>
      <c r="H157" s="67"/>
      <c r="I157" s="67"/>
      <c r="J157" s="69"/>
      <c r="K157" s="69"/>
      <c r="L157" s="69"/>
      <c r="M157" s="69"/>
      <c r="N157" s="67"/>
      <c r="O157" s="70"/>
      <c r="P157" s="69"/>
    </row>
    <row r="158" spans="2:16">
      <c r="B158" s="67"/>
      <c r="C158" s="67"/>
      <c r="D158" s="67"/>
      <c r="E158" s="67"/>
      <c r="F158" s="67"/>
      <c r="G158" s="67"/>
      <c r="H158" s="67"/>
      <c r="I158" s="67"/>
      <c r="J158" s="69"/>
      <c r="K158" s="69"/>
      <c r="L158" s="69"/>
      <c r="M158" s="69"/>
      <c r="N158" s="67"/>
      <c r="O158" s="70"/>
      <c r="P158" s="69"/>
    </row>
    <row r="159" spans="2:16">
      <c r="B159" s="67"/>
      <c r="C159" s="67"/>
      <c r="D159" s="67"/>
      <c r="E159" s="67"/>
      <c r="F159" s="67"/>
      <c r="G159" s="67"/>
      <c r="H159" s="67"/>
      <c r="I159" s="67"/>
      <c r="J159" s="69"/>
      <c r="K159" s="69"/>
      <c r="L159" s="69"/>
      <c r="M159" s="69"/>
      <c r="N159" s="67"/>
      <c r="O159" s="70"/>
      <c r="P159" s="69"/>
    </row>
    <row r="160" spans="2:16">
      <c r="B160" s="67"/>
      <c r="C160" s="67"/>
      <c r="D160" s="67"/>
      <c r="E160" s="67"/>
      <c r="F160" s="67"/>
      <c r="G160" s="67"/>
      <c r="H160" s="67"/>
      <c r="I160" s="67"/>
      <c r="J160" s="69"/>
      <c r="K160" s="69"/>
      <c r="L160" s="69"/>
      <c r="M160" s="69"/>
      <c r="N160" s="67"/>
      <c r="O160" s="70"/>
      <c r="P160" s="69"/>
    </row>
    <row r="161" spans="2:16">
      <c r="B161" s="67"/>
      <c r="C161" s="67"/>
      <c r="D161" s="67"/>
      <c r="E161" s="67"/>
      <c r="F161" s="67"/>
      <c r="G161" s="67"/>
      <c r="H161" s="67"/>
      <c r="I161" s="67"/>
      <c r="J161" s="69"/>
      <c r="K161" s="69"/>
      <c r="L161" s="69"/>
      <c r="M161" s="69"/>
      <c r="N161" s="67"/>
      <c r="O161" s="70"/>
      <c r="P161" s="69"/>
    </row>
    <row r="162" spans="2:16">
      <c r="B162" s="67"/>
      <c r="C162" s="67"/>
      <c r="D162" s="67"/>
      <c r="E162" s="67"/>
      <c r="F162" s="67"/>
      <c r="G162" s="67"/>
      <c r="H162" s="67"/>
      <c r="I162" s="67"/>
      <c r="J162" s="69"/>
      <c r="K162" s="69"/>
      <c r="L162" s="69"/>
      <c r="M162" s="69"/>
      <c r="N162" s="67"/>
      <c r="O162" s="70"/>
      <c r="P162" s="69"/>
    </row>
    <row r="163" spans="2:16">
      <c r="B163" s="67"/>
      <c r="C163" s="67"/>
      <c r="D163" s="67"/>
      <c r="E163" s="67"/>
      <c r="F163" s="67"/>
      <c r="G163" s="67"/>
      <c r="H163" s="67"/>
      <c r="I163" s="67"/>
      <c r="J163" s="69"/>
      <c r="K163" s="69"/>
      <c r="L163" s="69"/>
      <c r="M163" s="69"/>
      <c r="N163" s="67"/>
      <c r="O163" s="70"/>
      <c r="P163" s="69"/>
    </row>
    <row r="164" spans="2:16">
      <c r="B164" s="67"/>
      <c r="C164" s="67"/>
      <c r="D164" s="67"/>
      <c r="E164" s="67"/>
      <c r="F164" s="67"/>
      <c r="G164" s="67"/>
      <c r="H164" s="67"/>
      <c r="I164" s="67"/>
      <c r="J164" s="69"/>
      <c r="K164" s="69"/>
      <c r="L164" s="69"/>
      <c r="M164" s="69"/>
      <c r="N164" s="67"/>
      <c r="O164" s="70"/>
      <c r="P164" s="69"/>
    </row>
    <row r="165" spans="2:16">
      <c r="B165" s="67"/>
      <c r="C165" s="67"/>
      <c r="D165" s="67"/>
      <c r="E165" s="67"/>
      <c r="F165" s="67"/>
      <c r="G165" s="67"/>
      <c r="H165" s="67"/>
      <c r="I165" s="67"/>
      <c r="J165" s="69"/>
      <c r="K165" s="69"/>
      <c r="L165" s="69"/>
      <c r="M165" s="69"/>
      <c r="N165" s="67"/>
      <c r="O165" s="70"/>
      <c r="P165" s="69"/>
    </row>
    <row r="166" spans="2:16">
      <c r="B166" s="67"/>
      <c r="C166" s="67"/>
      <c r="D166" s="67"/>
      <c r="E166" s="67"/>
      <c r="F166" s="67"/>
      <c r="G166" s="67"/>
      <c r="H166" s="67"/>
      <c r="I166" s="67"/>
      <c r="J166" s="69"/>
      <c r="K166" s="69"/>
      <c r="L166" s="69"/>
      <c r="M166" s="69"/>
      <c r="N166" s="67"/>
      <c r="O166" s="70"/>
      <c r="P166" s="69"/>
    </row>
    <row r="167" spans="2:16">
      <c r="B167" s="67"/>
      <c r="C167" s="67"/>
      <c r="D167" s="67"/>
      <c r="E167" s="67"/>
      <c r="F167" s="67"/>
      <c r="G167" s="67"/>
      <c r="H167" s="67"/>
      <c r="I167" s="67"/>
      <c r="J167" s="69"/>
      <c r="K167" s="69"/>
      <c r="L167" s="69"/>
      <c r="M167" s="69"/>
      <c r="N167" s="67"/>
      <c r="O167" s="70"/>
      <c r="P167" s="69"/>
    </row>
    <row r="168" spans="2:16">
      <c r="B168" s="67"/>
      <c r="C168" s="67"/>
      <c r="D168" s="67"/>
      <c r="E168" s="67"/>
      <c r="F168" s="67"/>
      <c r="G168" s="67"/>
      <c r="H168" s="67"/>
      <c r="I168" s="67"/>
      <c r="J168" s="69"/>
      <c r="K168" s="69"/>
      <c r="L168" s="69"/>
      <c r="M168" s="69"/>
      <c r="N168" s="67"/>
      <c r="O168" s="70"/>
      <c r="P168" s="69"/>
    </row>
    <row r="169" spans="2:16">
      <c r="B169" s="67"/>
      <c r="C169" s="67"/>
      <c r="D169" s="67"/>
      <c r="E169" s="67"/>
      <c r="F169" s="67"/>
      <c r="G169" s="67"/>
      <c r="H169" s="67"/>
      <c r="I169" s="67"/>
      <c r="J169" s="69"/>
      <c r="K169" s="69"/>
      <c r="L169" s="69"/>
      <c r="M169" s="69"/>
      <c r="N169" s="67"/>
      <c r="O169" s="70"/>
      <c r="P169" s="69"/>
    </row>
    <row r="170" spans="2:16">
      <c r="B170" s="67"/>
      <c r="C170" s="67"/>
      <c r="D170" s="67"/>
      <c r="E170" s="67"/>
      <c r="F170" s="67"/>
      <c r="G170" s="67"/>
      <c r="H170" s="67"/>
      <c r="I170" s="67"/>
      <c r="J170" s="69"/>
      <c r="K170" s="69"/>
      <c r="L170" s="69"/>
      <c r="M170" s="69"/>
      <c r="N170" s="67"/>
      <c r="O170" s="70"/>
      <c r="P170" s="69"/>
    </row>
    <row r="171" spans="2:16">
      <c r="B171" s="67"/>
      <c r="C171" s="67"/>
      <c r="D171" s="67"/>
      <c r="E171" s="67"/>
      <c r="F171" s="67"/>
      <c r="G171" s="67"/>
      <c r="H171" s="67"/>
      <c r="I171" s="67"/>
      <c r="J171" s="69"/>
      <c r="K171" s="69"/>
      <c r="L171" s="69"/>
      <c r="M171" s="69"/>
      <c r="N171" s="67"/>
      <c r="O171" s="70"/>
      <c r="P171" s="69"/>
    </row>
    <row r="172" spans="2:16">
      <c r="B172" s="67"/>
      <c r="C172" s="67"/>
      <c r="D172" s="67"/>
      <c r="E172" s="67"/>
      <c r="F172" s="67"/>
      <c r="G172" s="67"/>
      <c r="H172" s="67"/>
      <c r="I172" s="67"/>
      <c r="J172" s="69"/>
      <c r="K172" s="69"/>
      <c r="L172" s="69"/>
      <c r="M172" s="69"/>
      <c r="N172" s="67"/>
      <c r="O172" s="70"/>
      <c r="P172" s="69"/>
    </row>
    <row r="173" spans="2:16">
      <c r="B173" s="67"/>
      <c r="C173" s="67"/>
      <c r="D173" s="67"/>
      <c r="E173" s="67"/>
      <c r="F173" s="67"/>
      <c r="G173" s="67"/>
      <c r="H173" s="67"/>
      <c r="I173" s="67"/>
      <c r="J173" s="69"/>
      <c r="K173" s="69"/>
      <c r="L173" s="69"/>
      <c r="M173" s="69"/>
      <c r="N173" s="67"/>
      <c r="O173" s="70"/>
      <c r="P173" s="69"/>
    </row>
    <row r="174" spans="2:16">
      <c r="B174" s="67"/>
      <c r="C174" s="67"/>
      <c r="D174" s="67"/>
      <c r="E174" s="67"/>
      <c r="F174" s="67"/>
      <c r="G174" s="67"/>
      <c r="H174" s="67"/>
      <c r="I174" s="67"/>
      <c r="J174" s="69"/>
      <c r="K174" s="69"/>
      <c r="L174" s="69"/>
      <c r="M174" s="69"/>
      <c r="N174" s="67"/>
      <c r="O174" s="70"/>
      <c r="P174" s="69"/>
    </row>
    <row r="175" spans="2:16">
      <c r="B175" s="67"/>
      <c r="C175" s="67"/>
      <c r="D175" s="67"/>
      <c r="E175" s="67"/>
      <c r="F175" s="67"/>
      <c r="G175" s="67"/>
      <c r="H175" s="67"/>
      <c r="I175" s="67"/>
      <c r="J175" s="69"/>
      <c r="K175" s="69"/>
      <c r="L175" s="69"/>
      <c r="M175" s="69"/>
      <c r="N175" s="67"/>
      <c r="O175" s="70"/>
      <c r="P175" s="69"/>
    </row>
    <row r="176" spans="2:16">
      <c r="B176" s="67"/>
      <c r="C176" s="67"/>
      <c r="D176" s="67"/>
      <c r="E176" s="67"/>
      <c r="F176" s="67"/>
      <c r="G176" s="67"/>
      <c r="H176" s="67"/>
      <c r="I176" s="67"/>
      <c r="J176" s="69"/>
      <c r="K176" s="69"/>
      <c r="L176" s="69"/>
      <c r="M176" s="69"/>
      <c r="N176" s="67"/>
      <c r="O176" s="70"/>
      <c r="P176" s="69"/>
    </row>
    <row r="177" spans="2:16">
      <c r="B177" s="67"/>
      <c r="C177" s="67"/>
      <c r="D177" s="67"/>
      <c r="E177" s="67"/>
      <c r="F177" s="67"/>
      <c r="G177" s="67"/>
      <c r="H177" s="67"/>
      <c r="I177" s="67"/>
      <c r="J177" s="69"/>
      <c r="K177" s="69"/>
      <c r="L177" s="69"/>
      <c r="M177" s="69"/>
      <c r="N177" s="67"/>
      <c r="O177" s="70"/>
      <c r="P177" s="69"/>
    </row>
    <row r="178" spans="2:16">
      <c r="B178" s="67"/>
      <c r="C178" s="67"/>
      <c r="D178" s="67"/>
      <c r="E178" s="67"/>
      <c r="F178" s="67"/>
      <c r="G178" s="67"/>
      <c r="H178" s="67"/>
      <c r="I178" s="67"/>
      <c r="J178" s="69"/>
      <c r="K178" s="69"/>
      <c r="L178" s="69"/>
      <c r="M178" s="69"/>
      <c r="N178" s="67"/>
      <c r="O178" s="70"/>
      <c r="P178" s="69"/>
    </row>
    <row r="179" spans="2:16">
      <c r="B179" s="67"/>
      <c r="C179" s="67"/>
      <c r="D179" s="67"/>
      <c r="E179" s="67"/>
      <c r="F179" s="67"/>
      <c r="G179" s="67"/>
      <c r="H179" s="67"/>
      <c r="I179" s="67"/>
      <c r="J179" s="69"/>
      <c r="K179" s="69"/>
      <c r="L179" s="69"/>
      <c r="M179" s="69"/>
      <c r="N179" s="67"/>
      <c r="O179" s="70"/>
      <c r="P179" s="69"/>
    </row>
    <row r="180" spans="2:16">
      <c r="B180" s="67"/>
      <c r="C180" s="67"/>
      <c r="D180" s="67"/>
      <c r="E180" s="67"/>
      <c r="F180" s="67"/>
      <c r="G180" s="67"/>
      <c r="H180" s="67"/>
      <c r="I180" s="67"/>
      <c r="J180" s="69"/>
      <c r="K180" s="69"/>
      <c r="L180" s="69"/>
      <c r="M180" s="69"/>
      <c r="N180" s="67"/>
      <c r="O180" s="70"/>
      <c r="P180" s="69"/>
    </row>
    <row r="181" spans="2:16">
      <c r="B181" s="67"/>
      <c r="C181" s="67"/>
      <c r="D181" s="67"/>
      <c r="E181" s="67"/>
      <c r="F181" s="67"/>
      <c r="G181" s="67"/>
      <c r="H181" s="67"/>
      <c r="I181" s="67"/>
      <c r="J181" s="69"/>
      <c r="K181" s="69"/>
      <c r="L181" s="69"/>
      <c r="M181" s="69"/>
      <c r="N181" s="67"/>
      <c r="O181" s="70"/>
      <c r="P181" s="69"/>
    </row>
    <row r="182" spans="2:16">
      <c r="B182" s="67"/>
      <c r="C182" s="67"/>
      <c r="D182" s="67"/>
      <c r="E182" s="67"/>
      <c r="F182" s="67"/>
      <c r="G182" s="67"/>
      <c r="H182" s="67"/>
      <c r="I182" s="67"/>
      <c r="J182" s="69"/>
      <c r="K182" s="69"/>
      <c r="L182" s="69"/>
      <c r="M182" s="69"/>
      <c r="N182" s="67"/>
      <c r="O182" s="70"/>
      <c r="P182" s="69"/>
    </row>
    <row r="183" spans="2:16">
      <c r="B183" s="67"/>
      <c r="C183" s="67"/>
      <c r="D183" s="67"/>
      <c r="E183" s="67"/>
      <c r="F183" s="67"/>
      <c r="G183" s="67"/>
      <c r="H183" s="67"/>
      <c r="I183" s="67"/>
      <c r="J183" s="69"/>
      <c r="K183" s="69"/>
      <c r="L183" s="69"/>
      <c r="M183" s="69"/>
      <c r="N183" s="67"/>
      <c r="O183" s="70"/>
      <c r="P183" s="69"/>
    </row>
    <row r="184" spans="2:16">
      <c r="B184" s="67"/>
      <c r="C184" s="67"/>
      <c r="D184" s="67"/>
      <c r="E184" s="67"/>
      <c r="F184" s="67"/>
      <c r="G184" s="67"/>
      <c r="H184" s="67"/>
      <c r="I184" s="67"/>
      <c r="J184" s="69"/>
      <c r="K184" s="69"/>
      <c r="L184" s="69"/>
      <c r="M184" s="69"/>
      <c r="N184" s="67"/>
      <c r="O184" s="70"/>
      <c r="P184" s="69"/>
    </row>
    <row r="185" spans="2:16">
      <c r="B185" s="67"/>
      <c r="C185" s="67"/>
      <c r="D185" s="67"/>
      <c r="E185" s="67"/>
      <c r="F185" s="67"/>
      <c r="G185" s="67"/>
      <c r="H185" s="67"/>
      <c r="I185" s="67"/>
      <c r="J185" s="69"/>
      <c r="K185" s="69"/>
      <c r="L185" s="69"/>
      <c r="M185" s="69"/>
      <c r="N185" s="67"/>
      <c r="O185" s="70"/>
      <c r="P185" s="69"/>
    </row>
    <row r="186" spans="2:16">
      <c r="I186" s="67"/>
      <c r="J186" s="69"/>
      <c r="K186" s="69"/>
      <c r="L186" s="69"/>
      <c r="M186" s="69"/>
      <c r="N186" s="67"/>
      <c r="O186" s="70"/>
      <c r="P186" s="69"/>
    </row>
    <row r="187" spans="2:16">
      <c r="I187" s="67"/>
      <c r="J187" s="69"/>
      <c r="K187" s="69"/>
      <c r="L187" s="69"/>
      <c r="M187" s="69"/>
      <c r="N187" s="67"/>
      <c r="O187" s="70"/>
      <c r="P187" s="69"/>
    </row>
    <row r="188" spans="2:16">
      <c r="I188" s="67"/>
      <c r="J188" s="69"/>
      <c r="K188" s="69"/>
      <c r="L188" s="69"/>
      <c r="M188" s="69"/>
      <c r="N188" s="67"/>
      <c r="O188" s="70"/>
      <c r="P188" s="69"/>
    </row>
    <row r="189" spans="2:16">
      <c r="I189" s="67"/>
      <c r="J189" s="69"/>
      <c r="K189" s="69"/>
      <c r="L189" s="69"/>
      <c r="M189" s="69"/>
      <c r="N189" s="67"/>
      <c r="O189" s="70"/>
      <c r="P189" s="69"/>
    </row>
    <row r="190" spans="2:16">
      <c r="I190" s="67"/>
      <c r="J190" s="69"/>
      <c r="K190" s="69"/>
      <c r="L190" s="69"/>
      <c r="M190" s="69"/>
      <c r="N190" s="67"/>
      <c r="O190" s="70"/>
      <c r="P190" s="69"/>
    </row>
    <row r="191" spans="2:16">
      <c r="I191" s="67"/>
      <c r="J191" s="69"/>
      <c r="K191" s="69"/>
      <c r="L191" s="69"/>
      <c r="M191" s="69"/>
      <c r="N191" s="67"/>
      <c r="O191" s="70"/>
      <c r="P191" s="69"/>
    </row>
    <row r="192" spans="2:16">
      <c r="I192" s="67"/>
      <c r="J192" s="69"/>
      <c r="K192" s="69"/>
      <c r="L192" s="69"/>
      <c r="M192" s="69"/>
      <c r="N192" s="67"/>
      <c r="O192" s="70"/>
      <c r="P192" s="69"/>
    </row>
    <row r="193" spans="9:16">
      <c r="I193" s="67"/>
      <c r="J193" s="69"/>
      <c r="K193" s="69"/>
      <c r="L193" s="69"/>
      <c r="M193" s="69"/>
      <c r="N193" s="67"/>
      <c r="O193" s="70"/>
      <c r="P193" s="69"/>
    </row>
    <row r="194" spans="9:16">
      <c r="I194" s="67"/>
      <c r="J194" s="69"/>
      <c r="K194" s="69"/>
      <c r="L194" s="69"/>
      <c r="M194" s="69"/>
      <c r="N194" s="67"/>
      <c r="O194" s="70"/>
      <c r="P194" s="69"/>
    </row>
    <row r="195" spans="9:16">
      <c r="I195" s="67"/>
      <c r="J195" s="69"/>
      <c r="K195" s="69"/>
      <c r="L195" s="69"/>
      <c r="M195" s="69"/>
      <c r="N195" s="67"/>
      <c r="O195" s="70"/>
      <c r="P195" s="69"/>
    </row>
    <row r="196" spans="9:16">
      <c r="I196" s="67"/>
      <c r="J196" s="69"/>
      <c r="K196" s="69"/>
      <c r="L196" s="69"/>
      <c r="M196" s="69"/>
      <c r="N196" s="67"/>
      <c r="O196" s="70"/>
      <c r="P196" s="69"/>
    </row>
    <row r="197" spans="9:16">
      <c r="I197" s="67"/>
      <c r="J197" s="69"/>
      <c r="K197" s="69"/>
      <c r="L197" s="69"/>
      <c r="M197" s="69"/>
      <c r="N197" s="67"/>
      <c r="O197" s="70"/>
      <c r="P197" s="69"/>
    </row>
    <row r="198" spans="9:16">
      <c r="I198" s="67"/>
      <c r="J198" s="69"/>
      <c r="K198" s="69"/>
      <c r="L198" s="69"/>
      <c r="M198" s="69"/>
      <c r="N198" s="67"/>
      <c r="O198" s="70"/>
      <c r="P198" s="69"/>
    </row>
    <row r="199" spans="9:16">
      <c r="I199" s="67"/>
      <c r="J199" s="69"/>
      <c r="K199" s="69"/>
      <c r="L199" s="69"/>
      <c r="M199" s="69"/>
      <c r="N199" s="67"/>
      <c r="O199" s="70"/>
      <c r="P199" s="69"/>
    </row>
    <row r="200" spans="9:16">
      <c r="I200" s="67"/>
      <c r="J200" s="69"/>
      <c r="K200" s="69"/>
      <c r="L200" s="69"/>
      <c r="M200" s="69"/>
      <c r="N200" s="67"/>
      <c r="O200" s="70"/>
      <c r="P200" s="69"/>
    </row>
    <row r="201" spans="9:16">
      <c r="I201" s="67"/>
      <c r="J201" s="69"/>
      <c r="K201" s="69"/>
      <c r="L201" s="69"/>
      <c r="M201" s="69"/>
      <c r="N201" s="67"/>
      <c r="O201" s="70"/>
      <c r="P201" s="69"/>
    </row>
    <row r="202" spans="9:16">
      <c r="I202" s="67"/>
      <c r="J202" s="69"/>
      <c r="K202" s="69"/>
      <c r="L202" s="69"/>
      <c r="M202" s="69"/>
      <c r="N202" s="67"/>
      <c r="O202" s="70"/>
      <c r="P202" s="69"/>
    </row>
    <row r="203" spans="9:16">
      <c r="I203" s="67"/>
      <c r="J203" s="69"/>
      <c r="K203" s="69"/>
      <c r="L203" s="69"/>
      <c r="M203" s="69"/>
      <c r="N203" s="67"/>
      <c r="O203" s="70"/>
      <c r="P203" s="69"/>
    </row>
    <row r="204" spans="9:16">
      <c r="I204" s="67"/>
      <c r="J204" s="69"/>
      <c r="K204" s="69"/>
      <c r="L204" s="69"/>
      <c r="M204" s="69"/>
      <c r="N204" s="67"/>
      <c r="O204" s="70"/>
      <c r="P204" s="69"/>
    </row>
    <row r="205" spans="9:16">
      <c r="I205" s="67"/>
      <c r="J205" s="69"/>
      <c r="K205" s="69"/>
      <c r="L205" s="69"/>
      <c r="M205" s="69"/>
      <c r="N205" s="67"/>
      <c r="O205" s="70"/>
      <c r="P205" s="69"/>
    </row>
    <row r="206" spans="9:16">
      <c r="I206" s="67"/>
      <c r="J206" s="69"/>
      <c r="K206" s="69"/>
      <c r="L206" s="69"/>
      <c r="M206" s="69"/>
      <c r="N206" s="67"/>
      <c r="O206" s="70"/>
      <c r="P206" s="69"/>
    </row>
    <row r="207" spans="9:16">
      <c r="I207" s="67"/>
      <c r="J207" s="69"/>
      <c r="K207" s="69"/>
      <c r="L207" s="69"/>
      <c r="M207" s="69"/>
      <c r="N207" s="67"/>
      <c r="O207" s="70"/>
      <c r="P207" s="69"/>
    </row>
    <row r="208" spans="9:16">
      <c r="I208" s="67"/>
      <c r="J208" s="69"/>
      <c r="K208" s="69"/>
      <c r="L208" s="69"/>
      <c r="M208" s="69"/>
      <c r="N208" s="67"/>
      <c r="O208" s="70"/>
      <c r="P208" s="69"/>
    </row>
    <row r="209" spans="9:16">
      <c r="I209" s="67"/>
      <c r="J209" s="69"/>
      <c r="K209" s="69"/>
      <c r="L209" s="69"/>
      <c r="M209" s="69"/>
      <c r="N209" s="67"/>
      <c r="O209" s="70"/>
      <c r="P209" s="69"/>
    </row>
    <row r="210" spans="9:16">
      <c r="I210" s="67"/>
      <c r="J210" s="69"/>
      <c r="K210" s="69"/>
      <c r="L210" s="69"/>
      <c r="M210" s="69"/>
      <c r="N210" s="67"/>
      <c r="O210" s="70"/>
      <c r="P210" s="69"/>
    </row>
    <row r="211" spans="9:16">
      <c r="I211" s="67"/>
      <c r="J211" s="69"/>
      <c r="K211" s="69"/>
      <c r="L211" s="69"/>
      <c r="M211" s="69"/>
      <c r="N211" s="67"/>
      <c r="O211" s="70"/>
      <c r="P211" s="69"/>
    </row>
    <row r="212" spans="9:16">
      <c r="I212" s="67"/>
      <c r="J212" s="69"/>
      <c r="K212" s="69"/>
      <c r="L212" s="69"/>
      <c r="M212" s="69"/>
      <c r="N212" s="67"/>
      <c r="O212" s="70"/>
      <c r="P212" s="69"/>
    </row>
    <row r="213" spans="9:16">
      <c r="I213" s="67"/>
      <c r="J213" s="69"/>
      <c r="K213" s="69"/>
      <c r="L213" s="69"/>
      <c r="M213" s="69"/>
      <c r="N213" s="67"/>
      <c r="O213" s="70"/>
      <c r="P213" s="69"/>
    </row>
    <row r="214" spans="9:16">
      <c r="I214" s="67"/>
      <c r="J214" s="69"/>
      <c r="K214" s="69"/>
      <c r="L214" s="69"/>
      <c r="M214" s="69"/>
      <c r="N214" s="67"/>
      <c r="O214" s="70"/>
      <c r="P214" s="69"/>
    </row>
    <row r="215" spans="9:16">
      <c r="I215" s="67"/>
      <c r="J215" s="69"/>
      <c r="K215" s="69"/>
      <c r="L215" s="69"/>
      <c r="M215" s="69"/>
      <c r="N215" s="67"/>
      <c r="O215" s="70"/>
      <c r="P215" s="69"/>
    </row>
    <row r="216" spans="9:16">
      <c r="I216" s="67"/>
      <c r="J216" s="69"/>
      <c r="K216" s="69"/>
      <c r="L216" s="69"/>
      <c r="M216" s="69"/>
      <c r="N216" s="67"/>
      <c r="O216" s="70"/>
      <c r="P216" s="69"/>
    </row>
    <row r="217" spans="9:16">
      <c r="I217" s="67"/>
      <c r="J217" s="69"/>
      <c r="K217" s="69"/>
      <c r="L217" s="69"/>
      <c r="M217" s="69"/>
      <c r="N217" s="67"/>
      <c r="O217" s="70"/>
      <c r="P217" s="69"/>
    </row>
    <row r="218" spans="9:16">
      <c r="I218" s="67"/>
      <c r="J218" s="69"/>
      <c r="K218" s="69"/>
      <c r="L218" s="69"/>
      <c r="M218" s="69"/>
      <c r="N218" s="67"/>
      <c r="O218" s="70"/>
      <c r="P218" s="69"/>
    </row>
    <row r="219" spans="9:16">
      <c r="I219" s="67"/>
      <c r="J219" s="69"/>
      <c r="K219" s="69"/>
      <c r="L219" s="69"/>
      <c r="M219" s="69"/>
      <c r="N219" s="67"/>
      <c r="O219" s="70"/>
      <c r="P219" s="69"/>
    </row>
    <row r="220" spans="9:16">
      <c r="I220" s="67"/>
      <c r="J220" s="69"/>
      <c r="K220" s="69"/>
      <c r="L220" s="69"/>
      <c r="M220" s="69"/>
      <c r="N220" s="67"/>
      <c r="O220" s="70"/>
      <c r="P220" s="69"/>
    </row>
    <row r="221" spans="9:16">
      <c r="I221" s="67"/>
      <c r="J221" s="69"/>
      <c r="K221" s="69"/>
      <c r="L221" s="69"/>
      <c r="M221" s="69"/>
      <c r="N221" s="67"/>
      <c r="O221" s="70"/>
      <c r="P221" s="69"/>
    </row>
    <row r="222" spans="9:16">
      <c r="I222" s="67"/>
      <c r="J222" s="69"/>
      <c r="K222" s="69"/>
      <c r="L222" s="69"/>
      <c r="M222" s="69"/>
      <c r="N222" s="67"/>
      <c r="O222" s="70"/>
      <c r="P222" s="69"/>
    </row>
    <row r="223" spans="9:16">
      <c r="I223" s="67"/>
      <c r="J223" s="69"/>
      <c r="K223" s="69"/>
      <c r="L223" s="69"/>
      <c r="M223" s="69"/>
      <c r="N223" s="67"/>
      <c r="O223" s="70"/>
      <c r="P223" s="69"/>
    </row>
    <row r="224" spans="9:16">
      <c r="I224" s="67"/>
      <c r="J224" s="69"/>
      <c r="K224" s="69"/>
      <c r="L224" s="69"/>
      <c r="M224" s="69"/>
      <c r="N224" s="67"/>
      <c r="O224" s="70"/>
      <c r="P224" s="69"/>
    </row>
    <row r="225" spans="9:16">
      <c r="I225" s="67"/>
      <c r="J225" s="69"/>
      <c r="K225" s="69"/>
      <c r="L225" s="69"/>
      <c r="M225" s="69"/>
      <c r="N225" s="67"/>
      <c r="O225" s="70"/>
      <c r="P225" s="69"/>
    </row>
    <row r="226" spans="9:16">
      <c r="I226" s="67"/>
      <c r="J226" s="69"/>
      <c r="K226" s="69"/>
      <c r="L226" s="69"/>
      <c r="M226" s="69"/>
      <c r="N226" s="67"/>
      <c r="O226" s="70"/>
      <c r="P226" s="69"/>
    </row>
    <row r="227" spans="9:16">
      <c r="I227" s="67"/>
      <c r="J227" s="69"/>
      <c r="K227" s="69"/>
      <c r="L227" s="69"/>
      <c r="M227" s="69"/>
      <c r="N227" s="67"/>
      <c r="O227" s="70"/>
      <c r="P227" s="69"/>
    </row>
    <row r="228" spans="9:16">
      <c r="I228" s="67"/>
      <c r="J228" s="69"/>
      <c r="K228" s="69"/>
      <c r="L228" s="69"/>
      <c r="M228" s="69"/>
      <c r="N228" s="67"/>
      <c r="O228" s="70"/>
      <c r="P228" s="69"/>
    </row>
    <row r="229" spans="9:16">
      <c r="I229" s="67"/>
      <c r="J229" s="69"/>
      <c r="K229" s="69"/>
      <c r="L229" s="69"/>
      <c r="M229" s="69"/>
      <c r="N229" s="67"/>
      <c r="O229" s="70"/>
      <c r="P229" s="69"/>
    </row>
    <row r="230" spans="9:16">
      <c r="I230" s="67"/>
      <c r="J230" s="69"/>
      <c r="K230" s="69"/>
      <c r="L230" s="69"/>
      <c r="M230" s="69"/>
      <c r="N230" s="67"/>
      <c r="O230" s="70"/>
      <c r="P230" s="69"/>
    </row>
    <row r="231" spans="9:16">
      <c r="I231" s="67"/>
      <c r="J231" s="69"/>
      <c r="K231" s="69"/>
      <c r="L231" s="69"/>
      <c r="M231" s="69"/>
      <c r="N231" s="67"/>
      <c r="O231" s="70"/>
      <c r="P231" s="69"/>
    </row>
    <row r="232" spans="9:16">
      <c r="I232" s="67"/>
      <c r="J232" s="69"/>
      <c r="K232" s="69"/>
      <c r="L232" s="69"/>
      <c r="M232" s="69"/>
      <c r="N232" s="67"/>
      <c r="O232" s="70"/>
      <c r="P232" s="69"/>
    </row>
    <row r="233" spans="9:16">
      <c r="I233" s="67"/>
      <c r="J233" s="69"/>
      <c r="K233" s="69"/>
      <c r="L233" s="69"/>
      <c r="M233" s="69"/>
      <c r="N233" s="67"/>
      <c r="O233" s="70"/>
      <c r="P233" s="69"/>
    </row>
  </sheetData>
  <mergeCells count="46">
    <mergeCell ref="K38:P38"/>
    <mergeCell ref="B43:H43"/>
    <mergeCell ref="Q49:R49"/>
    <mergeCell ref="Q48:R48"/>
    <mergeCell ref="U3:V3"/>
    <mergeCell ref="Q3:T3"/>
    <mergeCell ref="C4:D4"/>
    <mergeCell ref="K4:L4"/>
    <mergeCell ref="I3:J3"/>
    <mergeCell ref="K3:P3"/>
    <mergeCell ref="I43:P43"/>
    <mergeCell ref="K44:M44"/>
    <mergeCell ref="N44:P44"/>
    <mergeCell ref="I44:I48"/>
    <mergeCell ref="K46:L46"/>
    <mergeCell ref="K48:L48"/>
    <mergeCell ref="K45:L45"/>
    <mergeCell ref="K47:L47"/>
    <mergeCell ref="A1:P1"/>
    <mergeCell ref="A3:B3"/>
    <mergeCell ref="D3:H3"/>
    <mergeCell ref="A44:A48"/>
    <mergeCell ref="C44:E44"/>
    <mergeCell ref="C45:E45"/>
    <mergeCell ref="C46:E46"/>
    <mergeCell ref="C47:E47"/>
    <mergeCell ref="C48:E48"/>
    <mergeCell ref="F44:H44"/>
    <mergeCell ref="F48:H48"/>
    <mergeCell ref="F46:H46"/>
    <mergeCell ref="F47:H47"/>
    <mergeCell ref="F45:H45"/>
    <mergeCell ref="A54:H54"/>
    <mergeCell ref="I49:I53"/>
    <mergeCell ref="A49:A53"/>
    <mergeCell ref="C52:D52"/>
    <mergeCell ref="C53:D53"/>
    <mergeCell ref="C51:D51"/>
    <mergeCell ref="C49:D49"/>
    <mergeCell ref="I54:P54"/>
    <mergeCell ref="K53:L53"/>
    <mergeCell ref="K52:L52"/>
    <mergeCell ref="K49:L49"/>
    <mergeCell ref="K50:L50"/>
    <mergeCell ref="C50:D50"/>
    <mergeCell ref="K51:L51"/>
  </mergeCells>
  <phoneticPr fontId="2" type="noConversion"/>
  <printOptions horizontalCentered="1"/>
  <pageMargins left="0" right="0" top="0.19685039370078741" bottom="0.19685039370078741" header="0.23622047244094491" footer="0.23622047244094491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4"/>
  <dimension ref="A1:AC233"/>
  <sheetViews>
    <sheetView showGridLines="0" showZeros="0" workbookViewId="0">
      <selection activeCell="BU24" sqref="BU24"/>
    </sheetView>
  </sheetViews>
  <sheetFormatPr defaultRowHeight="20.25"/>
  <cols>
    <col min="1" max="1" width="6.7109375" style="74" customWidth="1"/>
    <col min="2" max="2" width="13.140625" style="74" customWidth="1"/>
    <col min="3" max="3" width="2.7109375" style="74" customWidth="1"/>
    <col min="4" max="4" width="5.28515625" style="74" customWidth="1"/>
    <col min="5" max="6" width="7.7109375" style="74" customWidth="1"/>
    <col min="7" max="7" width="10.7109375" style="74" hidden="1" customWidth="1"/>
    <col min="8" max="8" width="7.7109375" style="74" customWidth="1"/>
    <col min="9" max="9" width="6.7109375" style="74" customWidth="1"/>
    <col min="10" max="10" width="14.140625" style="16" customWidth="1"/>
    <col min="11" max="11" width="2.7109375" style="16" customWidth="1"/>
    <col min="12" max="12" width="6.7109375" style="16" customWidth="1"/>
    <col min="13" max="13" width="6.28515625" style="16" customWidth="1"/>
    <col min="14" max="14" width="6.28515625" style="74" customWidth="1"/>
    <col min="15" max="15" width="12.28515625" style="75" hidden="1" customWidth="1"/>
    <col min="16" max="16" width="8.5703125" style="16" customWidth="1"/>
    <col min="17" max="17" width="8.5703125" style="14" bestFit="1" customWidth="1"/>
    <col min="18" max="18" width="8.5703125" style="15" bestFit="1" customWidth="1"/>
    <col min="19" max="19" width="4.7109375" style="16" bestFit="1" customWidth="1"/>
    <col min="20" max="20" width="3.85546875" style="16" bestFit="1" customWidth="1"/>
    <col min="21" max="22" width="5.7109375" style="17" bestFit="1" customWidth="1"/>
    <col min="23" max="23" width="9" style="18" customWidth="1"/>
    <col min="24" max="24" width="0" style="18" hidden="1" customWidth="1"/>
    <col min="25" max="25" width="0" style="17" hidden="1" customWidth="1"/>
    <col min="26" max="29" width="5.7109375" style="16" hidden="1" customWidth="1"/>
    <col min="30" max="71" width="0" style="17" hidden="1" customWidth="1"/>
    <col min="72" max="16384" width="9.140625" style="17"/>
  </cols>
  <sheetData>
    <row r="1" spans="1:29" ht="33.75">
      <c r="A1" s="303" t="s">
        <v>156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</row>
    <row r="2" spans="1:29" ht="31.5">
      <c r="A2" s="118"/>
      <c r="B2" s="118"/>
      <c r="C2" s="118"/>
      <c r="D2" s="118"/>
      <c r="E2" s="118"/>
      <c r="F2" s="118"/>
      <c r="G2" s="118"/>
      <c r="H2" s="118"/>
      <c r="J2" s="142"/>
      <c r="K2" s="142"/>
      <c r="L2" s="142"/>
      <c r="M2" s="142"/>
      <c r="N2" s="142"/>
      <c r="O2" s="142"/>
      <c r="P2" s="142"/>
    </row>
    <row r="3" spans="1:29" ht="23.25" thickBot="1">
      <c r="A3" s="304" t="s">
        <v>157</v>
      </c>
      <c r="B3" s="304"/>
      <c r="C3" s="208"/>
      <c r="D3" s="279">
        <f>'[1]1'!D3+3</f>
        <v>41585</v>
      </c>
      <c r="E3" s="279"/>
      <c r="F3" s="279"/>
      <c r="G3" s="279"/>
      <c r="H3" s="279"/>
      <c r="I3" s="280" t="str">
        <f>IF(WEEKDAY(D3,2)=7,"星期日",IF(WEEKDAY(D3,2)=6,"星期六",IF(WEEKDAY(D3,2)=5,"星期五",IF(WEEKDAY(D3,2)=4,"星期四",IF(WEEKDAY(D3,2)=3,"星期三",IF(WEEKDAY(D3,2)=2,"星期二",IF(WEEKDAY(D3,2)=1,"星期一",WEEKDAY(D3,2))))))))</f>
        <v>星期四</v>
      </c>
      <c r="J3" s="280"/>
      <c r="K3" s="281">
        <f>D3-40908-366</f>
        <v>311</v>
      </c>
      <c r="L3" s="281"/>
      <c r="M3" s="281"/>
      <c r="N3" s="281"/>
      <c r="O3" s="281"/>
      <c r="P3" s="281"/>
      <c r="Q3" s="273" t="s">
        <v>63</v>
      </c>
      <c r="R3" s="273"/>
      <c r="S3" s="273"/>
      <c r="T3" s="273"/>
      <c r="U3" s="272" t="s">
        <v>59</v>
      </c>
      <c r="V3" s="272"/>
    </row>
    <row r="4" spans="1:29" s="31" customFormat="1" ht="13.5" thickTop="1" thickBot="1">
      <c r="A4" s="19" t="s">
        <v>64</v>
      </c>
      <c r="B4" s="20" t="s">
        <v>158</v>
      </c>
      <c r="C4" s="277" t="s">
        <v>159</v>
      </c>
      <c r="D4" s="278"/>
      <c r="E4" s="20" t="s">
        <v>60</v>
      </c>
      <c r="F4" s="20" t="s">
        <v>290</v>
      </c>
      <c r="G4" s="21"/>
      <c r="H4" s="214" t="s">
        <v>61</v>
      </c>
      <c r="I4" s="22" t="s">
        <v>64</v>
      </c>
      <c r="J4" s="23" t="s">
        <v>62</v>
      </c>
      <c r="K4" s="277" t="s">
        <v>159</v>
      </c>
      <c r="L4" s="278"/>
      <c r="M4" s="24" t="s">
        <v>60</v>
      </c>
      <c r="N4" s="23" t="s">
        <v>290</v>
      </c>
      <c r="O4" s="25"/>
      <c r="P4" s="26" t="s">
        <v>61</v>
      </c>
      <c r="Q4" s="27" t="s">
        <v>2</v>
      </c>
      <c r="R4" s="28" t="s">
        <v>65</v>
      </c>
      <c r="S4" s="29" t="s">
        <v>160</v>
      </c>
      <c r="T4" s="29" t="s">
        <v>297</v>
      </c>
      <c r="U4" s="27" t="s">
        <v>2</v>
      </c>
      <c r="V4" s="28" t="s">
        <v>65</v>
      </c>
      <c r="W4" s="30"/>
      <c r="X4" s="30"/>
      <c r="Z4" s="71"/>
      <c r="AA4" s="71"/>
      <c r="AB4" s="71"/>
      <c r="AC4" s="71"/>
    </row>
    <row r="5" spans="1:29" s="31" customFormat="1" ht="13.5" thickTop="1" thickBot="1">
      <c r="A5" s="152">
        <v>270037</v>
      </c>
      <c r="B5" s="3" t="str">
        <f>IF(A5=0,0,VLOOKUP(A5,'00'!$A$1:$F$65536,2,0))</f>
        <v>SES372(1)</v>
      </c>
      <c r="C5" s="5">
        <v>2</v>
      </c>
      <c r="D5" s="3" t="str">
        <f>IF(C5=0,0,VLOOKUP(C5,'01'!$A$2:$B$98,2,0))</f>
        <v>挤出</v>
      </c>
      <c r="E5" s="12">
        <v>5</v>
      </c>
      <c r="F5" s="33" t="s">
        <v>57</v>
      </c>
      <c r="G5" s="34">
        <v>1000000000000</v>
      </c>
      <c r="H5" s="206">
        <f>IF(A5=0,0,VLOOKUP(A5,'00'!$A:$F,4,0))</f>
        <v>1082506</v>
      </c>
      <c r="I5" s="9">
        <v>270098</v>
      </c>
      <c r="J5" s="34" t="str">
        <f>IF(I5=0,0,VLOOKUP(I5,'00'!$A$1:$F$65536,2,0))</f>
        <v>DJS601薄片</v>
      </c>
      <c r="K5" s="10">
        <v>20</v>
      </c>
      <c r="L5" s="7" t="str">
        <f>IF(K5=0,0,VLOOKUP(K5,'01'!$A$2:$B$98,2,0))</f>
        <v>约定</v>
      </c>
      <c r="M5" s="13" t="s">
        <v>155</v>
      </c>
      <c r="N5" s="33" t="s">
        <v>58</v>
      </c>
      <c r="O5" s="35">
        <f t="shared" ref="O5:O37" si="0">IF(N5="中",1,IF(N5="夜",10000,IF(N5="日",100000000,0)))</f>
        <v>0</v>
      </c>
      <c r="P5" s="36">
        <f>IF(I5=0,0,VLOOKUP(I5,'00'!$A:$F,4,0))</f>
        <v>1082522</v>
      </c>
      <c r="Q5" s="37">
        <f>IF(A5=0,0,VLOOKUP(A5,'00'!$A$1:$F$65536,5,0))</f>
        <v>175.5</v>
      </c>
      <c r="R5" s="37">
        <f>IF(A5=0,0,VLOOKUP(A5,'00'!$A$1:$G$65536,6,0))</f>
        <v>5.7</v>
      </c>
      <c r="S5" s="38">
        <f t="shared" ref="S5:S37" si="1">IF(A5=270278,1,IF(RIGHT(B5,3)="(0)",1,0))</f>
        <v>0</v>
      </c>
      <c r="T5" s="38">
        <f t="shared" ref="T5:T37" si="2">IF(G5=0,1,0)</f>
        <v>0</v>
      </c>
      <c r="U5" s="37">
        <f>IF(I5=0,0,VLOOKUP(I5,'00'!$A:$F,5,0))+X5</f>
        <v>0</v>
      </c>
      <c r="V5" s="37">
        <f>IF(I5=0,0,VLOOKUP(I5,'00'!$A$1:$F$65536,6,0))</f>
        <v>1.5</v>
      </c>
      <c r="W5" s="37"/>
      <c r="X5" s="30">
        <f>IF(K5=9,125,0)</f>
        <v>0</v>
      </c>
      <c r="Y5" s="31">
        <f t="shared" ref="Y5:Y37" si="3">E5*R5</f>
        <v>28.5</v>
      </c>
      <c r="Z5" s="71">
        <f>+E5*Q5</f>
        <v>877.5</v>
      </c>
      <c r="AA5" s="71">
        <f>+S5*Z5</f>
        <v>0</v>
      </c>
      <c r="AB5" s="71">
        <f>+Z5-AA5</f>
        <v>877.5</v>
      </c>
      <c r="AC5" s="71"/>
    </row>
    <row r="6" spans="1:29" s="31" customFormat="1" ht="13.5" thickTop="1" thickBot="1">
      <c r="A6" s="152">
        <v>270033</v>
      </c>
      <c r="B6" s="3" t="str">
        <f>IF(A6=0,0,VLOOKUP(A6,'00'!$A$1:$F$65536,2,0))</f>
        <v>SES322(1)</v>
      </c>
      <c r="C6" s="5">
        <v>2</v>
      </c>
      <c r="D6" s="3" t="str">
        <f>IF(C6=0,0,VLOOKUP(C6,'01'!$A$2:$B$98,2,0))</f>
        <v>挤出</v>
      </c>
      <c r="E6" s="12">
        <v>5</v>
      </c>
      <c r="F6" s="33" t="s">
        <v>57</v>
      </c>
      <c r="G6" s="34">
        <v>1000000000000</v>
      </c>
      <c r="H6" s="206">
        <f>IF(A6=0,0,VLOOKUP(A6,'00'!$A:$F,4,0))</f>
        <v>1082507</v>
      </c>
      <c r="I6" s="162">
        <v>270143</v>
      </c>
      <c r="J6" s="34" t="str">
        <f>IF(I6=0,0,VLOOKUP(I6,'00'!$A$1:$F$65536,2,0))</f>
        <v>DJS702(1)</v>
      </c>
      <c r="K6" s="34">
        <v>25</v>
      </c>
      <c r="L6" s="7" t="str">
        <f>IF(K6=0,0,VLOOKUP(K6,'01'!$A$2:$B$98,2,0))</f>
        <v>三区宽</v>
      </c>
      <c r="M6" s="39">
        <v>3</v>
      </c>
      <c r="N6" s="40" t="s">
        <v>57</v>
      </c>
      <c r="O6" s="41">
        <f t="shared" si="0"/>
        <v>0</v>
      </c>
      <c r="P6" s="42">
        <f>IF(I6=0,0,VLOOKUP(I6,'00'!$A:$F,4,0))</f>
        <v>1082516</v>
      </c>
      <c r="Q6" s="37">
        <f>IF(A6=0,0,VLOOKUP(A6,'00'!$A$1:$F$65536,5,0))</f>
        <v>169</v>
      </c>
      <c r="R6" s="37">
        <f>IF(A6=0,0,VLOOKUP(A6,'00'!$A$1:$G$65536,6,0))</f>
        <v>5.7</v>
      </c>
      <c r="S6" s="38">
        <f t="shared" si="1"/>
        <v>0</v>
      </c>
      <c r="T6" s="38">
        <f t="shared" si="2"/>
        <v>0</v>
      </c>
      <c r="U6" s="37">
        <f>IF(I6=0,0,VLOOKUP(I6,'00'!$A:$F,5,0))+X6</f>
        <v>37</v>
      </c>
      <c r="V6" s="37">
        <f>IF(I6=0,0,VLOOKUP(I6,'00'!$A$1:$F$65536,6,0))</f>
        <v>15</v>
      </c>
      <c r="W6" s="30"/>
      <c r="X6" s="30">
        <f t="shared" ref="X6:X37" si="4">IF(K6=9,125,0)</f>
        <v>0</v>
      </c>
      <c r="Y6" s="31">
        <f t="shared" si="3"/>
        <v>28.5</v>
      </c>
      <c r="Z6" s="71">
        <f t="shared" ref="Z6:Z37" si="5">+E6*Q6</f>
        <v>845</v>
      </c>
      <c r="AA6" s="71">
        <f t="shared" ref="AA6:AA37" si="6">+S6*Z6</f>
        <v>0</v>
      </c>
      <c r="AB6" s="71">
        <f t="shared" ref="AB6:AB37" si="7">+Z6-AA6</f>
        <v>845</v>
      </c>
      <c r="AC6" s="71">
        <f>+U6*M6</f>
        <v>111</v>
      </c>
    </row>
    <row r="7" spans="1:29" s="31" customFormat="1" ht="13.5" thickTop="1" thickBot="1">
      <c r="A7" s="152">
        <v>270036</v>
      </c>
      <c r="B7" s="3" t="str">
        <f>IF(A7=0,0,VLOOKUP(A7,'00'!$A$1:$F$65536,2,0))</f>
        <v>SES311(1)</v>
      </c>
      <c r="C7" s="5">
        <v>2</v>
      </c>
      <c r="D7" s="3" t="str">
        <f>IF(C7=0,0,VLOOKUP(C7,'01'!$A$2:$B$98,2,0))</f>
        <v>挤出</v>
      </c>
      <c r="E7" s="12">
        <v>20</v>
      </c>
      <c r="F7" s="33" t="s">
        <v>57</v>
      </c>
      <c r="G7" s="34">
        <v>1000000000000</v>
      </c>
      <c r="H7" s="206">
        <f>IF(A7=0,0,VLOOKUP(A7,'00'!$A:$F,4,0))</f>
        <v>1082503</v>
      </c>
      <c r="I7" s="162">
        <v>270143</v>
      </c>
      <c r="J7" s="34" t="str">
        <f>IF(I7=0,0,VLOOKUP(I7,'00'!$A$1:$F$65536,2,0))</f>
        <v>DJS702(1)</v>
      </c>
      <c r="K7" s="34">
        <v>12</v>
      </c>
      <c r="L7" s="7" t="str">
        <f>IF(K7=0,0,VLOOKUP(K7,'01'!$A$2:$B$98,2,0))</f>
        <v>申舒窄</v>
      </c>
      <c r="M7" s="39">
        <v>2</v>
      </c>
      <c r="N7" s="40" t="s">
        <v>57</v>
      </c>
      <c r="O7" s="41">
        <f t="shared" si="0"/>
        <v>0</v>
      </c>
      <c r="P7" s="42">
        <f>IF(I7=0,0,VLOOKUP(I7,'00'!$A:$F,4,0))</f>
        <v>1082516</v>
      </c>
      <c r="Q7" s="37">
        <f>IF(A7=0,0,VLOOKUP(A7,'00'!$A$1:$F$65536,5,0))</f>
        <v>175.5</v>
      </c>
      <c r="R7" s="37">
        <f>IF(A7=0,0,VLOOKUP(A7,'00'!$A$1:$G$65536,6,0))</f>
        <v>6</v>
      </c>
      <c r="S7" s="38">
        <f t="shared" si="1"/>
        <v>0</v>
      </c>
      <c r="T7" s="38">
        <f t="shared" si="2"/>
        <v>0</v>
      </c>
      <c r="U7" s="37">
        <f>IF(I7=0,0,VLOOKUP(I7,'00'!$A:$F,5,0))+X7</f>
        <v>37</v>
      </c>
      <c r="V7" s="37">
        <f>IF(I7=0,0,VLOOKUP(I7,'00'!$A$1:$F$65536,6,0))</f>
        <v>15</v>
      </c>
      <c r="W7" s="30"/>
      <c r="X7" s="30">
        <f t="shared" si="4"/>
        <v>0</v>
      </c>
      <c r="Y7" s="31">
        <f t="shared" si="3"/>
        <v>120</v>
      </c>
      <c r="Z7" s="71">
        <f t="shared" si="5"/>
        <v>3510</v>
      </c>
      <c r="AA7" s="71">
        <f t="shared" si="6"/>
        <v>0</v>
      </c>
      <c r="AB7" s="71">
        <f t="shared" si="7"/>
        <v>3510</v>
      </c>
      <c r="AC7" s="71">
        <f t="shared" ref="AC7:AC37" si="8">+U7*M7</f>
        <v>74</v>
      </c>
    </row>
    <row r="8" spans="1:29" s="31" customFormat="1" ht="13.5" thickTop="1" thickBot="1">
      <c r="A8" s="152">
        <v>270232</v>
      </c>
      <c r="B8" s="3" t="str">
        <f>IF(A8=0,0,VLOOKUP(A8,'00'!$A$1:$F$65536,2,0))</f>
        <v>SES401(1)二段</v>
      </c>
      <c r="C8" s="5">
        <v>2</v>
      </c>
      <c r="D8" s="3" t="str">
        <f>IF(C8=0,0,VLOOKUP(C8,'01'!$A$2:$B$98,2,0))</f>
        <v>挤出</v>
      </c>
      <c r="E8" s="12">
        <v>30</v>
      </c>
      <c r="F8" s="33" t="s">
        <v>57</v>
      </c>
      <c r="G8" s="34">
        <v>1000000000000</v>
      </c>
      <c r="H8" s="206">
        <f>IF(A8=0,0,VLOOKUP(A8,'00'!$A:$F,4,0))</f>
        <v>1082509</v>
      </c>
      <c r="I8" s="162">
        <v>270143</v>
      </c>
      <c r="J8" s="34" t="str">
        <f>IF(I8=0,0,VLOOKUP(I8,'00'!$A$1:$F$65536,2,0))</f>
        <v>DJS702(1)</v>
      </c>
      <c r="K8" s="34">
        <v>7</v>
      </c>
      <c r="L8" s="7" t="str">
        <f>IF(K8=0,0,VLOOKUP(K8,'01'!$A$2:$B$98,2,0))</f>
        <v>申翔</v>
      </c>
      <c r="M8" s="39">
        <v>14</v>
      </c>
      <c r="N8" s="40" t="s">
        <v>57</v>
      </c>
      <c r="O8" s="35">
        <f t="shared" si="0"/>
        <v>0</v>
      </c>
      <c r="P8" s="43">
        <f>IF(I8=0,0,VLOOKUP(I8,'00'!$A:$F,4,0))</f>
        <v>1082516</v>
      </c>
      <c r="Q8" s="37">
        <f>IF(A8=0,0,VLOOKUP(A8,'00'!$A$1:$F$65536,5,0))</f>
        <v>144.5</v>
      </c>
      <c r="R8" s="37">
        <f>IF(A8=0,0,VLOOKUP(A8,'00'!$A$1:$G$65536,6,0))</f>
        <v>4</v>
      </c>
      <c r="S8" s="38">
        <f t="shared" si="1"/>
        <v>0</v>
      </c>
      <c r="T8" s="38">
        <f t="shared" si="2"/>
        <v>0</v>
      </c>
      <c r="U8" s="37">
        <f>IF(I8=0,0,VLOOKUP(I8,'00'!$A:$F,5,0))+X8</f>
        <v>37</v>
      </c>
      <c r="V8" s="37">
        <f>IF(I8=0,0,VLOOKUP(I8,'00'!$A$1:$F$65536,6,0))</f>
        <v>15</v>
      </c>
      <c r="W8" s="30"/>
      <c r="X8" s="30">
        <f t="shared" si="4"/>
        <v>0</v>
      </c>
      <c r="Y8" s="31">
        <f t="shared" si="3"/>
        <v>120</v>
      </c>
      <c r="Z8" s="71">
        <f t="shared" si="5"/>
        <v>4335</v>
      </c>
      <c r="AA8" s="71">
        <f t="shared" si="6"/>
        <v>0</v>
      </c>
      <c r="AB8" s="71">
        <f t="shared" si="7"/>
        <v>4335</v>
      </c>
      <c r="AC8" s="71">
        <f t="shared" si="8"/>
        <v>518</v>
      </c>
    </row>
    <row r="9" spans="1:29" s="31" customFormat="1" ht="13.5" thickTop="1" thickBot="1">
      <c r="A9" s="152" t="s">
        <v>66</v>
      </c>
      <c r="B9" s="199" t="str">
        <f>IF(A9=0,0,VLOOKUP(A9,'00'!$A$1:$F$65536,2,0))</f>
        <v>CLEAN</v>
      </c>
      <c r="C9" s="5">
        <v>1</v>
      </c>
      <c r="D9" s="3" t="str">
        <f>IF(C9=0,0,VLOOKUP(C9,'01'!$A$2:$B$98,2,0))</f>
        <v>炼胶</v>
      </c>
      <c r="E9" s="12">
        <v>1</v>
      </c>
      <c r="F9" s="33" t="s">
        <v>57</v>
      </c>
      <c r="G9" s="34">
        <v>1000000000000</v>
      </c>
      <c r="H9" s="206">
        <f>IF(A9=0,0,VLOOKUP(A9,'00'!$A:$F,4,0))</f>
        <v>0</v>
      </c>
      <c r="I9" s="162">
        <v>270047</v>
      </c>
      <c r="J9" s="34" t="str">
        <f>IF(I9=0,0,VLOOKUP(I9,'00'!$A$1:$F$65536,2,0))</f>
        <v>DJS801(1)</v>
      </c>
      <c r="K9" s="34">
        <v>10</v>
      </c>
      <c r="L9" s="7" t="str">
        <f>IF(K9=0,0,VLOOKUP(K9,'01'!$A$2:$B$98,2,0))</f>
        <v>申舒</v>
      </c>
      <c r="M9" s="39">
        <v>1</v>
      </c>
      <c r="N9" s="40" t="s">
        <v>57</v>
      </c>
      <c r="O9" s="35">
        <f t="shared" si="0"/>
        <v>0</v>
      </c>
      <c r="P9" s="43">
        <f>IF(I9=0,0,VLOOKUP(I9,'00'!$A:$F,4,0))</f>
        <v>1082512</v>
      </c>
      <c r="Q9" s="37">
        <f>IF(A9=0,0,VLOOKUP(A9,'00'!$A$1:$F$65536,5,0))</f>
        <v>0</v>
      </c>
      <c r="R9" s="37">
        <f>IF(A9=0,0,VLOOKUP(A9,'00'!$A$1:$G$65536,6,0))</f>
        <v>0</v>
      </c>
      <c r="S9" s="38">
        <f t="shared" si="1"/>
        <v>0</v>
      </c>
      <c r="T9" s="38">
        <f t="shared" si="2"/>
        <v>0</v>
      </c>
      <c r="U9" s="37">
        <f>IF(I9=0,0,VLOOKUP(I9,'00'!$A:$F,5,0))+X9</f>
        <v>37</v>
      </c>
      <c r="V9" s="37">
        <f>IF(I9=0,0,VLOOKUP(I9,'00'!$A$1:$F$65536,6,0))</f>
        <v>15</v>
      </c>
      <c r="W9" s="30"/>
      <c r="X9" s="30">
        <f t="shared" si="4"/>
        <v>0</v>
      </c>
      <c r="Y9" s="31">
        <f t="shared" si="3"/>
        <v>0</v>
      </c>
      <c r="Z9" s="71">
        <f t="shared" si="5"/>
        <v>0</v>
      </c>
      <c r="AA9" s="71">
        <f t="shared" si="6"/>
        <v>0</v>
      </c>
      <c r="AB9" s="71">
        <f t="shared" si="7"/>
        <v>0</v>
      </c>
      <c r="AC9" s="71">
        <f t="shared" si="8"/>
        <v>37</v>
      </c>
    </row>
    <row r="10" spans="1:29" s="31" customFormat="1" ht="13.5" thickTop="1" thickBot="1">
      <c r="A10" s="152">
        <v>270020</v>
      </c>
      <c r="B10" s="3" t="str">
        <f>IF(A10=0,0,VLOOKUP(A10,'00'!$A$1:$F$65536,2,0))</f>
        <v>DEC701(1)</v>
      </c>
      <c r="C10" s="5">
        <v>2</v>
      </c>
      <c r="D10" s="3" t="str">
        <f>IF(C10=0,0,VLOOKUP(C10,'01'!$A$2:$B$98,2,0))</f>
        <v>挤出</v>
      </c>
      <c r="E10" s="12">
        <v>12</v>
      </c>
      <c r="F10" s="33" t="s">
        <v>57</v>
      </c>
      <c r="G10" s="34">
        <v>1000000000000</v>
      </c>
      <c r="H10" s="206">
        <f>IF(A10=0,0,VLOOKUP(A10,'00'!$A:$F,4,0))</f>
        <v>1082493</v>
      </c>
      <c r="I10" s="162">
        <v>270047</v>
      </c>
      <c r="J10" s="34" t="str">
        <f>IF(I10=0,0,VLOOKUP(I10,'00'!$A$1:$F$65536,2,0))</f>
        <v>DJS801(1)</v>
      </c>
      <c r="K10" s="34">
        <v>7</v>
      </c>
      <c r="L10" s="7" t="str">
        <f>IF(K10=0,0,VLOOKUP(K10,'01'!$A$2:$B$98,2,0))</f>
        <v>申翔</v>
      </c>
      <c r="M10" s="39">
        <v>1</v>
      </c>
      <c r="N10" s="44" t="s">
        <v>57</v>
      </c>
      <c r="O10" s="35">
        <f t="shared" si="0"/>
        <v>0</v>
      </c>
      <c r="P10" s="45">
        <f>IF(I10=0,0,VLOOKUP(I10,'00'!$A:$F,4,0))</f>
        <v>1082512</v>
      </c>
      <c r="Q10" s="37">
        <f>IF(A10=0,0,VLOOKUP(A10,'00'!$A$1:$F$65536,5,0))</f>
        <v>160</v>
      </c>
      <c r="R10" s="37">
        <f>IF(A10=0,0,VLOOKUP(A10,'00'!$A$1:$G$65536,6,0))</f>
        <v>5.5</v>
      </c>
      <c r="S10" s="38">
        <f t="shared" si="1"/>
        <v>0</v>
      </c>
      <c r="T10" s="38">
        <f t="shared" si="2"/>
        <v>0</v>
      </c>
      <c r="U10" s="37">
        <f>IF(I10=0,0,VLOOKUP(I10,'00'!$A:$F,5,0))+X10</f>
        <v>37</v>
      </c>
      <c r="V10" s="37">
        <f>IF(I10=0,0,VLOOKUP(I10,'00'!$A$1:$F$65536,6,0))</f>
        <v>15</v>
      </c>
      <c r="W10" s="30"/>
      <c r="X10" s="30">
        <f t="shared" si="4"/>
        <v>0</v>
      </c>
      <c r="Y10" s="31">
        <f t="shared" si="3"/>
        <v>66</v>
      </c>
      <c r="Z10" s="71">
        <f t="shared" si="5"/>
        <v>1920</v>
      </c>
      <c r="AA10" s="71">
        <f t="shared" si="6"/>
        <v>0</v>
      </c>
      <c r="AB10" s="71">
        <f t="shared" si="7"/>
        <v>1920</v>
      </c>
      <c r="AC10" s="71">
        <f t="shared" si="8"/>
        <v>37</v>
      </c>
    </row>
    <row r="11" spans="1:29" s="31" customFormat="1" ht="13.5" thickTop="1" thickBot="1">
      <c r="A11" s="152">
        <v>270030</v>
      </c>
      <c r="B11" s="199" t="str">
        <f>IF(A11=0,0,VLOOKUP(A11,'00'!$A$1:$F$65536,2,0))</f>
        <v>DES951(1)</v>
      </c>
      <c r="C11" s="5">
        <v>2</v>
      </c>
      <c r="D11" s="3" t="str">
        <f>IF(C11=0,0,VLOOKUP(C11,'01'!$A$2:$B$98,2,0))</f>
        <v>挤出</v>
      </c>
      <c r="E11" s="12">
        <v>3</v>
      </c>
      <c r="F11" s="33" t="s">
        <v>57</v>
      </c>
      <c r="G11" s="33" t="s">
        <v>57</v>
      </c>
      <c r="H11" s="206">
        <f>IF(A11=0,0,VLOOKUP(A11,'00'!$A:$F,4,0))</f>
        <v>1082487</v>
      </c>
      <c r="I11" s="162">
        <v>270032</v>
      </c>
      <c r="J11" s="34" t="str">
        <f>IF(I11=0,0,VLOOKUP(I11,'00'!$A$1:$F$65536,2,0))</f>
        <v>SJS191(1)</v>
      </c>
      <c r="K11" s="34">
        <v>7</v>
      </c>
      <c r="L11" s="7" t="str">
        <f>IF(K11=0,0,VLOOKUP(K11,'01'!$A$2:$B$98,2,0))</f>
        <v>申翔</v>
      </c>
      <c r="M11" s="39">
        <v>2</v>
      </c>
      <c r="N11" s="46" t="s">
        <v>57</v>
      </c>
      <c r="O11" s="47">
        <f t="shared" si="0"/>
        <v>0</v>
      </c>
      <c r="P11" s="48">
        <f>IF(I11=0,0,VLOOKUP(I11,'00'!$A:$F,4,0))</f>
        <v>1082521</v>
      </c>
      <c r="Q11" s="37">
        <f>IF(A11=0,0,VLOOKUP(A11,'00'!$A$1:$F$65536,5,0))</f>
        <v>130</v>
      </c>
      <c r="R11" s="37">
        <f>IF(A11=0,0,VLOOKUP(A11,'00'!$A$1:$G$65536,6,0))</f>
        <v>4</v>
      </c>
      <c r="S11" s="38">
        <f t="shared" si="1"/>
        <v>0</v>
      </c>
      <c r="T11" s="38">
        <f t="shared" si="2"/>
        <v>0</v>
      </c>
      <c r="U11" s="37">
        <f>IF(I11=0,0,VLOOKUP(I11,'00'!$A:$F,5,0))+X11</f>
        <v>37</v>
      </c>
      <c r="V11" s="37">
        <f>IF(I11=0,0,VLOOKUP(I11,'00'!$A$1:$F$65536,6,0))</f>
        <v>15</v>
      </c>
      <c r="W11" s="30"/>
      <c r="X11" s="30">
        <f t="shared" si="4"/>
        <v>0</v>
      </c>
      <c r="Y11" s="31">
        <f t="shared" si="3"/>
        <v>12</v>
      </c>
      <c r="Z11" s="71">
        <f t="shared" si="5"/>
        <v>390</v>
      </c>
      <c r="AA11" s="71">
        <f t="shared" si="6"/>
        <v>0</v>
      </c>
      <c r="AB11" s="71">
        <f t="shared" si="7"/>
        <v>390</v>
      </c>
      <c r="AC11" s="71">
        <f t="shared" si="8"/>
        <v>74</v>
      </c>
    </row>
    <row r="12" spans="1:29" s="31" customFormat="1" ht="13.5" thickTop="1" thickBot="1">
      <c r="A12" s="152" t="s">
        <v>66</v>
      </c>
      <c r="B12" s="199" t="str">
        <f>IF(A12=0,0,VLOOKUP(A12,'00'!$A$1:$F$65536,2,0))</f>
        <v>CLEAN</v>
      </c>
      <c r="C12" s="5">
        <v>1</v>
      </c>
      <c r="D12" s="3" t="str">
        <f>IF(C12=0,0,VLOOKUP(C12,'01'!$A$2:$B$98,2,0))</f>
        <v>炼胶</v>
      </c>
      <c r="E12" s="12">
        <v>1</v>
      </c>
      <c r="F12" s="33" t="s">
        <v>57</v>
      </c>
      <c r="G12" s="33" t="s">
        <v>57</v>
      </c>
      <c r="H12" s="206">
        <f>IF(A12=0,0,VLOOKUP(A12,'00'!$A:$F,4,0))</f>
        <v>0</v>
      </c>
      <c r="I12" s="162">
        <v>270041</v>
      </c>
      <c r="J12" s="34" t="str">
        <f>IF(I12=0,0,VLOOKUP(I12,'00'!$A$1:$F$65536,2,0))</f>
        <v>DJS401(1)</v>
      </c>
      <c r="K12" s="34">
        <v>7</v>
      </c>
      <c r="L12" s="7" t="str">
        <f>IF(K12=0,0,VLOOKUP(K12,'01'!$A$2:$B$98,2,0))</f>
        <v>申翔</v>
      </c>
      <c r="M12" s="39">
        <v>1</v>
      </c>
      <c r="N12" s="49" t="s">
        <v>57</v>
      </c>
      <c r="O12" s="50">
        <f t="shared" si="0"/>
        <v>0</v>
      </c>
      <c r="P12" s="51">
        <f>IF(I12=0,0,VLOOKUP(I12,'00'!$A:$F,4,0))</f>
        <v>1082520</v>
      </c>
      <c r="Q12" s="37">
        <f>IF(A12=0,0,VLOOKUP(A12,'00'!$A$1:$F$65536,5,0))</f>
        <v>0</v>
      </c>
      <c r="R12" s="37">
        <f>IF(A12=0,0,VLOOKUP(A12,'00'!$A$1:$G$65536,6,0))</f>
        <v>0</v>
      </c>
      <c r="S12" s="38">
        <f t="shared" si="1"/>
        <v>0</v>
      </c>
      <c r="T12" s="38">
        <f t="shared" si="2"/>
        <v>0</v>
      </c>
      <c r="U12" s="37">
        <f>IF(I12=0,0,VLOOKUP(I12,'00'!$A:$F,5,0))+X12</f>
        <v>37</v>
      </c>
      <c r="V12" s="37">
        <f>IF(I12=0,0,VLOOKUP(I12,'00'!$A$1:$F$65536,6,0))</f>
        <v>15</v>
      </c>
      <c r="W12" s="30"/>
      <c r="X12" s="30">
        <f>IF(K12=9,125,0)</f>
        <v>0</v>
      </c>
      <c r="Y12" s="31">
        <f t="shared" si="3"/>
        <v>0</v>
      </c>
      <c r="Z12" s="71">
        <f t="shared" si="5"/>
        <v>0</v>
      </c>
      <c r="AA12" s="71">
        <f t="shared" si="6"/>
        <v>0</v>
      </c>
      <c r="AB12" s="71">
        <f t="shared" si="7"/>
        <v>0</v>
      </c>
      <c r="AC12" s="71">
        <f>+U12*M12</f>
        <v>37</v>
      </c>
    </row>
    <row r="13" spans="1:29" s="31" customFormat="1" ht="13.5" thickTop="1" thickBot="1">
      <c r="A13" s="152">
        <v>270018</v>
      </c>
      <c r="B13" s="3" t="str">
        <f>IF(A13=0,0,VLOOKUP(A13,'00'!$A$1:$F$65536,2,0))</f>
        <v>DEC601(1)</v>
      </c>
      <c r="C13" s="5">
        <v>2</v>
      </c>
      <c r="D13" s="3" t="str">
        <f>IF(C13=0,0,VLOOKUP(C13,'01'!$A$2:$B$98,2,0))</f>
        <v>挤出</v>
      </c>
      <c r="E13" s="12">
        <v>14</v>
      </c>
      <c r="F13" s="33" t="s">
        <v>57</v>
      </c>
      <c r="G13" s="33" t="s">
        <v>57</v>
      </c>
      <c r="H13" s="206">
        <f>IF(A13=0,0,VLOOKUP(A13,'00'!$A:$F,4,0))</f>
        <v>1082500</v>
      </c>
      <c r="I13" s="162"/>
      <c r="J13" s="34">
        <f>IF(I13=0,0,VLOOKUP(I13,'00'!$A$1:$F$65536,2,0))</f>
        <v>0</v>
      </c>
      <c r="K13" s="34"/>
      <c r="L13" s="7">
        <f>IF(K13=0,0,VLOOKUP(K13,'01'!$A$2:$B$98,2,0))</f>
        <v>0</v>
      </c>
      <c r="M13" s="39"/>
      <c r="N13" s="46" t="s">
        <v>57</v>
      </c>
      <c r="O13" s="47">
        <f t="shared" si="0"/>
        <v>0</v>
      </c>
      <c r="P13" s="48">
        <f>IF(I13=0,0,VLOOKUP(I13,'00'!$A:$F,4,0))</f>
        <v>0</v>
      </c>
      <c r="Q13" s="37">
        <f>IF(A13=0,0,VLOOKUP(A13,'00'!$A$1:$F$65536,5,0))</f>
        <v>165</v>
      </c>
      <c r="R13" s="37">
        <f>IF(A13=0,0,VLOOKUP(A13,'00'!$A$1:$G$65536,6,0))</f>
        <v>5.2</v>
      </c>
      <c r="S13" s="38">
        <f t="shared" si="1"/>
        <v>0</v>
      </c>
      <c r="T13" s="38">
        <f t="shared" si="2"/>
        <v>0</v>
      </c>
      <c r="U13" s="37">
        <f>IF(I13=0,0,VLOOKUP(I13,'00'!$A:$F,5,0))+X13</f>
        <v>0</v>
      </c>
      <c r="V13" s="37">
        <f>IF(I13=0,0,VLOOKUP(I13,'00'!$A$1:$F$65536,6,0))</f>
        <v>0</v>
      </c>
      <c r="W13" s="30"/>
      <c r="X13" s="30">
        <f t="shared" si="4"/>
        <v>0</v>
      </c>
      <c r="Y13" s="31">
        <f t="shared" si="3"/>
        <v>72.8</v>
      </c>
      <c r="Z13" s="71">
        <f t="shared" si="5"/>
        <v>2310</v>
      </c>
      <c r="AA13" s="71">
        <f t="shared" si="6"/>
        <v>0</v>
      </c>
      <c r="AB13" s="71">
        <f t="shared" si="7"/>
        <v>2310</v>
      </c>
      <c r="AC13" s="71">
        <f t="shared" si="8"/>
        <v>0</v>
      </c>
    </row>
    <row r="14" spans="1:29" s="31" customFormat="1" ht="13.5" thickTop="1" thickBot="1">
      <c r="A14" s="152">
        <v>270018</v>
      </c>
      <c r="B14" s="3" t="str">
        <f>IF(A14=0,0,VLOOKUP(A14,'00'!$A$1:$F$65536,2,0))</f>
        <v>DEC601(1)</v>
      </c>
      <c r="C14" s="5">
        <v>2</v>
      </c>
      <c r="D14" s="3" t="str">
        <f>IF(C14=0,0,VLOOKUP(C14,'01'!$A$2:$B$98,2,0))</f>
        <v>挤出</v>
      </c>
      <c r="E14" s="12">
        <v>46</v>
      </c>
      <c r="F14" s="33" t="s">
        <v>0</v>
      </c>
      <c r="G14" s="33" t="s">
        <v>57</v>
      </c>
      <c r="H14" s="206">
        <f>IF(A14=0,0,VLOOKUP(A14,'00'!$A:$F,4,0))</f>
        <v>1082500</v>
      </c>
      <c r="I14" s="32"/>
      <c r="J14" s="34">
        <f>IF(I14=0,0,VLOOKUP(I14,'00'!$A$1:$F$65536,2,0))</f>
        <v>0</v>
      </c>
      <c r="K14" s="34"/>
      <c r="L14" s="7">
        <f>IF(K14=0,0,VLOOKUP(K14,'01'!$A$2:$B$98,2,0))</f>
        <v>0</v>
      </c>
      <c r="M14" s="39"/>
      <c r="N14" s="46" t="s">
        <v>57</v>
      </c>
      <c r="O14" s="47">
        <f t="shared" si="0"/>
        <v>0</v>
      </c>
      <c r="P14" s="48">
        <f>IF(I14=0,0,VLOOKUP(I14,'00'!$A:$F,4,0))</f>
        <v>0</v>
      </c>
      <c r="Q14" s="37">
        <f>IF(A14=0,0,VLOOKUP(A14,'00'!$A$1:$F$65536,5,0))</f>
        <v>165</v>
      </c>
      <c r="R14" s="37">
        <f>IF(A14=0,0,VLOOKUP(A14,'00'!$A$1:$G$65536,6,0))</f>
        <v>5.2</v>
      </c>
      <c r="S14" s="38">
        <f t="shared" si="1"/>
        <v>0</v>
      </c>
      <c r="T14" s="38">
        <f t="shared" si="2"/>
        <v>0</v>
      </c>
      <c r="U14" s="37">
        <f>IF(I14=0,0,VLOOKUP(I14,'00'!$A:$F,5,0))+X14</f>
        <v>0</v>
      </c>
      <c r="V14" s="37">
        <f>IF(I14=0,0,VLOOKUP(I14,'00'!$A$1:$F$65536,6,0))</f>
        <v>0</v>
      </c>
      <c r="W14" s="30"/>
      <c r="X14" s="30">
        <f t="shared" si="4"/>
        <v>0</v>
      </c>
      <c r="Y14" s="31">
        <f t="shared" si="3"/>
        <v>239.20000000000002</v>
      </c>
      <c r="Z14" s="71">
        <f t="shared" si="5"/>
        <v>7590</v>
      </c>
      <c r="AA14" s="71">
        <f t="shared" si="6"/>
        <v>0</v>
      </c>
      <c r="AB14" s="71">
        <f t="shared" si="7"/>
        <v>7590</v>
      </c>
      <c r="AC14" s="71">
        <f t="shared" si="8"/>
        <v>0</v>
      </c>
    </row>
    <row r="15" spans="1:29" s="31" customFormat="1" ht="13.5" thickTop="1" thickBot="1">
      <c r="A15" s="152">
        <v>270437</v>
      </c>
      <c r="B15" s="233" t="str">
        <f>IF(A15=0,0,VLOOKUP(A15,'00'!$A$1:$F$65536,2,0))</f>
        <v>DEM651(1)</v>
      </c>
      <c r="C15" s="5">
        <v>2</v>
      </c>
      <c r="D15" s="3" t="str">
        <f>IF(C15=0,0,VLOOKUP(C15,'01'!$A$2:$B$98,2,0))</f>
        <v>挤出</v>
      </c>
      <c r="E15" s="12">
        <v>3</v>
      </c>
      <c r="F15" s="33" t="s">
        <v>0</v>
      </c>
      <c r="G15" s="34">
        <v>1</v>
      </c>
      <c r="H15" s="206" t="e">
        <f>IF(A15=0,0,VLOOKUP(A15,'00'!$A:$F,4,0))</f>
        <v>#N/A</v>
      </c>
      <c r="I15" s="92"/>
      <c r="J15" s="34">
        <f>IF(I15=0,0,VLOOKUP(I15,'00'!$A$1:$F$65536,2,0))</f>
        <v>0</v>
      </c>
      <c r="K15" s="87"/>
      <c r="L15" s="8">
        <f>IF(K15=0,0,VLOOKUP(K15,'01'!$A$2:$B$98,2,0))</f>
        <v>0</v>
      </c>
      <c r="M15" s="93"/>
      <c r="N15" s="89" t="s">
        <v>57</v>
      </c>
      <c r="O15" s="90">
        <f t="shared" si="0"/>
        <v>0</v>
      </c>
      <c r="P15" s="91">
        <f>IF(I15=0,0,VLOOKUP(I15,'00'!$A:$F,4,0))</f>
        <v>0</v>
      </c>
      <c r="Q15" s="37">
        <f>IF(A15=0,0,VLOOKUP(A15,'00'!$A$1:$F$65536,5,0))</f>
        <v>160</v>
      </c>
      <c r="R15" s="37">
        <f>IF(A15=0,0,VLOOKUP(A15,'00'!$A$1:$G$65536,6,0))</f>
        <v>5.5</v>
      </c>
      <c r="S15" s="38">
        <f t="shared" si="1"/>
        <v>0</v>
      </c>
      <c r="T15" s="38">
        <f t="shared" si="2"/>
        <v>0</v>
      </c>
      <c r="U15" s="37">
        <f>IF(I15=0,0,VLOOKUP(I15,'00'!$A:$F,5,0))+X15</f>
        <v>0</v>
      </c>
      <c r="V15" s="37">
        <f>IF(I15=0,0,VLOOKUP(I15,'00'!$A$1:$F$65536,6,0))</f>
        <v>0</v>
      </c>
      <c r="W15" s="30">
        <v>0</v>
      </c>
      <c r="X15" s="30">
        <f t="shared" si="4"/>
        <v>0</v>
      </c>
      <c r="Y15" s="31">
        <f t="shared" si="3"/>
        <v>16.5</v>
      </c>
      <c r="Z15" s="71">
        <f t="shared" si="5"/>
        <v>480</v>
      </c>
      <c r="AA15" s="71">
        <f t="shared" si="6"/>
        <v>0</v>
      </c>
      <c r="AB15" s="71">
        <f t="shared" si="7"/>
        <v>480</v>
      </c>
      <c r="AC15" s="71">
        <f t="shared" si="8"/>
        <v>0</v>
      </c>
    </row>
    <row r="16" spans="1:29" s="31" customFormat="1" ht="13.5" thickTop="1" thickBot="1">
      <c r="A16" s="152">
        <v>270020</v>
      </c>
      <c r="B16" s="3" t="str">
        <f>IF(A16=0,0,VLOOKUP(A16,'00'!$A$1:$F$65536,2,0))</f>
        <v>DEC701(1)</v>
      </c>
      <c r="C16" s="5">
        <v>2</v>
      </c>
      <c r="D16" s="3" t="str">
        <f>IF(C16=0,0,VLOOKUP(C16,'01'!$A$2:$B$98,2,0))</f>
        <v>挤出</v>
      </c>
      <c r="E16" s="12">
        <v>30</v>
      </c>
      <c r="F16" s="33" t="s">
        <v>0</v>
      </c>
      <c r="G16" s="34">
        <v>1</v>
      </c>
      <c r="H16" s="206">
        <f>IF(A16=0,0,VLOOKUP(A16,'00'!$A:$F,4,0))</f>
        <v>1082493</v>
      </c>
      <c r="I16" s="9">
        <v>270098</v>
      </c>
      <c r="J16" s="127" t="str">
        <f>IF(I16=0,0,VLOOKUP(I16,'00'!$A$1:$F$65536,2,0))</f>
        <v>DJS601薄片</v>
      </c>
      <c r="K16" s="10">
        <v>20</v>
      </c>
      <c r="L16" s="129" t="str">
        <f>IF(K16=0,0,VLOOKUP(K16,'01'!$A$2:$B$98,2,0))</f>
        <v>约定</v>
      </c>
      <c r="M16" s="13" t="s">
        <v>342</v>
      </c>
      <c r="N16" s="33" t="s">
        <v>0</v>
      </c>
      <c r="O16" s="41">
        <f t="shared" si="0"/>
        <v>1</v>
      </c>
      <c r="P16" s="42">
        <f>IF(I16=0,0,VLOOKUP(I16,'00'!$A:$F,4,0))</f>
        <v>1082522</v>
      </c>
      <c r="Q16" s="37">
        <f>IF(A16=0,0,VLOOKUP(A16,'00'!$A$1:$F$65536,5,0))</f>
        <v>160</v>
      </c>
      <c r="R16" s="37">
        <f>IF(A16=0,0,VLOOKUP(A16,'00'!$A$1:$G$65536,6,0))</f>
        <v>5.5</v>
      </c>
      <c r="S16" s="38">
        <f t="shared" si="1"/>
        <v>0</v>
      </c>
      <c r="T16" s="38">
        <f t="shared" si="2"/>
        <v>0</v>
      </c>
      <c r="U16" s="37">
        <f>IF(I16=0,0,VLOOKUP(I16,'00'!$A:$F,5,0))+X16</f>
        <v>0</v>
      </c>
      <c r="V16" s="37">
        <f>IF(I16=0,0,VLOOKUP(I16,'00'!$A$1:$F$65536,6,0))</f>
        <v>1.5</v>
      </c>
      <c r="W16" s="37"/>
      <c r="X16" s="30">
        <f t="shared" si="4"/>
        <v>0</v>
      </c>
      <c r="Y16" s="31">
        <f t="shared" si="3"/>
        <v>165</v>
      </c>
      <c r="Z16" s="71">
        <f t="shared" si="5"/>
        <v>4800</v>
      </c>
      <c r="AA16" s="71">
        <f t="shared" si="6"/>
        <v>0</v>
      </c>
      <c r="AB16" s="71">
        <f t="shared" si="7"/>
        <v>4800</v>
      </c>
      <c r="AC16" s="71"/>
    </row>
    <row r="17" spans="1:29" s="31" customFormat="1" ht="13.5" thickTop="1" thickBot="1">
      <c r="A17" s="152">
        <v>270028</v>
      </c>
      <c r="B17" s="233" t="str">
        <f>IF(A17=0,0,VLOOKUP(A17,'00'!$A$1:$F$65536,2,0))</f>
        <v>DES851(1)</v>
      </c>
      <c r="C17" s="5">
        <v>2</v>
      </c>
      <c r="D17" s="3" t="str">
        <f>IF(C17=0,0,VLOOKUP(C17,'01'!$A$2:$B$98,2,0))</f>
        <v>挤出</v>
      </c>
      <c r="E17" s="12">
        <v>11</v>
      </c>
      <c r="F17" s="33" t="s">
        <v>0</v>
      </c>
      <c r="G17" s="34">
        <v>1</v>
      </c>
      <c r="H17" s="206">
        <f>IF(A17=0,0,VLOOKUP(A17,'00'!$A:$F,4,0))</f>
        <v>1082488</v>
      </c>
      <c r="I17" s="32" t="s">
        <v>343</v>
      </c>
      <c r="J17" s="34" t="str">
        <f>IF(I17=0,0,VLOOKUP(I17,'00'!$A$1:$F$65536,2,0))</f>
        <v>DJM604(1)</v>
      </c>
      <c r="K17" s="34">
        <v>23</v>
      </c>
      <c r="L17" s="7" t="str">
        <f>IF(K17=0,0,VLOOKUP(K17,'01'!$A$2:$B$98,2,0))</f>
        <v>三区</v>
      </c>
      <c r="M17" s="39">
        <v>2</v>
      </c>
      <c r="N17" s="33" t="s">
        <v>0</v>
      </c>
      <c r="O17" s="41">
        <f t="shared" si="0"/>
        <v>1</v>
      </c>
      <c r="P17" s="42">
        <f>IF(I17=0,0,VLOOKUP(I17,'00'!$A:$F,4,0))</f>
        <v>1082517</v>
      </c>
      <c r="Q17" s="37">
        <f>IF(A17=0,0,VLOOKUP(A17,'00'!$A$1:$F$65536,5,0))</f>
        <v>155</v>
      </c>
      <c r="R17" s="37">
        <f>IF(A17=0,0,VLOOKUP(A17,'00'!$A$1:$G$65536,6,0))</f>
        <v>5.3</v>
      </c>
      <c r="S17" s="38">
        <f t="shared" si="1"/>
        <v>0</v>
      </c>
      <c r="T17" s="38">
        <f t="shared" si="2"/>
        <v>0</v>
      </c>
      <c r="U17" s="37">
        <f>IF(I17=0,0,VLOOKUP(I17,'00'!$A:$F,5,0))+X17</f>
        <v>37</v>
      </c>
      <c r="V17" s="37">
        <f>IF(I17=0,0,VLOOKUP(I17,'00'!$A$1:$F$65536,6,0))</f>
        <v>15</v>
      </c>
      <c r="W17" s="30"/>
      <c r="X17" s="30">
        <f t="shared" si="4"/>
        <v>0</v>
      </c>
      <c r="Y17" s="31">
        <f t="shared" si="3"/>
        <v>58.3</v>
      </c>
      <c r="Z17" s="71">
        <f t="shared" si="5"/>
        <v>1705</v>
      </c>
      <c r="AA17" s="71">
        <f t="shared" si="6"/>
        <v>0</v>
      </c>
      <c r="AB17" s="71">
        <f t="shared" si="7"/>
        <v>1705</v>
      </c>
      <c r="AC17" s="71">
        <f t="shared" si="8"/>
        <v>74</v>
      </c>
    </row>
    <row r="18" spans="1:29" s="31" customFormat="1" ht="13.5" thickTop="1" thickBot="1">
      <c r="A18" s="152">
        <v>270028</v>
      </c>
      <c r="B18" s="233" t="str">
        <f>IF(A18=0,0,VLOOKUP(A18,'00'!$A$1:$F$65536,2,0))</f>
        <v>DES851(1)</v>
      </c>
      <c r="C18" s="5">
        <v>2</v>
      </c>
      <c r="D18" s="3" t="str">
        <f>IF(C18=0,0,VLOOKUP(C18,'01'!$A$2:$B$98,2,0))</f>
        <v>挤出</v>
      </c>
      <c r="E18" s="12">
        <v>7</v>
      </c>
      <c r="F18" s="33" t="s">
        <v>1</v>
      </c>
      <c r="G18" s="34">
        <v>1</v>
      </c>
      <c r="H18" s="206">
        <f>IF(A18=0,0,VLOOKUP(A18,'00'!$A:$F,4,0))</f>
        <v>1082488</v>
      </c>
      <c r="I18" s="32">
        <v>270084</v>
      </c>
      <c r="J18" s="34" t="str">
        <f>IF(I18=0,0,VLOOKUP(I18,'00'!$A$1:$F$65536,2,0))</f>
        <v>DJS803(1)</v>
      </c>
      <c r="K18" s="34">
        <v>8</v>
      </c>
      <c r="L18" s="7" t="str">
        <f>IF(K18=0,0,VLOOKUP(K18,'01'!$A$2:$B$98,2,0))</f>
        <v>申翔3</v>
      </c>
      <c r="M18" s="39">
        <v>3</v>
      </c>
      <c r="N18" s="33" t="s">
        <v>0</v>
      </c>
      <c r="O18" s="35">
        <f t="shared" si="0"/>
        <v>1</v>
      </c>
      <c r="P18" s="43">
        <f>IF(I18=0,0,VLOOKUP(I18,'00'!$A:$F,4,0))</f>
        <v>1082513</v>
      </c>
      <c r="Q18" s="37">
        <f>IF(A18=0,0,VLOOKUP(A18,'00'!$A$1:$F$65536,5,0))</f>
        <v>155</v>
      </c>
      <c r="R18" s="37">
        <f>IF(A18=0,0,VLOOKUP(A18,'00'!$A$1:$G$65536,6,0))</f>
        <v>5.3</v>
      </c>
      <c r="S18" s="38">
        <f t="shared" si="1"/>
        <v>0</v>
      </c>
      <c r="T18" s="38">
        <f t="shared" si="2"/>
        <v>0</v>
      </c>
      <c r="U18" s="37">
        <f>IF(I18=0,0,VLOOKUP(I18,'00'!$A:$F,5,0))+X18</f>
        <v>37</v>
      </c>
      <c r="V18" s="37">
        <f>IF(I18=0,0,VLOOKUP(I18,'00'!$A$1:$F$65536,6,0))</f>
        <v>15</v>
      </c>
      <c r="W18" s="30"/>
      <c r="X18" s="30">
        <f t="shared" si="4"/>
        <v>0</v>
      </c>
      <c r="Y18" s="31">
        <f t="shared" si="3"/>
        <v>37.1</v>
      </c>
      <c r="Z18" s="71">
        <f t="shared" si="5"/>
        <v>1085</v>
      </c>
      <c r="AA18" s="71">
        <f t="shared" si="6"/>
        <v>0</v>
      </c>
      <c r="AB18" s="71">
        <f t="shared" si="7"/>
        <v>1085</v>
      </c>
      <c r="AC18" s="71">
        <f t="shared" si="8"/>
        <v>111</v>
      </c>
    </row>
    <row r="19" spans="1:29" s="31" customFormat="1" ht="13.5" thickTop="1" thickBot="1">
      <c r="A19" s="152">
        <v>270278</v>
      </c>
      <c r="B19" s="3" t="str">
        <f>IF(A19=0,0,VLOOKUP(A19,'00'!$A$1:$F$65536,2,0))</f>
        <v>SES401(0)二段</v>
      </c>
      <c r="C19" s="5">
        <v>1</v>
      </c>
      <c r="D19" s="3" t="str">
        <f>IF(C19=0,0,VLOOKUP(C19,'01'!$A$2:$B$98,2,0))</f>
        <v>炼胶</v>
      </c>
      <c r="E19" s="12">
        <v>16</v>
      </c>
      <c r="F19" s="33" t="s">
        <v>1</v>
      </c>
      <c r="G19" s="34">
        <v>1</v>
      </c>
      <c r="H19" s="206">
        <f>IF(A19=0,0,VLOOKUP(A19,'00'!$A:$F,4,0))</f>
        <v>1082528</v>
      </c>
      <c r="I19" s="32">
        <v>270143</v>
      </c>
      <c r="J19" s="34" t="str">
        <f>IF(I19=0,0,VLOOKUP(I19,'00'!$A$1:$F$65536,2,0))</f>
        <v>DJS702(1)</v>
      </c>
      <c r="K19" s="34">
        <v>23</v>
      </c>
      <c r="L19" s="7" t="str">
        <f>IF(K19=0,0,VLOOKUP(K19,'01'!$A$2:$B$98,2,0))</f>
        <v>三区</v>
      </c>
      <c r="M19" s="39">
        <v>1</v>
      </c>
      <c r="N19" s="33" t="s">
        <v>0</v>
      </c>
      <c r="O19" s="35">
        <f t="shared" si="0"/>
        <v>1</v>
      </c>
      <c r="P19" s="43">
        <f>IF(I19=0,0,VLOOKUP(I19,'00'!$A:$F,4,0))</f>
        <v>1082516</v>
      </c>
      <c r="Q19" s="37">
        <f>IF(A19=0,0,VLOOKUP(A19,'00'!$A$1:$F$65536,5,0))</f>
        <v>153</v>
      </c>
      <c r="R19" s="37">
        <f>IF(A19=0,0,VLOOKUP(A19,'00'!$A$1:$G$65536,6,0))</f>
        <v>6</v>
      </c>
      <c r="S19" s="38">
        <f>IF(A19=270278,1,IF(RIGHT(B19,3)="(0)",1,0))</f>
        <v>1</v>
      </c>
      <c r="T19" s="38">
        <f t="shared" si="2"/>
        <v>0</v>
      </c>
      <c r="U19" s="37">
        <f>IF(I19=0,0,VLOOKUP(I19,'00'!$A:$F,5,0))+X19</f>
        <v>37</v>
      </c>
      <c r="V19" s="37">
        <f>IF(I19=0,0,VLOOKUP(I19,'00'!$A$1:$F$65536,6,0))</f>
        <v>15</v>
      </c>
      <c r="W19" s="30"/>
      <c r="X19" s="30">
        <f t="shared" si="4"/>
        <v>0</v>
      </c>
      <c r="Y19" s="31">
        <f>E19*R19</f>
        <v>96</v>
      </c>
      <c r="Z19" s="71">
        <f>+E19*Q19</f>
        <v>2448</v>
      </c>
      <c r="AA19" s="71">
        <f t="shared" si="6"/>
        <v>2448</v>
      </c>
      <c r="AB19" s="71">
        <f t="shared" si="7"/>
        <v>0</v>
      </c>
      <c r="AC19" s="71">
        <f t="shared" si="8"/>
        <v>37</v>
      </c>
    </row>
    <row r="20" spans="1:29" s="31" customFormat="1" ht="13.5" thickTop="1" thickBot="1">
      <c r="A20" s="152">
        <v>270142</v>
      </c>
      <c r="B20" s="3" t="str">
        <f>IF(A20=0,0,VLOOKUP(A20,'00'!$A$1:$F$65536,2,0))</f>
        <v>DJS702(0)</v>
      </c>
      <c r="C20" s="5">
        <v>17</v>
      </c>
      <c r="D20" s="3" t="str">
        <f>IF(C20=0,0,VLOOKUP(C20,'01'!$A$2:$B$98,2,0))</f>
        <v>淮安</v>
      </c>
      <c r="E20" s="12">
        <v>8</v>
      </c>
      <c r="F20" s="33" t="s">
        <v>1</v>
      </c>
      <c r="G20" s="34">
        <v>1</v>
      </c>
      <c r="H20" s="206">
        <f>IF(A20=0,0,VLOOKUP(A20,'00'!$A:$F,4,0))</f>
        <v>1082539</v>
      </c>
      <c r="I20" s="162">
        <v>270389</v>
      </c>
      <c r="J20" s="34" t="str">
        <f>IF(I20=0,0,VLOOKUP(I20,'00'!$A$1:$F$65536,2,0))</f>
        <v>CES024(1)</v>
      </c>
      <c r="K20" s="34">
        <v>2</v>
      </c>
      <c r="L20" s="7" t="str">
        <f>IF(K20=0,0,VLOOKUP(K20,'01'!$A$2:$B$98,2,0))</f>
        <v>挤出</v>
      </c>
      <c r="M20" s="39">
        <v>6</v>
      </c>
      <c r="N20" s="33" t="s">
        <v>0</v>
      </c>
      <c r="O20" s="35">
        <f t="shared" si="0"/>
        <v>1</v>
      </c>
      <c r="P20" s="43" t="e">
        <f>IF(I20=0,0,VLOOKUP(I20,'00'!$A:$F,4,0))</f>
        <v>#N/A</v>
      </c>
      <c r="Q20" s="37">
        <f>IF(A20=0,0,VLOOKUP(A20,'00'!$A$1:$F$65536,5,0))</f>
        <v>152</v>
      </c>
      <c r="R20" s="37">
        <f>IF(A20=0,0,VLOOKUP(A20,'00'!$A$1:$G$65536,6,0))</f>
        <v>5.2</v>
      </c>
      <c r="S20" s="38">
        <f>IF(A20=270278,1,IF(RIGHT(B20,3)="(0)",1,0))</f>
        <v>1</v>
      </c>
      <c r="T20" s="38">
        <f t="shared" si="2"/>
        <v>0</v>
      </c>
      <c r="U20" s="37">
        <f>IF(I20=0,0,VLOOKUP(I20,'00'!$A:$F,5,0))+X20</f>
        <v>32</v>
      </c>
      <c r="V20" s="37">
        <f>IF(I20=0,0,VLOOKUP(I20,'00'!$A$1:$F$65536,6,0))</f>
        <v>30</v>
      </c>
      <c r="W20" s="30"/>
      <c r="X20" s="30">
        <f>IF(K20=9,125,0)</f>
        <v>0</v>
      </c>
      <c r="Y20" s="31">
        <f>E20*R20</f>
        <v>41.6</v>
      </c>
      <c r="Z20" s="71">
        <f>+E20*Q20</f>
        <v>1216</v>
      </c>
      <c r="AA20" s="71">
        <f t="shared" si="6"/>
        <v>1216</v>
      </c>
      <c r="AB20" s="71">
        <f t="shared" si="7"/>
        <v>0</v>
      </c>
      <c r="AC20" s="71">
        <f>+U20*M20</f>
        <v>192</v>
      </c>
    </row>
    <row r="21" spans="1:29" s="31" customFormat="1" ht="13.5" thickTop="1" thickBot="1">
      <c r="A21" s="152">
        <v>270517</v>
      </c>
      <c r="B21" s="3" t="str">
        <f>IF(A21=0,0,VLOOKUP(A21,'00'!$A$1:$F$65536,2,0))</f>
        <v>DEC852(0)</v>
      </c>
      <c r="C21" s="5">
        <v>17</v>
      </c>
      <c r="D21" s="3" t="str">
        <f>IF(C21=0,0,VLOOKUP(C21,'01'!$A$2:$B$98,2,0))</f>
        <v>淮安</v>
      </c>
      <c r="E21" s="12">
        <v>16</v>
      </c>
      <c r="F21" s="33" t="s">
        <v>1</v>
      </c>
      <c r="G21" s="34">
        <v>1</v>
      </c>
      <c r="H21" s="206" t="e">
        <f>IF(A21=0,0,VLOOKUP(A21,'00'!$A:$F,4,0))</f>
        <v>#N/A</v>
      </c>
      <c r="I21" s="162"/>
      <c r="J21" s="34">
        <f>IF(I21=0,0,VLOOKUP(I21,'00'!$A$1:$F$65536,2,0))</f>
        <v>0</v>
      </c>
      <c r="K21" s="34"/>
      <c r="L21" s="7">
        <f>IF(K21=0,0,VLOOKUP(K21,'01'!$A$2:$B$98,2,0))</f>
        <v>0</v>
      </c>
      <c r="M21" s="39"/>
      <c r="N21" s="33" t="s">
        <v>0</v>
      </c>
      <c r="O21" s="41">
        <f t="shared" si="0"/>
        <v>1</v>
      </c>
      <c r="P21" s="42">
        <f>IF(I21=0,0,VLOOKUP(I21,'00'!$A:$F,4,0))</f>
        <v>0</v>
      </c>
      <c r="Q21" s="37">
        <f>IF(A21=0,0,VLOOKUP(A21,'00'!$A$1:$F$65536,5,0))</f>
        <v>155.74</v>
      </c>
      <c r="R21" s="37">
        <f>IF(A21=0,0,VLOOKUP(A21,'00'!$A$1:$G$65536,6,0))</f>
        <v>5.5</v>
      </c>
      <c r="S21" s="38">
        <f t="shared" si="1"/>
        <v>1</v>
      </c>
      <c r="T21" s="38">
        <f t="shared" si="2"/>
        <v>0</v>
      </c>
      <c r="U21" s="37">
        <f>IF(I21=0,0,VLOOKUP(I21,'00'!$A:$F,5,0))+X21</f>
        <v>0</v>
      </c>
      <c r="V21" s="37">
        <f>IF(I21=0,0,VLOOKUP(I21,'00'!$A$1:$F$65536,6,0))</f>
        <v>0</v>
      </c>
      <c r="W21" s="30"/>
      <c r="X21" s="30">
        <f t="shared" si="4"/>
        <v>0</v>
      </c>
      <c r="Y21" s="31">
        <f t="shared" si="3"/>
        <v>88</v>
      </c>
      <c r="Z21" s="71">
        <f t="shared" si="5"/>
        <v>2491.84</v>
      </c>
      <c r="AA21" s="71">
        <f t="shared" si="6"/>
        <v>2491.84</v>
      </c>
      <c r="AB21" s="71">
        <f t="shared" si="7"/>
        <v>0</v>
      </c>
      <c r="AC21" s="71">
        <f t="shared" si="8"/>
        <v>0</v>
      </c>
    </row>
    <row r="22" spans="1:29" s="31" customFormat="1" ht="13.5" thickTop="1" thickBot="1">
      <c r="A22" s="152">
        <v>270064</v>
      </c>
      <c r="B22" s="3" t="str">
        <f>IF(A22=0,0,VLOOKUP(A22,'00'!$A$1:$F$65536,2,0))</f>
        <v>DEC801(0)</v>
      </c>
      <c r="C22" s="5">
        <v>16</v>
      </c>
      <c r="D22" s="3" t="str">
        <f>IF(C22=0,0,VLOOKUP(C22,'01'!$A$2:$B$98,2,0))</f>
        <v>广州</v>
      </c>
      <c r="E22" s="12">
        <v>16</v>
      </c>
      <c r="F22" s="33" t="s">
        <v>1</v>
      </c>
      <c r="G22" s="34">
        <v>1000000</v>
      </c>
      <c r="H22" s="206" t="e">
        <f>IF(A22=0,0,VLOOKUP(A22,'00'!$A:$F,4,0))</f>
        <v>#N/A</v>
      </c>
      <c r="I22" s="162"/>
      <c r="J22" s="34">
        <f>IF(I22=0,0,VLOOKUP(I22,'00'!$A$1:$F$65536,2,0))</f>
        <v>0</v>
      </c>
      <c r="K22" s="34"/>
      <c r="L22" s="7">
        <f>IF(K22=0,0,VLOOKUP(K22,'01'!$A$2:$B$98,2,0))</f>
        <v>0</v>
      </c>
      <c r="M22" s="39"/>
      <c r="N22" s="33" t="s">
        <v>0</v>
      </c>
      <c r="O22" s="35">
        <f t="shared" si="0"/>
        <v>1</v>
      </c>
      <c r="P22" s="43">
        <f>IF(I22=0,0,VLOOKUP(I22,'00'!$A:$F,4,0))</f>
        <v>0</v>
      </c>
      <c r="Q22" s="37">
        <f>IF(A22=0,0,VLOOKUP(A22,'00'!$A$1:$F$65536,5,0))</f>
        <v>150</v>
      </c>
      <c r="R22" s="37">
        <f>IF(A22=0,0,VLOOKUP(A22,'00'!$A$1:$G$65536,6,0))</f>
        <v>5.5</v>
      </c>
      <c r="S22" s="38">
        <f t="shared" si="1"/>
        <v>1</v>
      </c>
      <c r="T22" s="38">
        <f t="shared" si="2"/>
        <v>0</v>
      </c>
      <c r="U22" s="37">
        <f>IF(I22=0,0,VLOOKUP(I22,'00'!$A:$F,5,0))+X22</f>
        <v>0</v>
      </c>
      <c r="V22" s="37">
        <f>IF(I22=0,0,VLOOKUP(I22,'00'!$A$1:$F$65536,6,0))</f>
        <v>0</v>
      </c>
      <c r="W22" s="30"/>
      <c r="X22" s="30">
        <f t="shared" si="4"/>
        <v>0</v>
      </c>
      <c r="Y22" s="31">
        <f t="shared" si="3"/>
        <v>88</v>
      </c>
      <c r="Z22" s="71">
        <f t="shared" si="5"/>
        <v>2400</v>
      </c>
      <c r="AA22" s="71">
        <f t="shared" si="6"/>
        <v>2400</v>
      </c>
      <c r="AB22" s="71">
        <f t="shared" si="7"/>
        <v>0</v>
      </c>
      <c r="AC22" s="71">
        <f t="shared" si="8"/>
        <v>0</v>
      </c>
    </row>
    <row r="23" spans="1:29" s="31" customFormat="1" ht="13.5" thickTop="1" thickBot="1">
      <c r="A23" s="152">
        <v>270020</v>
      </c>
      <c r="B23" s="3" t="str">
        <f>IF(A23=0,0,VLOOKUP(A23,'00'!$A$1:$F$65536,2,0))</f>
        <v>DEC701(1)</v>
      </c>
      <c r="C23" s="5">
        <v>2</v>
      </c>
      <c r="D23" s="3" t="str">
        <f>IF(C23=0,0,VLOOKUP(C23,'01'!$A$2:$B$98,2,0))</f>
        <v>挤出</v>
      </c>
      <c r="E23" s="12">
        <v>18</v>
      </c>
      <c r="F23" s="33" t="s">
        <v>1</v>
      </c>
      <c r="G23" s="34">
        <v>1000000</v>
      </c>
      <c r="H23" s="206">
        <f>IF(A23=0,0,VLOOKUP(A23,'00'!$A:$F,4,0))</f>
        <v>1082493</v>
      </c>
      <c r="I23" s="162"/>
      <c r="J23" s="34">
        <f>IF(I23=0,0,VLOOKUP(I23,'00'!$A$1:$F$65536,2,0))</f>
        <v>0</v>
      </c>
      <c r="K23" s="34"/>
      <c r="L23" s="7">
        <f>IF(K23=0,0,VLOOKUP(K23,'01'!$A$2:$B$98,2,0))</f>
        <v>0</v>
      </c>
      <c r="M23" s="39"/>
      <c r="N23" s="33" t="s">
        <v>0</v>
      </c>
      <c r="O23" s="35">
        <f t="shared" si="0"/>
        <v>1</v>
      </c>
      <c r="P23" s="43">
        <f>IF(I23=0,0,VLOOKUP(I23,'00'!$A:$F,4,0))</f>
        <v>0</v>
      </c>
      <c r="Q23" s="37">
        <f>IF(A23=0,0,VLOOKUP(A23,'00'!$A$1:$F$65536,5,0))</f>
        <v>160</v>
      </c>
      <c r="R23" s="37">
        <f>IF(A23=0,0,VLOOKUP(A23,'00'!$A$1:$G$65536,6,0))</f>
        <v>5.5</v>
      </c>
      <c r="S23" s="38">
        <f t="shared" si="1"/>
        <v>0</v>
      </c>
      <c r="T23" s="38">
        <f t="shared" si="2"/>
        <v>0</v>
      </c>
      <c r="U23" s="37">
        <f>IF(I23=0,0,VLOOKUP(I23,'00'!$A:$F,5,0))+X23</f>
        <v>0</v>
      </c>
      <c r="V23" s="37">
        <f>IF(I23=0,0,VLOOKUP(I23,'00'!$A$1:$F$65536,6,0))</f>
        <v>0</v>
      </c>
      <c r="W23" s="30"/>
      <c r="X23" s="30">
        <f t="shared" si="4"/>
        <v>0</v>
      </c>
      <c r="Y23" s="31">
        <f t="shared" si="3"/>
        <v>99</v>
      </c>
      <c r="Z23" s="71">
        <f t="shared" si="5"/>
        <v>2880</v>
      </c>
      <c r="AA23" s="71">
        <f t="shared" si="6"/>
        <v>0</v>
      </c>
      <c r="AB23" s="71">
        <f t="shared" si="7"/>
        <v>2880</v>
      </c>
      <c r="AC23" s="71">
        <f t="shared" si="8"/>
        <v>0</v>
      </c>
    </row>
    <row r="24" spans="1:29" s="31" customFormat="1" ht="13.5" thickTop="1" thickBot="1">
      <c r="A24" s="152"/>
      <c r="B24" s="3">
        <f>IF(A24=0,0,VLOOKUP(A24,'00'!$A$1:$F$65536,2,0))</f>
        <v>0</v>
      </c>
      <c r="C24" s="5"/>
      <c r="D24" s="3">
        <f>IF(C24=0,0,VLOOKUP(C24,'01'!$A$2:$B$98,2,0))</f>
        <v>0</v>
      </c>
      <c r="E24" s="12"/>
      <c r="F24" s="33" t="s">
        <v>1</v>
      </c>
      <c r="G24" s="34">
        <v>1000000</v>
      </c>
      <c r="H24" s="206">
        <f>IF(A24=0,0,VLOOKUP(A24,'00'!$A:$F,4,0))</f>
        <v>0</v>
      </c>
      <c r="I24" s="162"/>
      <c r="J24" s="34">
        <f>IF(I24=0,0,VLOOKUP(I24,'00'!$A$1:$F$65536,2,0))</f>
        <v>0</v>
      </c>
      <c r="K24" s="34"/>
      <c r="L24" s="7">
        <f>IF(K24=0,0,VLOOKUP(K24,'01'!$A$2:$B$98,2,0))</f>
        <v>0</v>
      </c>
      <c r="M24" s="39"/>
      <c r="N24" s="33" t="s">
        <v>0</v>
      </c>
      <c r="O24" s="35">
        <f t="shared" si="0"/>
        <v>1</v>
      </c>
      <c r="P24" s="43">
        <f>IF(I24=0,0,VLOOKUP(I24,'00'!$A:$F,4,0))</f>
        <v>0</v>
      </c>
      <c r="Q24" s="37">
        <f>IF(A24=0,0,VLOOKUP(A24,'00'!$A$1:$F$65536,5,0))</f>
        <v>0</v>
      </c>
      <c r="R24" s="37">
        <f>IF(A24=0,0,VLOOKUP(A24,'00'!$A$1:$G$65536,6,0))</f>
        <v>0</v>
      </c>
      <c r="S24" s="38">
        <f t="shared" si="1"/>
        <v>0</v>
      </c>
      <c r="T24" s="38">
        <f t="shared" si="2"/>
        <v>0</v>
      </c>
      <c r="U24" s="37">
        <f>IF(I24=0,0,VLOOKUP(I24,'00'!$A:$F,5,0))+X24</f>
        <v>0</v>
      </c>
      <c r="V24" s="37">
        <f>IF(I24=0,0,VLOOKUP(I24,'00'!$A$1:$F$65536,6,0))</f>
        <v>0</v>
      </c>
      <c r="W24" s="30"/>
      <c r="X24" s="30">
        <f t="shared" si="4"/>
        <v>0</v>
      </c>
      <c r="Y24" s="31">
        <f t="shared" si="3"/>
        <v>0</v>
      </c>
      <c r="Z24" s="71">
        <f t="shared" si="5"/>
        <v>0</v>
      </c>
      <c r="AA24" s="71">
        <f t="shared" si="6"/>
        <v>0</v>
      </c>
      <c r="AB24" s="71">
        <f t="shared" si="7"/>
        <v>0</v>
      </c>
      <c r="AC24" s="71">
        <f t="shared" si="8"/>
        <v>0</v>
      </c>
    </row>
    <row r="25" spans="1:29" s="31" customFormat="1" ht="13.5" thickTop="1" thickBot="1">
      <c r="A25" s="152"/>
      <c r="B25" s="3">
        <f>IF(A25=0,0,VLOOKUP(A25,'00'!$A$1:$F$65536,2,0))</f>
        <v>0</v>
      </c>
      <c r="C25" s="5"/>
      <c r="D25" s="3">
        <f>IF(C25=0,0,VLOOKUP(C25,'01'!$A$2:$B$98,2,0))</f>
        <v>0</v>
      </c>
      <c r="E25" s="12"/>
      <c r="F25" s="33" t="s">
        <v>1</v>
      </c>
      <c r="G25" s="34">
        <v>1000000</v>
      </c>
      <c r="H25" s="206">
        <f>IF(A25=0,0,VLOOKUP(A25,'00'!$A:$F,4,0))</f>
        <v>0</v>
      </c>
      <c r="I25" s="32"/>
      <c r="J25" s="34">
        <f>IF(I25=0,0,VLOOKUP(I25,'00'!$A$1:$F$65536,2,0))</f>
        <v>0</v>
      </c>
      <c r="K25" s="34"/>
      <c r="L25" s="7">
        <f>IF(K25=0,0,VLOOKUP(K25,'01'!$A$2:$B$98,2,0))</f>
        <v>0</v>
      </c>
      <c r="M25" s="39"/>
      <c r="N25" s="33" t="s">
        <v>0</v>
      </c>
      <c r="O25" s="35">
        <f t="shared" si="0"/>
        <v>1</v>
      </c>
      <c r="P25" s="43">
        <f>IF(I25=0,0,VLOOKUP(I25,'00'!$A:$F,4,0))</f>
        <v>0</v>
      </c>
      <c r="Q25" s="37">
        <f>IF(A25=0,0,VLOOKUP(A25,'00'!$A$1:$F$65536,5,0))</f>
        <v>0</v>
      </c>
      <c r="R25" s="37">
        <f>IF(A25=0,0,VLOOKUP(A25,'00'!$A$1:$G$65536,6,0))</f>
        <v>0</v>
      </c>
      <c r="S25" s="38">
        <f t="shared" si="1"/>
        <v>0</v>
      </c>
      <c r="T25" s="38">
        <f t="shared" si="2"/>
        <v>0</v>
      </c>
      <c r="U25" s="37">
        <f>IF(I25=0,0,VLOOKUP(I25,'00'!$A:$F,5,0))+X25</f>
        <v>0</v>
      </c>
      <c r="V25" s="37">
        <f>IF(I25=0,0,VLOOKUP(I25,'00'!$A$1:$F$65536,6,0))</f>
        <v>0</v>
      </c>
      <c r="W25" s="30">
        <v>0</v>
      </c>
      <c r="X25" s="30">
        <f t="shared" si="4"/>
        <v>0</v>
      </c>
      <c r="Y25" s="31">
        <f t="shared" si="3"/>
        <v>0</v>
      </c>
      <c r="Z25" s="71">
        <f t="shared" si="5"/>
        <v>0</v>
      </c>
      <c r="AA25" s="71">
        <f t="shared" si="6"/>
        <v>0</v>
      </c>
      <c r="AB25" s="71">
        <f t="shared" si="7"/>
        <v>0</v>
      </c>
      <c r="AC25" s="71">
        <f t="shared" si="8"/>
        <v>0</v>
      </c>
    </row>
    <row r="26" spans="1:29" s="31" customFormat="1" ht="13.5" thickTop="1" thickBot="1">
      <c r="A26" s="152"/>
      <c r="B26" s="3">
        <f>IF(A26=0,0,VLOOKUP(A26,'00'!$A$1:$F$65536,2,0))</f>
        <v>0</v>
      </c>
      <c r="C26" s="5"/>
      <c r="D26" s="3">
        <f>IF(C26=0,0,VLOOKUP(C26,'01'!$A$2:$B$98,2,0))</f>
        <v>0</v>
      </c>
      <c r="E26" s="12"/>
      <c r="F26" s="33" t="s">
        <v>1</v>
      </c>
      <c r="G26" s="34">
        <v>1000000</v>
      </c>
      <c r="H26" s="206">
        <f>IF(A26=0,0,VLOOKUP(A26,'00'!$A:$F,4,0))</f>
        <v>0</v>
      </c>
      <c r="I26" s="92"/>
      <c r="J26" s="87">
        <f>IF(I26=0,0,VLOOKUP(I26,'00'!$A$1:$F$65536,2,0))</f>
        <v>0</v>
      </c>
      <c r="K26" s="87"/>
      <c r="L26" s="8">
        <f>IF(K26=0,0,VLOOKUP(K26,'01'!$A$2:$B$98,2,0))</f>
        <v>0</v>
      </c>
      <c r="M26" s="93"/>
      <c r="N26" s="89" t="s">
        <v>0</v>
      </c>
      <c r="O26" s="90">
        <f t="shared" si="0"/>
        <v>1</v>
      </c>
      <c r="P26" s="91">
        <f>IF(I26=0,0,VLOOKUP(I26,'00'!$A:$F,4,0))</f>
        <v>0</v>
      </c>
      <c r="Q26" s="37">
        <f>IF(A26=0,0,VLOOKUP(A26,'00'!$A$1:$F$65536,5,0))</f>
        <v>0</v>
      </c>
      <c r="R26" s="37">
        <f>IF(A26=0,0,VLOOKUP(A26,'00'!$A$1:$G$65536,6,0))</f>
        <v>0</v>
      </c>
      <c r="S26" s="38">
        <f t="shared" si="1"/>
        <v>0</v>
      </c>
      <c r="T26" s="38">
        <f t="shared" si="2"/>
        <v>0</v>
      </c>
      <c r="U26" s="37">
        <f>IF(I26=0,0,VLOOKUP(I26,'00'!$A:$F,5,0))+X26</f>
        <v>0</v>
      </c>
      <c r="V26" s="37">
        <f>IF(I26=0,0,VLOOKUP(I26,'00'!$A$1:$F$65536,6,0))</f>
        <v>0</v>
      </c>
      <c r="W26" s="30"/>
      <c r="X26" s="30">
        <f t="shared" si="4"/>
        <v>0</v>
      </c>
      <c r="Y26" s="31">
        <f t="shared" si="3"/>
        <v>0</v>
      </c>
      <c r="Z26" s="71">
        <f t="shared" si="5"/>
        <v>0</v>
      </c>
      <c r="AA26" s="71">
        <f t="shared" si="6"/>
        <v>0</v>
      </c>
      <c r="AB26" s="71">
        <f t="shared" si="7"/>
        <v>0</v>
      </c>
      <c r="AC26" s="71">
        <f t="shared" si="8"/>
        <v>0</v>
      </c>
    </row>
    <row r="27" spans="1:29" s="31" customFormat="1" ht="13.5" thickTop="1" thickBot="1">
      <c r="A27" s="152"/>
      <c r="B27" s="3">
        <f>IF(A27=0,0,VLOOKUP(A27,'00'!$A$1:$F$65536,2,0))</f>
        <v>0</v>
      </c>
      <c r="C27" s="5"/>
      <c r="D27" s="3">
        <f>IF(C27=0,0,VLOOKUP(C27,'01'!$A$2:$B$98,2,0))</f>
        <v>0</v>
      </c>
      <c r="E27" s="12"/>
      <c r="F27" s="33" t="s">
        <v>1</v>
      </c>
      <c r="G27" s="34">
        <v>1000000</v>
      </c>
      <c r="H27" s="206">
        <f>IF(A27=0,0,VLOOKUP(A27,'00'!$A:$F,4,0))</f>
        <v>0</v>
      </c>
      <c r="I27" s="9">
        <v>270098</v>
      </c>
      <c r="J27" s="52" t="str">
        <f>IF(I27=0,0,VLOOKUP(I27,'00'!$A$1:$F$65536,2,0))</f>
        <v>DJS601薄片</v>
      </c>
      <c r="K27" s="10">
        <v>20</v>
      </c>
      <c r="L27" s="129" t="str">
        <f>IF(K27=0,0,VLOOKUP(K27,'01'!$A$2:$B$98,2,0))</f>
        <v>约定</v>
      </c>
      <c r="M27" s="13" t="s">
        <v>344</v>
      </c>
      <c r="N27" s="40" t="s">
        <v>1</v>
      </c>
      <c r="O27" s="41">
        <f t="shared" si="0"/>
        <v>10000</v>
      </c>
      <c r="P27" s="42">
        <f>IF(I27=0,0,VLOOKUP(I27,'00'!$A:$F,4,0))</f>
        <v>1082522</v>
      </c>
      <c r="Q27" s="37">
        <f>IF(A27=0,0,VLOOKUP(A27,'00'!$A$1:$F$65536,5,0))</f>
        <v>0</v>
      </c>
      <c r="R27" s="37">
        <f>IF(A27=0,0,VLOOKUP(A27,'00'!$A$1:$G$65536,6,0))</f>
        <v>0</v>
      </c>
      <c r="S27" s="38">
        <f t="shared" si="1"/>
        <v>0</v>
      </c>
      <c r="T27" s="38">
        <f t="shared" si="2"/>
        <v>0</v>
      </c>
      <c r="U27" s="37">
        <f>IF(I27=0,0,VLOOKUP(I27,'00'!$A:$F,5,0))+X27</f>
        <v>0</v>
      </c>
      <c r="V27" s="37">
        <f>IF(I27=0,0,VLOOKUP(I27,'00'!$A$1:$F$65536,6,0))</f>
        <v>1.5</v>
      </c>
      <c r="W27" s="37">
        <v>118</v>
      </c>
      <c r="X27" s="30">
        <f t="shared" si="4"/>
        <v>0</v>
      </c>
      <c r="Y27" s="31">
        <f t="shared" si="3"/>
        <v>0</v>
      </c>
      <c r="Z27" s="71">
        <f t="shared" si="5"/>
        <v>0</v>
      </c>
      <c r="AA27" s="71">
        <f t="shared" si="6"/>
        <v>0</v>
      </c>
      <c r="AB27" s="71">
        <f t="shared" si="7"/>
        <v>0</v>
      </c>
      <c r="AC27" s="71"/>
    </row>
    <row r="28" spans="1:29" s="31" customFormat="1" ht="13.5" thickTop="1" thickBot="1">
      <c r="A28" s="152"/>
      <c r="B28" s="3">
        <f>IF(A28=0,0,VLOOKUP(A28,'00'!$A$1:$F$65536,2,0))</f>
        <v>0</v>
      </c>
      <c r="C28" s="5"/>
      <c r="D28" s="3">
        <f>IF(C28=0,0,VLOOKUP(C28,'01'!$A$2:$B$98,2,0))</f>
        <v>0</v>
      </c>
      <c r="E28" s="12"/>
      <c r="F28" s="33" t="s">
        <v>1</v>
      </c>
      <c r="G28" s="34">
        <v>1000000</v>
      </c>
      <c r="H28" s="206">
        <f>IF(A28=0,0,VLOOKUP(A28,'00'!$A:$F,4,0))</f>
        <v>0</v>
      </c>
      <c r="I28" s="32">
        <v>270533</v>
      </c>
      <c r="J28" s="34" t="str">
        <f>IF(I28=0,0,VLOOKUP(I28,'00'!$A$1:$F$65536,2,0))</f>
        <v>DJS805(1)</v>
      </c>
      <c r="K28" s="34">
        <v>23</v>
      </c>
      <c r="L28" s="7" t="str">
        <f>IF(K28=0,0,VLOOKUP(K28,'01'!$A$2:$B$98,2,0))</f>
        <v>三区</v>
      </c>
      <c r="M28" s="39">
        <v>2</v>
      </c>
      <c r="N28" s="33" t="s">
        <v>1</v>
      </c>
      <c r="O28" s="35">
        <f t="shared" si="0"/>
        <v>10000</v>
      </c>
      <c r="P28" s="43">
        <f>IF(I28=0,0,VLOOKUP(I28,'00'!$A:$F,4,0))</f>
        <v>1082545</v>
      </c>
      <c r="Q28" s="37">
        <f>IF(A28=0,0,VLOOKUP(A28,'00'!$A$1:$F$65536,5,0))</f>
        <v>0</v>
      </c>
      <c r="R28" s="37">
        <f>IF(A28=0,0,VLOOKUP(A28,'00'!$A$1:$G$65536,6,0))</f>
        <v>0</v>
      </c>
      <c r="S28" s="38">
        <f t="shared" si="1"/>
        <v>0</v>
      </c>
      <c r="T28" s="38">
        <f t="shared" si="2"/>
        <v>0</v>
      </c>
      <c r="U28" s="37">
        <f>IF(I28=0,0,VLOOKUP(I28,'00'!$A:$F,5,0))+X28</f>
        <v>37.35</v>
      </c>
      <c r="V28" s="37">
        <f>IF(I28=0,0,VLOOKUP(I28,'00'!$A$1:$F$65536,6,0))</f>
        <v>15</v>
      </c>
      <c r="W28" s="30"/>
      <c r="X28" s="30">
        <f t="shared" si="4"/>
        <v>0</v>
      </c>
      <c r="Y28" s="31">
        <f>E28*R28</f>
        <v>0</v>
      </c>
      <c r="Z28" s="71">
        <f t="shared" si="5"/>
        <v>0</v>
      </c>
      <c r="AA28" s="71">
        <f t="shared" si="6"/>
        <v>0</v>
      </c>
      <c r="AB28" s="71">
        <f t="shared" si="7"/>
        <v>0</v>
      </c>
      <c r="AC28" s="71">
        <f t="shared" si="8"/>
        <v>74.7</v>
      </c>
    </row>
    <row r="29" spans="1:29" s="31" customFormat="1" ht="13.5" thickTop="1" thickBot="1">
      <c r="A29" s="152"/>
      <c r="B29" s="3">
        <f>IF(A29=0,0,VLOOKUP(A29,'00'!$A$1:$F$65536,2,0))</f>
        <v>0</v>
      </c>
      <c r="C29" s="5"/>
      <c r="D29" s="3">
        <f>IF(C29=0,0,VLOOKUP(C29,'01'!$A$2:$B$98,2,0))</f>
        <v>0</v>
      </c>
      <c r="E29" s="12"/>
      <c r="F29" s="33" t="s">
        <v>1</v>
      </c>
      <c r="G29" s="34">
        <v>1000000</v>
      </c>
      <c r="H29" s="206">
        <f>IF(A29=0,0,VLOOKUP(A29,'00'!$A:$F,4,0))</f>
        <v>0</v>
      </c>
      <c r="I29" s="32">
        <v>270127</v>
      </c>
      <c r="J29" s="34" t="str">
        <f>IF(I29=0,0,VLOOKUP(I29,'00'!$A$1:$F$65536,2,0))</f>
        <v>SJS191(0)</v>
      </c>
      <c r="K29" s="34">
        <v>1</v>
      </c>
      <c r="L29" s="7" t="str">
        <f>IF(K29=0,0,VLOOKUP(K29,'01'!$A$2:$B$98,2,0))</f>
        <v>炼胶</v>
      </c>
      <c r="M29" s="39">
        <v>16</v>
      </c>
      <c r="N29" s="33" t="s">
        <v>1</v>
      </c>
      <c r="O29" s="35">
        <f t="shared" si="0"/>
        <v>10000</v>
      </c>
      <c r="P29" s="43">
        <f>IF(I29=0,0,VLOOKUP(I29,'00'!$A:$F,4,0))</f>
        <v>1082540</v>
      </c>
      <c r="Q29" s="37">
        <f>IF(A29=0,0,VLOOKUP(A29,'00'!$A$1:$F$65536,5,0))</f>
        <v>0</v>
      </c>
      <c r="R29" s="37">
        <f>IF(A29=0,0,VLOOKUP(A29,'00'!$A$1:$G$65536,6,0))</f>
        <v>0</v>
      </c>
      <c r="S29" s="38">
        <f t="shared" si="1"/>
        <v>0</v>
      </c>
      <c r="T29" s="38">
        <f t="shared" si="2"/>
        <v>0</v>
      </c>
      <c r="U29" s="37">
        <f>IF(I29=0,0,VLOOKUP(I29,'00'!$A:$F,5,0))+X29</f>
        <v>40</v>
      </c>
      <c r="V29" s="37">
        <f>IF(I29=0,0,VLOOKUP(I29,'00'!$A$1:$F$65536,6,0))</f>
        <v>10</v>
      </c>
      <c r="W29" s="30"/>
      <c r="X29" s="30">
        <f t="shared" si="4"/>
        <v>0</v>
      </c>
      <c r="Y29" s="31">
        <f t="shared" si="3"/>
        <v>0</v>
      </c>
      <c r="Z29" s="71">
        <f t="shared" si="5"/>
        <v>0</v>
      </c>
      <c r="AA29" s="71">
        <f t="shared" si="6"/>
        <v>0</v>
      </c>
      <c r="AB29" s="71">
        <f t="shared" si="7"/>
        <v>0</v>
      </c>
      <c r="AC29" s="71">
        <f t="shared" si="8"/>
        <v>640</v>
      </c>
    </row>
    <row r="30" spans="1:29" s="31" customFormat="1" ht="13.5" thickTop="1" thickBot="1">
      <c r="A30" s="152"/>
      <c r="B30" s="3">
        <f>IF(A30=0,0,VLOOKUP(A30,'00'!$A$1:$F$65536,2,0))</f>
        <v>0</v>
      </c>
      <c r="C30" s="5"/>
      <c r="D30" s="3">
        <f>IF(C30=0,0,VLOOKUP(C30,'01'!$A$2:$B$98,2,0))</f>
        <v>0</v>
      </c>
      <c r="E30" s="12"/>
      <c r="F30" s="33" t="s">
        <v>1</v>
      </c>
      <c r="G30" s="34">
        <v>1000000</v>
      </c>
      <c r="H30" s="206">
        <f>IF(A30=0,0,VLOOKUP(A30,'00'!$A:$F,4,0))</f>
        <v>0</v>
      </c>
      <c r="I30" s="32"/>
      <c r="J30" s="34">
        <f>IF(I30=0,0,VLOOKUP(I30,'00'!$A$1:$F$65536,2,0))</f>
        <v>0</v>
      </c>
      <c r="K30" s="34"/>
      <c r="L30" s="7">
        <f>IF(K30=0,0,VLOOKUP(K30,'01'!$A$2:$B$98,2,0))</f>
        <v>0</v>
      </c>
      <c r="M30" s="39"/>
      <c r="N30" s="33" t="s">
        <v>1</v>
      </c>
      <c r="O30" s="35">
        <f t="shared" si="0"/>
        <v>10000</v>
      </c>
      <c r="P30" s="43">
        <f>IF(I30=0,0,VLOOKUP(I30,'00'!$A:$F,4,0))</f>
        <v>0</v>
      </c>
      <c r="Q30" s="37">
        <f>IF(A30=0,0,VLOOKUP(A30,'00'!$A$1:$F$65536,5,0))</f>
        <v>0</v>
      </c>
      <c r="R30" s="37">
        <f>IF(A30=0,0,VLOOKUP(A30,'00'!$A$1:$G$65536,6,0))</f>
        <v>0</v>
      </c>
      <c r="S30" s="38">
        <f t="shared" si="1"/>
        <v>0</v>
      </c>
      <c r="T30" s="38">
        <f t="shared" si="2"/>
        <v>0</v>
      </c>
      <c r="U30" s="37">
        <f>IF(I30=0,0,VLOOKUP(I30,'00'!$A:$F,5,0))+X30</f>
        <v>0</v>
      </c>
      <c r="V30" s="37">
        <f>IF(I30=0,0,VLOOKUP(I30,'00'!$A$1:$F$65536,6,0))</f>
        <v>0</v>
      </c>
      <c r="W30" s="30"/>
      <c r="X30" s="30">
        <f>IF(K30=9,125,0)</f>
        <v>0</v>
      </c>
      <c r="Y30" s="31">
        <f t="shared" si="3"/>
        <v>0</v>
      </c>
      <c r="Z30" s="71">
        <f t="shared" si="5"/>
        <v>0</v>
      </c>
      <c r="AA30" s="71">
        <f t="shared" si="6"/>
        <v>0</v>
      </c>
      <c r="AB30" s="71">
        <f t="shared" si="7"/>
        <v>0</v>
      </c>
      <c r="AC30" s="71">
        <f>+U30*M30</f>
        <v>0</v>
      </c>
    </row>
    <row r="31" spans="1:29" s="31" customFormat="1" ht="13.5" thickTop="1" thickBot="1">
      <c r="A31" s="152"/>
      <c r="B31" s="3">
        <f>IF(A31=0,0,VLOOKUP(A31,'00'!$A$1:$F$65536,2,0))</f>
        <v>0</v>
      </c>
      <c r="C31" s="5"/>
      <c r="D31" s="3">
        <f>IF(C31=0,0,VLOOKUP(C31,'01'!$A$2:$B$98,2,0))</f>
        <v>0</v>
      </c>
      <c r="E31" s="12"/>
      <c r="F31" s="33" t="s">
        <v>1</v>
      </c>
      <c r="G31" s="34">
        <v>1000000</v>
      </c>
      <c r="H31" s="206">
        <f>IF(A31=0,0,VLOOKUP(A31,'00'!$A:$F,4,0))</f>
        <v>0</v>
      </c>
      <c r="I31" s="32"/>
      <c r="J31" s="34">
        <f>IF(I31=0,0,VLOOKUP(I31,'00'!$A$1:$F$65536,2,0))</f>
        <v>0</v>
      </c>
      <c r="K31" s="34"/>
      <c r="L31" s="7">
        <f>IF(K31=0,0,VLOOKUP(K31,'01'!$A$2:$B$98,2,0))</f>
        <v>0</v>
      </c>
      <c r="M31" s="39"/>
      <c r="N31" s="33" t="s">
        <v>1</v>
      </c>
      <c r="O31" s="35">
        <f t="shared" si="0"/>
        <v>10000</v>
      </c>
      <c r="P31" s="43">
        <f>IF(I31=0,0,VLOOKUP(I31,'00'!$A:$F,4,0))</f>
        <v>0</v>
      </c>
      <c r="Q31" s="37">
        <f>IF(A31=0,0,VLOOKUP(A31,'00'!$A$1:$F$65536,5,0))</f>
        <v>0</v>
      </c>
      <c r="R31" s="37">
        <f>IF(A31=0,0,VLOOKUP(A31,'00'!$A$1:$G$65536,6,0))</f>
        <v>0</v>
      </c>
      <c r="S31" s="38">
        <f t="shared" si="1"/>
        <v>0</v>
      </c>
      <c r="T31" s="38">
        <f t="shared" si="2"/>
        <v>0</v>
      </c>
      <c r="U31" s="37">
        <f>IF(I31=0,0,VLOOKUP(I31,'00'!$A:$F,5,0))+X31</f>
        <v>0</v>
      </c>
      <c r="V31" s="37">
        <f>IF(I31=0,0,VLOOKUP(I31,'00'!$A$1:$F$65536,6,0))</f>
        <v>0</v>
      </c>
      <c r="W31" s="30"/>
      <c r="X31" s="30">
        <f>IF(K31=9,125,0)</f>
        <v>0</v>
      </c>
      <c r="Y31" s="31">
        <f t="shared" si="3"/>
        <v>0</v>
      </c>
      <c r="Z31" s="71">
        <f t="shared" si="5"/>
        <v>0</v>
      </c>
      <c r="AA31" s="71">
        <f t="shared" si="6"/>
        <v>0</v>
      </c>
      <c r="AB31" s="71">
        <f t="shared" si="7"/>
        <v>0</v>
      </c>
      <c r="AC31" s="71">
        <f>+U31*M31</f>
        <v>0</v>
      </c>
    </row>
    <row r="32" spans="1:29" s="31" customFormat="1" ht="13.5" thickTop="1" thickBot="1">
      <c r="A32" s="152"/>
      <c r="B32" s="3">
        <f>IF(A32=0,0,VLOOKUP(A32,'00'!$A$1:$F$65536,2,0))</f>
        <v>0</v>
      </c>
      <c r="C32" s="5"/>
      <c r="D32" s="3">
        <f>IF(C32=0,0,VLOOKUP(C32,'01'!$A$2:$B$98,2,0))</f>
        <v>0</v>
      </c>
      <c r="E32" s="12"/>
      <c r="F32" s="33" t="s">
        <v>1</v>
      </c>
      <c r="G32" s="34">
        <v>1000000</v>
      </c>
      <c r="H32" s="206">
        <f>IF(A32=0,0,VLOOKUP(A32,'00'!$A:$F,4,0))</f>
        <v>0</v>
      </c>
      <c r="I32" s="32"/>
      <c r="J32" s="34">
        <f>IF(I32=0,0,VLOOKUP(I32,'00'!$A$1:$F$65536,2,0))</f>
        <v>0</v>
      </c>
      <c r="K32" s="34"/>
      <c r="L32" s="7">
        <f>IF(K32=0,0,VLOOKUP(K32,'01'!$A$2:$B$98,2,0))</f>
        <v>0</v>
      </c>
      <c r="M32" s="39"/>
      <c r="N32" s="33" t="s">
        <v>1</v>
      </c>
      <c r="O32" s="35">
        <f t="shared" si="0"/>
        <v>10000</v>
      </c>
      <c r="P32" s="43">
        <f>IF(I32=0,0,VLOOKUP(I32,'00'!$A:$F,4,0))</f>
        <v>0</v>
      </c>
      <c r="Q32" s="37">
        <f>IF(A32=0,0,VLOOKUP(A32,'00'!$A$1:$F$65536,5,0))</f>
        <v>0</v>
      </c>
      <c r="R32" s="37">
        <f>IF(A32=0,0,VLOOKUP(A32,'00'!$A$1:$G$65536,6,0))</f>
        <v>0</v>
      </c>
      <c r="S32" s="38">
        <f t="shared" si="1"/>
        <v>0</v>
      </c>
      <c r="T32" s="38">
        <f t="shared" si="2"/>
        <v>0</v>
      </c>
      <c r="U32" s="37">
        <f>IF(I32=0,0,VLOOKUP(I32,'00'!$A:$F,5,0))+X32</f>
        <v>0</v>
      </c>
      <c r="V32" s="37">
        <f>IF(I32=0,0,VLOOKUP(I32,'00'!$A$1:$F$65536,6,0))</f>
        <v>0</v>
      </c>
      <c r="W32" s="30"/>
      <c r="X32" s="30">
        <f>IF(K32=9,125,0)</f>
        <v>0</v>
      </c>
      <c r="Y32" s="31">
        <f t="shared" si="3"/>
        <v>0</v>
      </c>
      <c r="Z32" s="71">
        <f t="shared" si="5"/>
        <v>0</v>
      </c>
      <c r="AA32" s="71">
        <f t="shared" si="6"/>
        <v>0</v>
      </c>
      <c r="AB32" s="71">
        <f t="shared" si="7"/>
        <v>0</v>
      </c>
      <c r="AC32" s="71">
        <f>+U32*M32</f>
        <v>0</v>
      </c>
    </row>
    <row r="33" spans="1:29" s="31" customFormat="1" ht="13.5" thickTop="1" thickBot="1">
      <c r="A33" s="152"/>
      <c r="B33" s="3">
        <f>IF(A33=0,0,VLOOKUP(A33,'00'!$A$1:$F$65536,2,0))</f>
        <v>0</v>
      </c>
      <c r="C33" s="5"/>
      <c r="D33" s="3">
        <f>IF(C33=0,0,VLOOKUP(C33,'01'!$A$2:$B$98,2,0))</f>
        <v>0</v>
      </c>
      <c r="E33" s="12"/>
      <c r="F33" s="33" t="s">
        <v>1</v>
      </c>
      <c r="G33" s="34">
        <v>1000000</v>
      </c>
      <c r="H33" s="206">
        <f>IF(A33=0,0,VLOOKUP(A33,'00'!$A:$F,4,0))</f>
        <v>0</v>
      </c>
      <c r="I33" s="32"/>
      <c r="J33" s="34">
        <f>IF(I33=0,0,VLOOKUP(I33,'00'!$A$1:$F$65536,2,0))</f>
        <v>0</v>
      </c>
      <c r="K33" s="34"/>
      <c r="L33" s="7">
        <f>IF(K33=0,0,VLOOKUP(K33,'01'!$A$2:$B$98,2,0))</f>
        <v>0</v>
      </c>
      <c r="M33" s="39"/>
      <c r="N33" s="33" t="s">
        <v>1</v>
      </c>
      <c r="O33" s="35">
        <f t="shared" si="0"/>
        <v>10000</v>
      </c>
      <c r="P33" s="43">
        <f>IF(I33=0,0,VLOOKUP(I33,'00'!$A:$F,4,0))</f>
        <v>0</v>
      </c>
      <c r="Q33" s="37">
        <f>IF(A33=0,0,VLOOKUP(A33,'00'!$A$1:$F$65536,5,0))</f>
        <v>0</v>
      </c>
      <c r="R33" s="37">
        <f>IF(A33=0,0,VLOOKUP(A33,'00'!$A$1:$G$65536,6,0))</f>
        <v>0</v>
      </c>
      <c r="S33" s="38">
        <f t="shared" si="1"/>
        <v>0</v>
      </c>
      <c r="T33" s="38">
        <f t="shared" si="2"/>
        <v>0</v>
      </c>
      <c r="U33" s="37">
        <f>IF(I33=0,0,VLOOKUP(I33,'00'!$A:$F,5,0))+X33</f>
        <v>0</v>
      </c>
      <c r="V33" s="37">
        <f>IF(I33=0,0,VLOOKUP(I33,'00'!$A$1:$F$65536,6,0))</f>
        <v>0</v>
      </c>
      <c r="W33" s="30"/>
      <c r="X33" s="30">
        <f>IF(K33=9,125,0)</f>
        <v>0</v>
      </c>
      <c r="Y33" s="31">
        <f t="shared" si="3"/>
        <v>0</v>
      </c>
      <c r="Z33" s="71">
        <f t="shared" si="5"/>
        <v>0</v>
      </c>
      <c r="AA33" s="71">
        <f t="shared" si="6"/>
        <v>0</v>
      </c>
      <c r="AB33" s="71">
        <f t="shared" si="7"/>
        <v>0</v>
      </c>
      <c r="AC33" s="71">
        <f>+U33*M33</f>
        <v>0</v>
      </c>
    </row>
    <row r="34" spans="1:29" s="31" customFormat="1" ht="13.5" thickTop="1" thickBot="1">
      <c r="A34" s="32"/>
      <c r="B34" s="3">
        <f>IF(A34=0,0,VLOOKUP(A34,'00'!$A$1:$F$65536,2,0))</f>
        <v>0</v>
      </c>
      <c r="C34" s="5"/>
      <c r="D34" s="3">
        <f>IF(C34=0,0,VLOOKUP(C34,'01'!$A$2:$B$98,2,0))</f>
        <v>0</v>
      </c>
      <c r="E34" s="12"/>
      <c r="F34" s="33" t="s">
        <v>1</v>
      </c>
      <c r="G34" s="34">
        <v>1000000</v>
      </c>
      <c r="H34" s="206">
        <f>IF(A34=0,0,VLOOKUP(A34,'00'!$A:$F,4,0))</f>
        <v>0</v>
      </c>
      <c r="I34" s="32"/>
      <c r="J34" s="34">
        <f>IF(I34=0,0,VLOOKUP(I34,'00'!$A$1:$F$65536,2,0))</f>
        <v>0</v>
      </c>
      <c r="K34" s="34"/>
      <c r="L34" s="7">
        <f>IF(K34=0,0,VLOOKUP(K34,'01'!$A$2:$B$98,2,0))</f>
        <v>0</v>
      </c>
      <c r="M34" s="39"/>
      <c r="N34" s="78" t="s">
        <v>1</v>
      </c>
      <c r="O34" s="47">
        <f t="shared" si="0"/>
        <v>10000</v>
      </c>
      <c r="P34" s="79">
        <f>IF(I34=0,0,VLOOKUP(I34,'00'!$A:$F,4,0))</f>
        <v>0</v>
      </c>
      <c r="Q34" s="37">
        <f>IF(A34=0,0,VLOOKUP(A34,'00'!$A$1:$F$65536,5,0))</f>
        <v>0</v>
      </c>
      <c r="R34" s="37">
        <f>IF(A34=0,0,VLOOKUP(A34,'00'!$A$1:$G$65536,6,0))</f>
        <v>0</v>
      </c>
      <c r="S34" s="38">
        <f t="shared" si="1"/>
        <v>0</v>
      </c>
      <c r="T34" s="38">
        <f t="shared" si="2"/>
        <v>0</v>
      </c>
      <c r="U34" s="37">
        <f>IF(I34=0,0,VLOOKUP(I34,'00'!$A:$F,5,0))+X34</f>
        <v>0</v>
      </c>
      <c r="V34" s="37">
        <f>IF(I34=0,0,VLOOKUP(I34,'00'!$A$1:$F$65536,6,0))</f>
        <v>0</v>
      </c>
      <c r="W34" s="30"/>
      <c r="X34" s="30">
        <f>IF(K34=9,125,0)</f>
        <v>0</v>
      </c>
      <c r="Y34" s="31">
        <f t="shared" si="3"/>
        <v>0</v>
      </c>
      <c r="Z34" s="71">
        <f t="shared" si="5"/>
        <v>0</v>
      </c>
      <c r="AA34" s="71">
        <f t="shared" si="6"/>
        <v>0</v>
      </c>
      <c r="AB34" s="71">
        <f t="shared" si="7"/>
        <v>0</v>
      </c>
      <c r="AC34" s="71">
        <f>+U34*M34</f>
        <v>0</v>
      </c>
    </row>
    <row r="35" spans="1:29" s="31" customFormat="1" ht="13.5" thickTop="1" thickBot="1">
      <c r="A35" s="32"/>
      <c r="B35" s="3">
        <f>IF(A35=0,0,VLOOKUP(A35,'00'!$A$1:$F$65536,2,0))</f>
        <v>0</v>
      </c>
      <c r="C35" s="5"/>
      <c r="D35" s="3">
        <f>IF(C35=0,0,VLOOKUP(C35,'01'!$A$2:$B$98,2,0))</f>
        <v>0</v>
      </c>
      <c r="E35" s="12"/>
      <c r="F35" s="33" t="s">
        <v>1</v>
      </c>
      <c r="G35" s="34">
        <f>IF(F35="中",1,IF(F35="夜",1000000,IF(F35="早",1000000000000,0)))</f>
        <v>1000000</v>
      </c>
      <c r="H35" s="206">
        <f>IF(A35=0,0,VLOOKUP(A35,'00'!$A:$F,4,0))</f>
        <v>0</v>
      </c>
      <c r="I35" s="162"/>
      <c r="J35" s="34">
        <f>IF(I35=0,0,VLOOKUP(I35,'00'!$A$1:$F$65536,2,0))</f>
        <v>0</v>
      </c>
      <c r="K35" s="34"/>
      <c r="L35" s="7">
        <f>IF(K35=0,0,VLOOKUP(K35,'01'!$A$2:$B$98,2,0))</f>
        <v>0</v>
      </c>
      <c r="M35" s="39"/>
      <c r="N35" s="33" t="s">
        <v>1</v>
      </c>
      <c r="O35" s="35">
        <f t="shared" si="0"/>
        <v>10000</v>
      </c>
      <c r="P35" s="43">
        <f>IF(I35=0,0,VLOOKUP(I35,'00'!$A:$F,4,0))</f>
        <v>0</v>
      </c>
      <c r="Q35" s="37">
        <f>IF(A35=0,0,VLOOKUP(A35,'00'!$A$1:$F$65536,5,0))</f>
        <v>0</v>
      </c>
      <c r="R35" s="37">
        <f>IF(A35=0,0,VLOOKUP(A35,'00'!$A$1:$G$65536,6,0))</f>
        <v>0</v>
      </c>
      <c r="S35" s="38">
        <f t="shared" si="1"/>
        <v>0</v>
      </c>
      <c r="T35" s="38">
        <f t="shared" si="2"/>
        <v>0</v>
      </c>
      <c r="U35" s="37">
        <f>IF(I35=0,0,VLOOKUP(I35,'00'!$A:$F,5,0))+X35</f>
        <v>0</v>
      </c>
      <c r="V35" s="37">
        <f>IF(I35=0,0,VLOOKUP(I35,'00'!$A$1:$F$65536,6,0))</f>
        <v>0</v>
      </c>
      <c r="W35" s="30"/>
      <c r="X35" s="30">
        <f t="shared" si="4"/>
        <v>0</v>
      </c>
      <c r="Y35" s="31">
        <f t="shared" si="3"/>
        <v>0</v>
      </c>
      <c r="Z35" s="71">
        <f t="shared" si="5"/>
        <v>0</v>
      </c>
      <c r="AA35" s="71">
        <f t="shared" si="6"/>
        <v>0</v>
      </c>
      <c r="AB35" s="71">
        <f t="shared" si="7"/>
        <v>0</v>
      </c>
      <c r="AC35" s="71">
        <f t="shared" si="8"/>
        <v>0</v>
      </c>
    </row>
    <row r="36" spans="1:29" s="31" customFormat="1" ht="13.5" thickTop="1" thickBot="1">
      <c r="A36" s="32"/>
      <c r="B36" s="3">
        <f>IF(A36=0,0,VLOOKUP(A36,'00'!$A$1:$F$65536,2,0))</f>
        <v>0</v>
      </c>
      <c r="C36" s="5"/>
      <c r="D36" s="3">
        <f>IF(C36=0,0,VLOOKUP(C36,'01'!$A$2:$B$98,2,0))</f>
        <v>0</v>
      </c>
      <c r="E36" s="12"/>
      <c r="F36" s="33" t="s">
        <v>1</v>
      </c>
      <c r="G36" s="34">
        <f>IF(F36="中",1,IF(F36="夜",1000000,IF(F36="早",1000000000000,0)))</f>
        <v>1000000</v>
      </c>
      <c r="H36" s="206">
        <f>IF(A36=0,0,VLOOKUP(A36,'00'!$A:$F,4,0))</f>
        <v>0</v>
      </c>
      <c r="I36" s="32"/>
      <c r="J36" s="34">
        <f>IF(I36=0,0,VLOOKUP(I36,'00'!$A$1:$F$65536,2,0))</f>
        <v>0</v>
      </c>
      <c r="K36" s="34"/>
      <c r="L36" s="7">
        <f>IF(K36=0,0,VLOOKUP(K36,'01'!$A$2:$B$98,2,0))</f>
        <v>0</v>
      </c>
      <c r="M36" s="39"/>
      <c r="N36" s="33" t="s">
        <v>1</v>
      </c>
      <c r="O36" s="35">
        <f t="shared" si="0"/>
        <v>10000</v>
      </c>
      <c r="P36" s="43">
        <f>IF(I36=0,0,VLOOKUP(I36,'00'!$A:$F,4,0))</f>
        <v>0</v>
      </c>
      <c r="Q36" s="37">
        <f>IF(A36=0,0,VLOOKUP(A36,'00'!$A$1:$F$65536,5,0))</f>
        <v>0</v>
      </c>
      <c r="R36" s="37">
        <f>IF(A36=0,0,VLOOKUP(A36,'00'!$A$1:$G$65536,6,0))</f>
        <v>0</v>
      </c>
      <c r="S36" s="38">
        <f t="shared" si="1"/>
        <v>0</v>
      </c>
      <c r="T36" s="38">
        <f t="shared" si="2"/>
        <v>0</v>
      </c>
      <c r="U36" s="37">
        <f>IF(I36=0,0,VLOOKUP(I36,'00'!$A:$F,5,0))+X36</f>
        <v>0</v>
      </c>
      <c r="V36" s="37">
        <f>IF(I36=0,0,VLOOKUP(I36,'00'!$A$1:$F$65536,6,0))</f>
        <v>0</v>
      </c>
      <c r="W36" s="30"/>
      <c r="X36" s="30">
        <f t="shared" si="4"/>
        <v>0</v>
      </c>
      <c r="Y36" s="31">
        <f t="shared" si="3"/>
        <v>0</v>
      </c>
      <c r="Z36" s="71">
        <f t="shared" si="5"/>
        <v>0</v>
      </c>
      <c r="AA36" s="71">
        <f t="shared" si="6"/>
        <v>0</v>
      </c>
      <c r="AB36" s="71">
        <f t="shared" si="7"/>
        <v>0</v>
      </c>
      <c r="AC36" s="71">
        <f t="shared" si="8"/>
        <v>0</v>
      </c>
    </row>
    <row r="37" spans="1:29" s="31" customFormat="1" ht="13.5" thickTop="1" thickBot="1">
      <c r="A37" s="32"/>
      <c r="B37" s="108">
        <f>IF(A37=0,0,VLOOKUP(A37,'00'!$A$1:$F$65536,2,0))</f>
        <v>0</v>
      </c>
      <c r="C37" s="109"/>
      <c r="D37" s="108">
        <f>IF(C37=0,0,VLOOKUP(C37,'01'!$A$2:$B$98,2,0))</f>
        <v>0</v>
      </c>
      <c r="E37" s="110"/>
      <c r="F37" s="78" t="s">
        <v>298</v>
      </c>
      <c r="G37" s="56">
        <f>IF(F37="中",1,IF(F37="夜",1000000,IF(F37="早",1000000000000,0)))</f>
        <v>0</v>
      </c>
      <c r="H37" s="60">
        <f>IF(A37=0,0,VLOOKUP(A37,'00'!$A:$F,4,0))</f>
        <v>0</v>
      </c>
      <c r="I37" s="80"/>
      <c r="J37" s="81">
        <f>IF(I37=0,0,VLOOKUP(I37,'00'!$A$1:$F$65536,2,0))</f>
        <v>0</v>
      </c>
      <c r="K37" s="81"/>
      <c r="L37" s="82">
        <f>IF(K37=0,0,VLOOKUP(K37,'01'!$A$2:$B$98,2,0))</f>
        <v>0</v>
      </c>
      <c r="M37" s="83"/>
      <c r="N37" s="84" t="s">
        <v>1</v>
      </c>
      <c r="O37" s="85">
        <f t="shared" si="0"/>
        <v>10000</v>
      </c>
      <c r="P37" s="86">
        <f>IF(I37=0,0,VLOOKUP(I37,'00'!$A:$F,4,0))</f>
        <v>0</v>
      </c>
      <c r="Q37" s="37">
        <f>IF(A37=0,0,VLOOKUP(A37,'00'!$A$1:$F$65536,5,0))</f>
        <v>0</v>
      </c>
      <c r="R37" s="37">
        <f>IF(A37=0,0,VLOOKUP(A37,'00'!$A$1:$G$65536,6,0))</f>
        <v>0</v>
      </c>
      <c r="S37" s="38">
        <f t="shared" si="1"/>
        <v>0</v>
      </c>
      <c r="T37" s="38">
        <f t="shared" si="2"/>
        <v>1</v>
      </c>
      <c r="U37" s="37">
        <f>IF(I37=0,0,VLOOKUP(I37,'00'!$A:$F,5,0))+X37</f>
        <v>0</v>
      </c>
      <c r="V37" s="37">
        <f>IF(I37=0,0,VLOOKUP(I37,'[1]00'!$A$1:$F$65536,6,0))</f>
        <v>0</v>
      </c>
      <c r="W37" s="30"/>
      <c r="X37" s="30">
        <f t="shared" si="4"/>
        <v>0</v>
      </c>
      <c r="Y37" s="31">
        <f t="shared" si="3"/>
        <v>0</v>
      </c>
      <c r="Z37" s="71">
        <f t="shared" si="5"/>
        <v>0</v>
      </c>
      <c r="AA37" s="71">
        <f t="shared" si="6"/>
        <v>0</v>
      </c>
      <c r="AB37" s="71">
        <f t="shared" si="7"/>
        <v>0</v>
      </c>
      <c r="AC37" s="71">
        <f t="shared" si="8"/>
        <v>0</v>
      </c>
    </row>
    <row r="38" spans="1:29" s="31" customFormat="1" ht="13.5" thickTop="1" thickBot="1">
      <c r="A38" s="57" t="s">
        <v>303</v>
      </c>
      <c r="B38" s="223" t="s">
        <v>329</v>
      </c>
      <c r="C38" s="223"/>
      <c r="D38" s="223"/>
      <c r="E38" s="223"/>
      <c r="F38" s="223"/>
      <c r="G38" s="223"/>
      <c r="H38" s="224"/>
      <c r="I38" s="238"/>
      <c r="J38" s="236"/>
      <c r="K38" s="236"/>
      <c r="L38" s="236" t="s">
        <v>345</v>
      </c>
      <c r="M38" s="236"/>
      <c r="N38" s="236"/>
      <c r="O38" s="236"/>
      <c r="P38" s="237"/>
      <c r="Q38" s="37"/>
      <c r="R38" s="37"/>
      <c r="S38" s="38"/>
      <c r="T38" s="38"/>
      <c r="U38" s="54"/>
      <c r="V38" s="54"/>
      <c r="W38" s="30"/>
      <c r="X38" s="30"/>
      <c r="Z38" s="71"/>
      <c r="AA38" s="71"/>
      <c r="AB38" s="71"/>
      <c r="AC38" s="71"/>
    </row>
    <row r="39" spans="1:29" s="31" customFormat="1" ht="13.5" thickTop="1" thickBot="1">
      <c r="A39" s="58" t="s">
        <v>306</v>
      </c>
      <c r="B39" s="212" t="s">
        <v>346</v>
      </c>
      <c r="C39" s="226"/>
      <c r="D39" s="226"/>
      <c r="E39" s="226"/>
      <c r="F39" s="226"/>
      <c r="G39" s="226"/>
      <c r="H39" s="227"/>
      <c r="I39" s="240"/>
      <c r="J39" s="241"/>
      <c r="K39" s="241"/>
      <c r="L39" s="241"/>
      <c r="M39" s="241"/>
      <c r="N39" s="241"/>
      <c r="O39" s="241"/>
      <c r="P39" s="242"/>
      <c r="Q39" s="37"/>
      <c r="R39" s="37"/>
      <c r="S39" s="38"/>
      <c r="T39" s="38"/>
      <c r="U39" s="54"/>
      <c r="V39" s="54"/>
      <c r="W39" s="30"/>
      <c r="X39" s="30"/>
      <c r="Z39" s="71"/>
      <c r="AA39" s="71"/>
      <c r="AB39" s="71"/>
      <c r="AC39" s="71"/>
    </row>
    <row r="40" spans="1:29" s="31" customFormat="1" ht="13.5" thickTop="1" thickBot="1">
      <c r="A40" s="58" t="s">
        <v>40</v>
      </c>
      <c r="B40" s="226"/>
      <c r="C40" s="212"/>
      <c r="D40" s="212"/>
      <c r="E40" s="212"/>
      <c r="F40" s="212"/>
      <c r="G40" s="212"/>
      <c r="H40" s="213"/>
      <c r="I40" s="240"/>
      <c r="J40" s="241"/>
      <c r="K40" s="241"/>
      <c r="L40" s="241"/>
      <c r="M40" s="241"/>
      <c r="N40" s="241"/>
      <c r="O40" s="241"/>
      <c r="P40" s="242"/>
      <c r="Q40" s="37"/>
      <c r="R40" s="37"/>
      <c r="S40" s="38"/>
      <c r="T40" s="38"/>
      <c r="U40" s="54"/>
      <c r="V40" s="54"/>
      <c r="W40" s="30"/>
      <c r="X40" s="30"/>
      <c r="Z40" s="71"/>
      <c r="AA40" s="71"/>
      <c r="AB40" s="71"/>
      <c r="AC40" s="71"/>
    </row>
    <row r="41" spans="1:29" s="31" customFormat="1" ht="13.5" thickTop="1" thickBot="1">
      <c r="A41" s="58" t="s">
        <v>41</v>
      </c>
      <c r="B41" s="219"/>
      <c r="C41" s="219"/>
      <c r="D41" s="219"/>
      <c r="E41" s="219"/>
      <c r="F41" s="219"/>
      <c r="G41" s="219"/>
      <c r="H41" s="222"/>
      <c r="I41" s="240"/>
      <c r="J41" s="241"/>
      <c r="K41" s="241"/>
      <c r="L41" s="241"/>
      <c r="M41" s="241"/>
      <c r="N41" s="241"/>
      <c r="O41" s="241"/>
      <c r="P41" s="242"/>
      <c r="Q41" s="37"/>
      <c r="R41" s="37"/>
      <c r="S41" s="38"/>
      <c r="T41" s="38"/>
      <c r="U41" s="54"/>
      <c r="V41" s="54"/>
      <c r="W41" s="30"/>
      <c r="X41" s="30"/>
      <c r="Z41" s="71"/>
      <c r="AA41" s="71"/>
      <c r="AB41" s="71"/>
      <c r="AC41" s="71"/>
    </row>
    <row r="42" spans="1:29" s="31" customFormat="1" ht="13.5" thickTop="1" thickBot="1">
      <c r="A42" s="58" t="s">
        <v>42</v>
      </c>
      <c r="B42" s="219"/>
      <c r="C42" s="219"/>
      <c r="D42" s="219"/>
      <c r="E42" s="219"/>
      <c r="F42" s="219"/>
      <c r="G42" s="219"/>
      <c r="H42" s="222"/>
      <c r="I42" s="240"/>
      <c r="J42" s="241"/>
      <c r="K42" s="241"/>
      <c r="L42" s="241"/>
      <c r="M42" s="241"/>
      <c r="N42" s="241"/>
      <c r="O42" s="241"/>
      <c r="P42" s="242"/>
      <c r="Q42" s="37"/>
      <c r="R42" s="37"/>
      <c r="S42" s="38"/>
      <c r="T42" s="38"/>
      <c r="U42" s="54"/>
      <c r="V42" s="54"/>
      <c r="W42" s="30"/>
      <c r="X42" s="30"/>
      <c r="Z42" s="71"/>
      <c r="AA42" s="71"/>
      <c r="AB42" s="71"/>
      <c r="AC42" s="71"/>
    </row>
    <row r="43" spans="1:29" s="31" customFormat="1" ht="13.5" thickTop="1" thickBot="1">
      <c r="A43" s="98" t="s">
        <v>43</v>
      </c>
      <c r="B43" s="225"/>
      <c r="C43" s="220"/>
      <c r="D43" s="220"/>
      <c r="E43" s="220"/>
      <c r="F43" s="220"/>
      <c r="G43" s="220"/>
      <c r="H43" s="221"/>
      <c r="I43" s="336"/>
      <c r="J43" s="337"/>
      <c r="K43" s="337"/>
      <c r="L43" s="337"/>
      <c r="M43" s="337"/>
      <c r="N43" s="337"/>
      <c r="O43" s="337"/>
      <c r="P43" s="338"/>
      <c r="Q43" s="37"/>
      <c r="R43" s="37"/>
      <c r="S43" s="38"/>
      <c r="T43" s="38"/>
      <c r="U43" s="54"/>
      <c r="V43" s="54"/>
      <c r="W43" s="30"/>
      <c r="X43" s="30"/>
      <c r="Z43" s="71"/>
      <c r="AA43" s="71"/>
      <c r="AB43" s="71"/>
      <c r="AC43" s="71"/>
    </row>
    <row r="44" spans="1:29" s="31" customFormat="1" ht="13.5" thickTop="1" thickBot="1">
      <c r="A44" s="314" t="s">
        <v>313</v>
      </c>
      <c r="B44" s="53" t="s">
        <v>67</v>
      </c>
      <c r="C44" s="305" t="s">
        <v>314</v>
      </c>
      <c r="D44" s="306"/>
      <c r="E44" s="307"/>
      <c r="F44" s="274" t="s">
        <v>68</v>
      </c>
      <c r="G44" s="275"/>
      <c r="H44" s="276"/>
      <c r="I44" s="282" t="s">
        <v>315</v>
      </c>
      <c r="J44" s="53" t="s">
        <v>67</v>
      </c>
      <c r="K44" s="305" t="s">
        <v>314</v>
      </c>
      <c r="L44" s="306"/>
      <c r="M44" s="307"/>
      <c r="N44" s="274" t="s">
        <v>68</v>
      </c>
      <c r="O44" s="275"/>
      <c r="P44" s="276"/>
      <c r="Q44" s="37"/>
      <c r="R44" s="37"/>
      <c r="S44" s="38"/>
      <c r="T44" s="38"/>
      <c r="U44" s="54"/>
      <c r="V44" s="54"/>
      <c r="W44" s="30"/>
      <c r="X44" s="30"/>
      <c r="Z44" s="71"/>
      <c r="AA44" s="71"/>
      <c r="AB44" s="71"/>
      <c r="AC44" s="71"/>
    </row>
    <row r="45" spans="1:29" s="31" customFormat="1" ht="13.5" thickTop="1" thickBot="1">
      <c r="A45" s="315" t="s">
        <v>286</v>
      </c>
      <c r="B45" s="34" t="s">
        <v>299</v>
      </c>
      <c r="C45" s="285">
        <f>+SUMIF(F:F,B45,Y:Y)*Q48</f>
        <v>0</v>
      </c>
      <c r="D45" s="286"/>
      <c r="E45" s="288"/>
      <c r="F45" s="285">
        <f>(SUMPRODUCT(M5:M15,V5:V15)+W5*V5)*Q48</f>
        <v>0</v>
      </c>
      <c r="G45" s="286"/>
      <c r="H45" s="287"/>
      <c r="I45" s="283" t="s">
        <v>286</v>
      </c>
      <c r="J45" s="34" t="s">
        <v>339</v>
      </c>
      <c r="K45" s="317"/>
      <c r="L45" s="318"/>
      <c r="M45" s="124">
        <f>IF(K45=0,0,K50/K45*1000)</f>
        <v>0</v>
      </c>
      <c r="N45" s="124"/>
      <c r="O45" s="215"/>
      <c r="P45" s="216"/>
      <c r="Q45" s="37"/>
      <c r="R45" s="37"/>
      <c r="S45" s="38"/>
      <c r="T45" s="38"/>
      <c r="U45" s="54"/>
      <c r="V45" s="54"/>
      <c r="W45" s="30"/>
      <c r="X45" s="30"/>
      <c r="Z45" s="71"/>
      <c r="AA45" s="71"/>
      <c r="AB45" s="71"/>
      <c r="AC45" s="71"/>
    </row>
    <row r="46" spans="1:29" s="31" customFormat="1" ht="13.5" thickTop="1" thickBot="1">
      <c r="A46" s="315">
        <v>270172</v>
      </c>
      <c r="B46" s="34" t="s">
        <v>301</v>
      </c>
      <c r="C46" s="285">
        <f>+SUMIF(F:F,B46,Y:Y)*Q48</f>
        <v>0</v>
      </c>
      <c r="D46" s="286"/>
      <c r="E46" s="288"/>
      <c r="F46" s="285">
        <f>(SUMPRODUCT(M16:M26,V16:V26)+W16*V16)*Q48</f>
        <v>0</v>
      </c>
      <c r="G46" s="286"/>
      <c r="H46" s="287"/>
      <c r="I46" s="283">
        <v>270172</v>
      </c>
      <c r="J46" s="34" t="s">
        <v>340</v>
      </c>
      <c r="K46" s="317"/>
      <c r="L46" s="318"/>
      <c r="M46" s="124">
        <f>IF(K46=0,0,K51/K46*1000)</f>
        <v>0</v>
      </c>
      <c r="N46" s="124"/>
      <c r="O46" s="215"/>
      <c r="P46" s="216"/>
      <c r="Q46" s="37"/>
      <c r="R46" s="37"/>
      <c r="S46" s="38"/>
      <c r="T46" s="38"/>
      <c r="U46" s="54"/>
      <c r="V46" s="54"/>
      <c r="W46" s="30"/>
      <c r="X46" s="30"/>
      <c r="Z46" s="71"/>
      <c r="AA46" s="71"/>
      <c r="AB46" s="71"/>
      <c r="AC46" s="71"/>
    </row>
    <row r="47" spans="1:29" s="31" customFormat="1" ht="13.5" thickTop="1" thickBot="1">
      <c r="A47" s="315">
        <v>270127</v>
      </c>
      <c r="B47" s="34" t="s">
        <v>302</v>
      </c>
      <c r="C47" s="285">
        <f>+SUMIF(F:F,B47,Y:Y)*Q48</f>
        <v>0</v>
      </c>
      <c r="D47" s="286"/>
      <c r="E47" s="288"/>
      <c r="F47" s="285">
        <f>(SUMPRODUCT(M27:M37,V27:V37)+W27*V27)*Q48</f>
        <v>0</v>
      </c>
      <c r="G47" s="286"/>
      <c r="H47" s="287"/>
      <c r="I47" s="283">
        <v>270127</v>
      </c>
      <c r="J47" s="34" t="s">
        <v>341</v>
      </c>
      <c r="K47" s="317"/>
      <c r="L47" s="318"/>
      <c r="M47" s="124">
        <f>IF(K47=0,0,K52/K47*1000)</f>
        <v>0</v>
      </c>
      <c r="N47" s="124"/>
      <c r="O47" s="215"/>
      <c r="P47" s="216"/>
      <c r="Q47" s="37"/>
      <c r="R47" s="37"/>
      <c r="S47" s="38"/>
      <c r="T47" s="38"/>
      <c r="U47" s="54"/>
      <c r="V47" s="54"/>
      <c r="W47" s="30"/>
      <c r="X47" s="30"/>
      <c r="Z47" s="71"/>
      <c r="AA47" s="71"/>
      <c r="AB47" s="71"/>
      <c r="AC47" s="71"/>
    </row>
    <row r="48" spans="1:29" s="31" customFormat="1" ht="13.5" thickTop="1" thickBot="1">
      <c r="A48" s="316">
        <v>270127</v>
      </c>
      <c r="B48" s="107" t="s">
        <v>319</v>
      </c>
      <c r="C48" s="289">
        <f>SUM(C45:E47)</f>
        <v>0</v>
      </c>
      <c r="D48" s="290"/>
      <c r="E48" s="291"/>
      <c r="F48" s="289">
        <f>SUM(F45:H47)</f>
        <v>0</v>
      </c>
      <c r="G48" s="290"/>
      <c r="H48" s="300"/>
      <c r="I48" s="284">
        <v>270127</v>
      </c>
      <c r="J48" s="107" t="s">
        <v>319</v>
      </c>
      <c r="K48" s="301">
        <f>SUM(K45:L47)</f>
        <v>0</v>
      </c>
      <c r="L48" s="302"/>
      <c r="M48" s="120">
        <f>IF(K48=0,0,K53/K48*1000)</f>
        <v>0</v>
      </c>
      <c r="N48" s="121"/>
      <c r="O48" s="210">
        <f>SUM(O45:P47)</f>
        <v>0</v>
      </c>
      <c r="P48" s="211"/>
      <c r="Q48" s="294"/>
      <c r="R48" s="295"/>
      <c r="S48" s="38"/>
      <c r="T48" s="38"/>
      <c r="U48" s="54"/>
      <c r="V48" s="54"/>
      <c r="W48" s="30"/>
      <c r="X48" s="30"/>
      <c r="Z48" s="71"/>
      <c r="AA48" s="71"/>
      <c r="AB48" s="71"/>
      <c r="AC48" s="71"/>
    </row>
    <row r="49" spans="1:29" s="31" customFormat="1" ht="13.5" thickTop="1" thickBot="1">
      <c r="A49" s="315" t="s">
        <v>320</v>
      </c>
      <c r="B49" s="99" t="s">
        <v>291</v>
      </c>
      <c r="C49" s="296" t="s">
        <v>321</v>
      </c>
      <c r="D49" s="325"/>
      <c r="E49" s="100" t="s">
        <v>322</v>
      </c>
      <c r="F49" s="101" t="s">
        <v>323</v>
      </c>
      <c r="G49" s="101"/>
      <c r="H49" s="102" t="s">
        <v>319</v>
      </c>
      <c r="I49" s="315" t="s">
        <v>324</v>
      </c>
      <c r="J49" s="99" t="s">
        <v>291</v>
      </c>
      <c r="K49" s="296" t="s">
        <v>319</v>
      </c>
      <c r="L49" s="297"/>
      <c r="M49" s="103" t="s">
        <v>322</v>
      </c>
      <c r="N49" s="104" t="s">
        <v>323</v>
      </c>
      <c r="O49" s="105"/>
      <c r="P49" s="106" t="s">
        <v>321</v>
      </c>
      <c r="Q49" s="292" t="s">
        <v>325</v>
      </c>
      <c r="R49" s="293"/>
      <c r="S49" s="38"/>
      <c r="T49" s="38"/>
      <c r="U49" s="54"/>
      <c r="V49" s="54"/>
      <c r="W49" s="30"/>
      <c r="X49" s="30"/>
      <c r="Z49" s="71"/>
      <c r="AA49" s="71"/>
      <c r="AB49" s="71"/>
      <c r="AC49" s="71"/>
    </row>
    <row r="50" spans="1:29" s="31" customFormat="1" ht="13.5" thickTop="1" thickBot="1">
      <c r="A50" s="315"/>
      <c r="B50" s="34" t="s">
        <v>299</v>
      </c>
      <c r="C50" s="321">
        <f>SUMIF($N$5:$N$37,B50,$AC$5:$AC$37)/1000</f>
        <v>0.88800000000000001</v>
      </c>
      <c r="D50" s="322"/>
      <c r="E50" s="191">
        <f>SUMIF($F$5:$F$37,B50,$AA$5:$AA$37)/1000</f>
        <v>0</v>
      </c>
      <c r="F50" s="192">
        <f>SUMIF($F$5:$F$37,B50,$AB$5:$AB$37)/1000</f>
        <v>14.1875</v>
      </c>
      <c r="G50" s="192"/>
      <c r="H50" s="207">
        <f>+E50+F50</f>
        <v>14.1875</v>
      </c>
      <c r="I50" s="315"/>
      <c r="J50" s="34" t="s">
        <v>299</v>
      </c>
      <c r="K50" s="298">
        <f>SUM(M50:N50)</f>
        <v>0</v>
      </c>
      <c r="L50" s="299"/>
      <c r="M50" s="111"/>
      <c r="N50" s="112"/>
      <c r="O50" s="59"/>
      <c r="P50" s="116"/>
      <c r="Q50" s="145">
        <f>+Q51+Q52</f>
        <v>41.283339999999995</v>
      </c>
      <c r="R50" s="144">
        <f>+FLOOR(SUM(SUMPRODUCT(E5:E37,G5:G37,R5:R37))/100000000000,1)/10</f>
        <v>363</v>
      </c>
      <c r="S50" s="38"/>
      <c r="T50" s="38"/>
      <c r="U50" s="54"/>
      <c r="V50" s="54"/>
      <c r="W50" s="30"/>
      <c r="X50" s="30"/>
      <c r="Z50" s="71"/>
      <c r="AA50" s="71"/>
      <c r="AB50" s="71"/>
      <c r="AC50" s="71"/>
    </row>
    <row r="51" spans="1:29" s="31" customFormat="1" ht="15.75" thickTop="1" thickBot="1">
      <c r="A51" s="315"/>
      <c r="B51" s="34" t="s">
        <v>301</v>
      </c>
      <c r="C51" s="321">
        <f>SUMIF($N$5:$N$37,B51,$AC$5:$AC$37)/1000</f>
        <v>0.41399999999999998</v>
      </c>
      <c r="D51" s="322"/>
      <c r="E51" s="191">
        <f>SUMIF($F$5:$F$37,B51,$AA$5:$AA$37)/1000</f>
        <v>0</v>
      </c>
      <c r="F51" s="192">
        <f>SUMIF($F$5:$F$37,B51,$AB$5:$AB$37)/1000</f>
        <v>14.574999999999999</v>
      </c>
      <c r="G51" s="192"/>
      <c r="H51" s="207">
        <f>+E51+F51</f>
        <v>14.574999999999999</v>
      </c>
      <c r="I51" s="315"/>
      <c r="J51" s="206" t="s">
        <v>301</v>
      </c>
      <c r="K51" s="298">
        <f>SUM(M51:N51)</f>
        <v>0</v>
      </c>
      <c r="L51" s="299"/>
      <c r="M51" s="111"/>
      <c r="N51" s="112"/>
      <c r="O51" s="59"/>
      <c r="P51" s="116"/>
      <c r="Q51" s="145">
        <f>+H53</f>
        <v>41.283339999999995</v>
      </c>
      <c r="R51" s="144">
        <f>+SUMPRODUCT(E5:E37,G5:G37,R5:R37)-R50*1000000000000-R52*1000000</f>
        <v>502.5625</v>
      </c>
      <c r="S51" s="38"/>
      <c r="T51" s="38"/>
      <c r="U51" s="17"/>
      <c r="V51" s="17"/>
      <c r="W51" s="30"/>
      <c r="X51" s="30"/>
      <c r="Z51" s="71"/>
      <c r="AA51" s="71"/>
      <c r="AB51" s="71"/>
      <c r="AC51" s="71"/>
    </row>
    <row r="52" spans="1:29" s="31" customFormat="1" ht="15.75" thickTop="1" thickBot="1">
      <c r="A52" s="315"/>
      <c r="B52" s="34" t="s">
        <v>302</v>
      </c>
      <c r="C52" s="321">
        <f>SUMIF($N$5:$N$37,B52,$AC$5:$AC$37)/1000</f>
        <v>0.7147</v>
      </c>
      <c r="D52" s="322"/>
      <c r="E52" s="191">
        <f>SUMIF($F$5:$F$37,B52,$AA$5:$AA$37)/1000</f>
        <v>8.5558399999999999</v>
      </c>
      <c r="F52" s="192">
        <f>SUMIF($F$5:$F$37,B52,$AB$5:$AB$37)/1000</f>
        <v>3.9649999999999999</v>
      </c>
      <c r="G52" s="192"/>
      <c r="H52" s="207">
        <f>+E52+F52</f>
        <v>12.52084</v>
      </c>
      <c r="I52" s="315"/>
      <c r="J52" s="60" t="s">
        <v>302</v>
      </c>
      <c r="K52" s="298">
        <f>SUM(M52:N52)</f>
        <v>0</v>
      </c>
      <c r="L52" s="299"/>
      <c r="M52" s="111"/>
      <c r="N52" s="113"/>
      <c r="O52" s="61"/>
      <c r="P52" s="116"/>
      <c r="Q52" s="145">
        <f>SUMPRODUCT(E5:E37,T5:T37,Q5:Q37)/1000</f>
        <v>0</v>
      </c>
      <c r="R52" s="144">
        <f>+FLOOR(MOD(SUMPRODUCT(E5:E37,G5:G37,R5:R37),100000000000)/100000,1)/10</f>
        <v>187</v>
      </c>
      <c r="S52" s="38"/>
      <c r="T52" s="38"/>
      <c r="U52" s="17"/>
      <c r="V52" s="17"/>
      <c r="W52" s="30"/>
      <c r="X52" s="30"/>
      <c r="Z52" s="71"/>
      <c r="AA52" s="71"/>
      <c r="AB52" s="71"/>
      <c r="AC52" s="71"/>
    </row>
    <row r="53" spans="1:29" s="31" customFormat="1" ht="15.75" thickTop="1" thickBot="1">
      <c r="A53" s="320"/>
      <c r="B53" s="62" t="s">
        <v>319</v>
      </c>
      <c r="C53" s="323">
        <f>SUM(C50:C52)</f>
        <v>2.0167000000000002</v>
      </c>
      <c r="D53" s="324"/>
      <c r="E53" s="149">
        <f>SUM(E50:E52)</f>
        <v>8.5558399999999999</v>
      </c>
      <c r="F53" s="147">
        <f>SUM(F50:F52)</f>
        <v>32.727499999999999</v>
      </c>
      <c r="G53" s="147"/>
      <c r="H53" s="148">
        <f>SUM(H50:H52)</f>
        <v>41.283339999999995</v>
      </c>
      <c r="I53" s="320"/>
      <c r="J53" s="63" t="s">
        <v>319</v>
      </c>
      <c r="K53" s="326">
        <f>+M53+N53</f>
        <v>0</v>
      </c>
      <c r="L53" s="327"/>
      <c r="M53" s="114">
        <f>SUM(M50:M52)</f>
        <v>0</v>
      </c>
      <c r="N53" s="115">
        <f>SUM(N50:N52)</f>
        <v>0</v>
      </c>
      <c r="O53" s="64">
        <f>SUM(O50:O52)</f>
        <v>0</v>
      </c>
      <c r="P53" s="117">
        <f>SUM(P50:P52)</f>
        <v>0</v>
      </c>
      <c r="Q53" s="145">
        <f>SUMPRODUCT(Q5:Q28,E5:E28)/1000</f>
        <v>41.283339999999995</v>
      </c>
      <c r="R53" s="144">
        <f>SUM(R50:R52)</f>
        <v>1052.5625</v>
      </c>
      <c r="S53" s="38">
        <v>0</v>
      </c>
      <c r="T53" s="38"/>
      <c r="U53" s="17"/>
      <c r="V53" s="17"/>
      <c r="W53" s="30"/>
      <c r="X53" s="30"/>
      <c r="Z53" s="71"/>
      <c r="AA53" s="71"/>
      <c r="AB53" s="71"/>
      <c r="AC53" s="71"/>
    </row>
    <row r="54" spans="1:29" s="66" customFormat="1" ht="25.5">
      <c r="A54" s="319" t="s">
        <v>326</v>
      </c>
      <c r="B54" s="319"/>
      <c r="C54" s="319"/>
      <c r="D54" s="319"/>
      <c r="E54" s="319"/>
      <c r="F54" s="319"/>
      <c r="G54" s="319"/>
      <c r="H54" s="319"/>
      <c r="I54" s="319" t="s">
        <v>327</v>
      </c>
      <c r="J54" s="319"/>
      <c r="K54" s="319"/>
      <c r="L54" s="319"/>
      <c r="M54" s="319"/>
      <c r="N54" s="319"/>
      <c r="O54" s="319"/>
      <c r="P54" s="319"/>
      <c r="Q54" s="14"/>
      <c r="R54" s="15">
        <v>0</v>
      </c>
      <c r="S54" s="16"/>
      <c r="T54" s="16"/>
      <c r="U54" s="17"/>
      <c r="V54" s="17"/>
      <c r="W54" s="65"/>
      <c r="X54" s="65"/>
      <c r="Z54" s="69"/>
      <c r="AA54" s="69"/>
      <c r="AB54" s="69"/>
      <c r="AC54" s="69"/>
    </row>
    <row r="55" spans="1:29" s="66" customFormat="1">
      <c r="A55" s="67"/>
      <c r="B55" s="67"/>
      <c r="C55" s="67"/>
      <c r="D55" s="67"/>
      <c r="E55" s="67"/>
      <c r="F55" s="77"/>
      <c r="G55" s="68"/>
      <c r="H55" s="67"/>
      <c r="I55" s="67"/>
      <c r="J55" s="69"/>
      <c r="K55" s="69"/>
      <c r="L55" s="69"/>
      <c r="M55" s="69"/>
      <c r="N55" s="67"/>
      <c r="O55" s="70"/>
      <c r="P55" s="69"/>
      <c r="Q55" s="14">
        <v>0</v>
      </c>
      <c r="R55" s="15">
        <v>0</v>
      </c>
      <c r="S55" s="16"/>
      <c r="T55" s="16"/>
      <c r="U55" s="17"/>
      <c r="V55" s="17"/>
      <c r="W55" s="65"/>
      <c r="X55" s="65"/>
      <c r="Z55" s="69"/>
      <c r="AA55" s="69"/>
      <c r="AB55" s="69"/>
      <c r="AC55" s="69"/>
    </row>
    <row r="56" spans="1:29" s="66" customFormat="1">
      <c r="A56" s="67"/>
      <c r="B56" s="67"/>
      <c r="C56" s="67"/>
      <c r="D56" s="67"/>
      <c r="E56" s="67"/>
      <c r="F56" s="69"/>
      <c r="G56" s="68"/>
      <c r="H56" s="67"/>
      <c r="I56" s="67"/>
      <c r="J56" s="69"/>
      <c r="K56" s="69"/>
      <c r="L56" s="69"/>
      <c r="M56" s="71"/>
      <c r="N56" s="72"/>
      <c r="O56" s="70"/>
      <c r="P56" s="69"/>
      <c r="Q56" s="14">
        <v>0</v>
      </c>
      <c r="R56" s="15"/>
      <c r="S56" s="16"/>
      <c r="T56" s="16"/>
      <c r="U56" s="17"/>
      <c r="V56" s="17"/>
      <c r="W56" s="65"/>
      <c r="X56" s="65"/>
      <c r="Z56" s="69"/>
      <c r="AA56" s="69"/>
      <c r="AB56" s="69"/>
      <c r="AC56" s="69"/>
    </row>
    <row r="57" spans="1:29" s="66" customFormat="1">
      <c r="A57" s="67"/>
      <c r="B57" s="67"/>
      <c r="C57" s="67"/>
      <c r="D57" s="67"/>
      <c r="E57" s="67"/>
      <c r="F57" s="67"/>
      <c r="G57" s="68"/>
      <c r="H57" s="67"/>
      <c r="I57" s="69"/>
      <c r="J57" s="73"/>
      <c r="K57" s="73"/>
      <c r="L57" s="73"/>
      <c r="M57" s="69"/>
      <c r="N57" s="67"/>
      <c r="O57" s="70"/>
      <c r="P57" s="69"/>
      <c r="Q57" s="14"/>
      <c r="R57" s="15"/>
      <c r="S57" s="16"/>
      <c r="T57" s="16"/>
      <c r="U57" s="17"/>
      <c r="V57" s="17"/>
      <c r="W57" s="65"/>
      <c r="X57" s="65"/>
      <c r="Z57" s="69"/>
      <c r="AA57" s="69"/>
      <c r="AB57" s="69"/>
      <c r="AC57" s="69"/>
    </row>
    <row r="58" spans="1:29" s="66" customFormat="1">
      <c r="A58" s="67"/>
      <c r="B58" s="67"/>
      <c r="C58" s="67"/>
      <c r="D58" s="67"/>
      <c r="E58" s="67"/>
      <c r="F58" s="67"/>
      <c r="G58" s="68"/>
      <c r="H58" s="67"/>
      <c r="I58" s="67"/>
      <c r="J58" s="69"/>
      <c r="K58" s="69"/>
      <c r="L58" s="69"/>
      <c r="M58" s="69"/>
      <c r="N58" s="67"/>
      <c r="O58" s="70"/>
      <c r="P58" s="69"/>
      <c r="Q58" s="14"/>
      <c r="R58" s="15"/>
      <c r="S58" s="16"/>
      <c r="T58" s="16"/>
      <c r="U58" s="17"/>
      <c r="V58" s="17"/>
      <c r="W58" s="65"/>
      <c r="X58" s="65"/>
      <c r="Z58" s="69"/>
      <c r="AA58" s="69"/>
      <c r="AB58" s="69"/>
      <c r="AC58" s="69"/>
    </row>
    <row r="59" spans="1:29" s="66" customFormat="1">
      <c r="A59" s="67"/>
      <c r="B59" s="67"/>
      <c r="C59" s="67"/>
      <c r="D59" s="67"/>
      <c r="E59" s="67"/>
      <c r="F59" s="67"/>
      <c r="G59" s="68"/>
      <c r="H59" s="67"/>
      <c r="I59" s="67"/>
      <c r="J59" s="69"/>
      <c r="K59" s="69"/>
      <c r="L59" s="69"/>
      <c r="M59" s="69"/>
      <c r="N59" s="67"/>
      <c r="O59" s="70"/>
      <c r="P59" s="69"/>
      <c r="Q59" s="14"/>
      <c r="R59" s="15"/>
      <c r="S59" s="16"/>
      <c r="T59" s="16"/>
      <c r="U59" s="17"/>
      <c r="V59" s="17"/>
      <c r="W59" s="65"/>
      <c r="X59" s="65"/>
      <c r="Z59" s="69"/>
      <c r="AA59" s="69"/>
      <c r="AB59" s="69"/>
      <c r="AC59" s="69"/>
    </row>
    <row r="60" spans="1:29" s="66" customFormat="1">
      <c r="A60" s="67"/>
      <c r="B60" s="67"/>
      <c r="C60" s="67"/>
      <c r="D60" s="67"/>
      <c r="E60" s="67"/>
      <c r="F60" s="67"/>
      <c r="G60" s="68"/>
      <c r="H60" s="67"/>
      <c r="I60" s="67"/>
      <c r="J60" s="69"/>
      <c r="K60" s="69"/>
      <c r="L60" s="69"/>
      <c r="M60" s="69"/>
      <c r="N60" s="67"/>
      <c r="O60" s="70"/>
      <c r="P60" s="69"/>
      <c r="Q60" s="14"/>
      <c r="R60" s="15"/>
      <c r="S60" s="16"/>
      <c r="T60" s="16"/>
      <c r="U60" s="17"/>
      <c r="V60" s="17"/>
      <c r="W60" s="65"/>
      <c r="X60" s="65"/>
      <c r="Z60" s="69"/>
      <c r="AA60" s="69"/>
      <c r="AB60" s="69"/>
      <c r="AC60" s="69"/>
    </row>
    <row r="61" spans="1:29" s="66" customFormat="1">
      <c r="A61" s="67"/>
      <c r="B61" s="67"/>
      <c r="C61" s="67"/>
      <c r="D61" s="67"/>
      <c r="E61" s="67"/>
      <c r="F61" s="67"/>
      <c r="G61" s="68"/>
      <c r="H61" s="67"/>
      <c r="I61" s="67"/>
      <c r="J61" s="69"/>
      <c r="K61" s="69"/>
      <c r="L61" s="69"/>
      <c r="M61" s="69"/>
      <c r="N61" s="67"/>
      <c r="O61" s="70"/>
      <c r="P61" s="69"/>
      <c r="Q61" s="14"/>
      <c r="R61" s="15"/>
      <c r="S61" s="16"/>
      <c r="T61" s="16"/>
      <c r="U61" s="17"/>
      <c r="V61" s="17"/>
      <c r="W61" s="65"/>
      <c r="X61" s="65"/>
      <c r="Z61" s="69"/>
      <c r="AA61" s="69"/>
      <c r="AB61" s="69"/>
      <c r="AC61" s="69"/>
    </row>
    <row r="62" spans="1:29" s="66" customFormat="1">
      <c r="A62" s="67"/>
      <c r="B62" s="67"/>
      <c r="C62" s="67"/>
      <c r="D62" s="67"/>
      <c r="E62" s="67"/>
      <c r="F62" s="67"/>
      <c r="G62" s="68"/>
      <c r="H62" s="67"/>
      <c r="I62" s="67"/>
      <c r="J62" s="69"/>
      <c r="K62" s="69"/>
      <c r="L62" s="69"/>
      <c r="M62" s="69"/>
      <c r="N62" s="67"/>
      <c r="O62" s="70"/>
      <c r="P62" s="69"/>
      <c r="Q62" s="14"/>
      <c r="R62" s="15"/>
      <c r="S62" s="16"/>
      <c r="T62" s="16"/>
      <c r="U62" s="17"/>
      <c r="V62" s="17"/>
      <c r="W62" s="65"/>
      <c r="X62" s="65"/>
      <c r="Z62" s="69"/>
      <c r="AA62" s="69"/>
      <c r="AB62" s="69"/>
      <c r="AC62" s="69"/>
    </row>
    <row r="63" spans="1:29" s="66" customFormat="1">
      <c r="A63" s="67"/>
      <c r="B63" s="67"/>
      <c r="C63" s="67"/>
      <c r="D63" s="67"/>
      <c r="E63" s="67"/>
      <c r="F63" s="67"/>
      <c r="G63" s="68"/>
      <c r="H63" s="67"/>
      <c r="I63" s="67"/>
      <c r="J63" s="69"/>
      <c r="K63" s="69"/>
      <c r="L63" s="69"/>
      <c r="M63" s="69"/>
      <c r="N63" s="67"/>
      <c r="O63" s="70"/>
      <c r="P63" s="69"/>
      <c r="Q63" s="14"/>
      <c r="R63" s="15"/>
      <c r="S63" s="16"/>
      <c r="T63" s="16"/>
      <c r="U63" s="17"/>
      <c r="V63" s="17"/>
      <c r="W63" s="65"/>
      <c r="X63" s="65"/>
      <c r="Z63" s="69"/>
      <c r="AA63" s="69"/>
      <c r="AB63" s="69"/>
      <c r="AC63" s="69"/>
    </row>
    <row r="64" spans="1:29" s="66" customFormat="1">
      <c r="A64" s="67"/>
      <c r="B64" s="67"/>
      <c r="C64" s="67"/>
      <c r="D64" s="67"/>
      <c r="E64" s="67"/>
      <c r="F64" s="67"/>
      <c r="G64" s="68"/>
      <c r="H64" s="67"/>
      <c r="I64" s="67"/>
      <c r="J64" s="69"/>
      <c r="K64" s="69"/>
      <c r="L64" s="69"/>
      <c r="M64" s="69"/>
      <c r="N64" s="67"/>
      <c r="O64" s="70"/>
      <c r="P64" s="69"/>
      <c r="Q64" s="14"/>
      <c r="R64" s="15"/>
      <c r="S64" s="16"/>
      <c r="T64" s="16"/>
      <c r="U64" s="17"/>
      <c r="V64" s="17"/>
      <c r="W64" s="65"/>
      <c r="X64" s="65"/>
      <c r="Z64" s="69"/>
      <c r="AA64" s="69"/>
      <c r="AB64" s="69"/>
      <c r="AC64" s="69"/>
    </row>
    <row r="65" spans="1:29" s="66" customFormat="1">
      <c r="A65" s="67"/>
      <c r="B65" s="67"/>
      <c r="C65" s="67"/>
      <c r="D65" s="67"/>
      <c r="E65" s="67"/>
      <c r="F65" s="67"/>
      <c r="G65" s="68"/>
      <c r="H65" s="67"/>
      <c r="I65" s="67"/>
      <c r="J65" s="69"/>
      <c r="K65" s="69"/>
      <c r="L65" s="69"/>
      <c r="M65" s="69"/>
      <c r="N65" s="67"/>
      <c r="O65" s="70"/>
      <c r="P65" s="69"/>
      <c r="Q65" s="14"/>
      <c r="R65" s="15"/>
      <c r="S65" s="16"/>
      <c r="T65" s="16"/>
      <c r="U65" s="17"/>
      <c r="V65" s="17"/>
      <c r="W65" s="65"/>
      <c r="X65" s="65"/>
      <c r="Z65" s="69"/>
      <c r="AA65" s="69"/>
      <c r="AB65" s="69"/>
      <c r="AC65" s="69"/>
    </row>
    <row r="66" spans="1:29" s="66" customFormat="1">
      <c r="A66" s="67"/>
      <c r="B66" s="67"/>
      <c r="C66" s="67"/>
      <c r="D66" s="67"/>
      <c r="E66" s="67"/>
      <c r="F66" s="67"/>
      <c r="G66" s="68"/>
      <c r="H66" s="67"/>
      <c r="I66" s="67"/>
      <c r="J66" s="69"/>
      <c r="K66" s="69"/>
      <c r="L66" s="69"/>
      <c r="M66" s="69"/>
      <c r="N66" s="67"/>
      <c r="O66" s="70"/>
      <c r="P66" s="69"/>
      <c r="Q66" s="14"/>
      <c r="R66" s="15"/>
      <c r="S66" s="16"/>
      <c r="T66" s="16"/>
      <c r="U66" s="17"/>
      <c r="V66" s="17"/>
      <c r="W66" s="65"/>
      <c r="X66" s="65"/>
      <c r="Z66" s="69"/>
      <c r="AA66" s="69"/>
      <c r="AB66" s="69"/>
      <c r="AC66" s="69"/>
    </row>
    <row r="67" spans="1:29" s="66" customFormat="1">
      <c r="A67" s="67"/>
      <c r="B67" s="67"/>
      <c r="C67" s="67"/>
      <c r="D67" s="67"/>
      <c r="E67" s="67"/>
      <c r="F67" s="67"/>
      <c r="G67" s="68"/>
      <c r="H67" s="67"/>
      <c r="I67" s="67"/>
      <c r="J67" s="69"/>
      <c r="K67" s="69"/>
      <c r="L67" s="69"/>
      <c r="M67" s="69"/>
      <c r="N67" s="67"/>
      <c r="O67" s="70"/>
      <c r="P67" s="69"/>
      <c r="Q67" s="14"/>
      <c r="R67" s="15"/>
      <c r="S67" s="16"/>
      <c r="T67" s="16"/>
      <c r="U67" s="17"/>
      <c r="V67" s="17"/>
      <c r="W67" s="65"/>
      <c r="X67" s="65"/>
      <c r="Z67" s="69"/>
      <c r="AA67" s="69"/>
      <c r="AB67" s="69"/>
      <c r="AC67" s="69"/>
    </row>
    <row r="68" spans="1:29" s="66" customFormat="1">
      <c r="A68" s="67"/>
      <c r="B68" s="67"/>
      <c r="C68" s="67"/>
      <c r="D68" s="67"/>
      <c r="E68" s="67"/>
      <c r="F68" s="67"/>
      <c r="G68" s="68"/>
      <c r="H68" s="67"/>
      <c r="I68" s="67"/>
      <c r="J68" s="69"/>
      <c r="K68" s="69"/>
      <c r="L68" s="69"/>
      <c r="M68" s="69"/>
      <c r="N68" s="67"/>
      <c r="O68" s="70"/>
      <c r="P68" s="69"/>
      <c r="Q68" s="14"/>
      <c r="R68" s="15"/>
      <c r="S68" s="16"/>
      <c r="T68" s="16"/>
      <c r="U68" s="17"/>
      <c r="V68" s="17"/>
      <c r="W68" s="65"/>
      <c r="X68" s="65"/>
      <c r="Z68" s="69"/>
      <c r="AA68" s="69"/>
      <c r="AB68" s="69"/>
      <c r="AC68" s="69"/>
    </row>
    <row r="69" spans="1:29" s="66" customFormat="1">
      <c r="A69" s="67"/>
      <c r="B69" s="67"/>
      <c r="C69" s="67"/>
      <c r="D69" s="67"/>
      <c r="E69" s="67"/>
      <c r="F69" s="67"/>
      <c r="G69" s="68"/>
      <c r="H69" s="67"/>
      <c r="I69" s="67"/>
      <c r="J69" s="69"/>
      <c r="K69" s="69"/>
      <c r="L69" s="69"/>
      <c r="M69" s="69"/>
      <c r="N69" s="67"/>
      <c r="O69" s="70"/>
      <c r="P69" s="69"/>
      <c r="Q69" s="14"/>
      <c r="R69" s="15"/>
      <c r="S69" s="16"/>
      <c r="T69" s="16"/>
      <c r="U69" s="17"/>
      <c r="V69" s="17"/>
      <c r="W69" s="65"/>
      <c r="X69" s="65"/>
      <c r="Z69" s="69"/>
      <c r="AA69" s="69"/>
      <c r="AB69" s="69"/>
      <c r="AC69" s="69"/>
    </row>
    <row r="70" spans="1:29" s="66" customFormat="1">
      <c r="A70" s="67"/>
      <c r="B70" s="67"/>
      <c r="C70" s="67"/>
      <c r="D70" s="67"/>
      <c r="E70" s="67"/>
      <c r="F70" s="67"/>
      <c r="G70" s="68"/>
      <c r="H70" s="67"/>
      <c r="I70" s="67"/>
      <c r="J70" s="69"/>
      <c r="K70" s="69"/>
      <c r="L70" s="69"/>
      <c r="M70" s="69"/>
      <c r="N70" s="67"/>
      <c r="O70" s="70"/>
      <c r="P70" s="69"/>
      <c r="Q70" s="14"/>
      <c r="R70" s="15"/>
      <c r="S70" s="16"/>
      <c r="T70" s="16"/>
      <c r="U70" s="17"/>
      <c r="V70" s="17"/>
      <c r="W70" s="65"/>
      <c r="X70" s="65"/>
      <c r="Z70" s="69"/>
      <c r="AA70" s="69"/>
      <c r="AB70" s="69"/>
      <c r="AC70" s="69"/>
    </row>
    <row r="71" spans="1:29" s="66" customFormat="1">
      <c r="A71" s="67"/>
      <c r="B71" s="67"/>
      <c r="C71" s="67"/>
      <c r="D71" s="67"/>
      <c r="E71" s="67"/>
      <c r="F71" s="67"/>
      <c r="G71" s="68"/>
      <c r="H71" s="67"/>
      <c r="I71" s="67"/>
      <c r="J71" s="69"/>
      <c r="K71" s="69"/>
      <c r="L71" s="69"/>
      <c r="M71" s="69"/>
      <c r="N71" s="67"/>
      <c r="O71" s="70"/>
      <c r="P71" s="69"/>
      <c r="Q71" s="14"/>
      <c r="R71" s="15"/>
      <c r="S71" s="16"/>
      <c r="T71" s="16"/>
      <c r="U71" s="17"/>
      <c r="V71" s="17"/>
      <c r="W71" s="65"/>
      <c r="X71" s="65"/>
      <c r="Z71" s="69"/>
      <c r="AA71" s="69"/>
      <c r="AB71" s="69"/>
      <c r="AC71" s="69"/>
    </row>
    <row r="72" spans="1:29" s="66" customFormat="1">
      <c r="A72" s="67"/>
      <c r="B72" s="67"/>
      <c r="C72" s="67"/>
      <c r="D72" s="67"/>
      <c r="E72" s="67"/>
      <c r="F72" s="67"/>
      <c r="G72" s="68"/>
      <c r="H72" s="67"/>
      <c r="I72" s="67"/>
      <c r="J72" s="69"/>
      <c r="K72" s="69"/>
      <c r="L72" s="69"/>
      <c r="M72" s="69"/>
      <c r="N72" s="67"/>
      <c r="O72" s="70"/>
      <c r="P72" s="69"/>
      <c r="Q72" s="14"/>
      <c r="R72" s="15"/>
      <c r="S72" s="16"/>
      <c r="T72" s="16"/>
      <c r="U72" s="17"/>
      <c r="V72" s="17"/>
      <c r="W72" s="65"/>
      <c r="X72" s="65"/>
      <c r="Z72" s="69"/>
      <c r="AA72" s="69"/>
      <c r="AB72" s="69"/>
      <c r="AC72" s="69"/>
    </row>
    <row r="73" spans="1:29" s="66" customFormat="1">
      <c r="A73" s="67"/>
      <c r="B73" s="67"/>
      <c r="C73" s="67"/>
      <c r="D73" s="67"/>
      <c r="E73" s="67"/>
      <c r="F73" s="67"/>
      <c r="G73" s="68"/>
      <c r="H73" s="67"/>
      <c r="I73" s="67"/>
      <c r="J73" s="69"/>
      <c r="K73" s="69"/>
      <c r="L73" s="69"/>
      <c r="M73" s="69"/>
      <c r="N73" s="67"/>
      <c r="O73" s="70"/>
      <c r="P73" s="69"/>
      <c r="Q73" s="14"/>
      <c r="R73" s="15"/>
      <c r="S73" s="16"/>
      <c r="T73" s="16"/>
      <c r="U73" s="17"/>
      <c r="V73" s="17"/>
      <c r="W73" s="65"/>
      <c r="X73" s="65"/>
      <c r="Z73" s="69"/>
      <c r="AA73" s="69"/>
      <c r="AB73" s="69"/>
      <c r="AC73" s="69"/>
    </row>
    <row r="74" spans="1:29" s="66" customFormat="1">
      <c r="A74" s="67"/>
      <c r="B74" s="67"/>
      <c r="C74" s="67"/>
      <c r="D74" s="67"/>
      <c r="E74" s="67"/>
      <c r="F74" s="67"/>
      <c r="G74" s="68"/>
      <c r="H74" s="67"/>
      <c r="I74" s="67"/>
      <c r="J74" s="69"/>
      <c r="K74" s="69"/>
      <c r="L74" s="69"/>
      <c r="M74" s="69"/>
      <c r="N74" s="67"/>
      <c r="O74" s="70"/>
      <c r="P74" s="69"/>
      <c r="Q74" s="14"/>
      <c r="R74" s="15"/>
      <c r="S74" s="16"/>
      <c r="T74" s="16"/>
      <c r="U74" s="17"/>
      <c r="V74" s="17"/>
      <c r="W74" s="65"/>
      <c r="X74" s="65"/>
      <c r="Z74" s="69"/>
      <c r="AA74" s="69"/>
      <c r="AB74" s="69"/>
      <c r="AC74" s="69"/>
    </row>
    <row r="75" spans="1:29" s="66" customFormat="1">
      <c r="A75" s="67"/>
      <c r="B75" s="67"/>
      <c r="C75" s="67"/>
      <c r="D75" s="67"/>
      <c r="E75" s="67"/>
      <c r="F75" s="67"/>
      <c r="G75" s="68"/>
      <c r="H75" s="67"/>
      <c r="I75" s="67"/>
      <c r="J75" s="69"/>
      <c r="K75" s="69"/>
      <c r="L75" s="69"/>
      <c r="M75" s="69"/>
      <c r="N75" s="67"/>
      <c r="O75" s="70"/>
      <c r="P75" s="69"/>
      <c r="Q75" s="14"/>
      <c r="R75" s="15"/>
      <c r="S75" s="16"/>
      <c r="T75" s="16"/>
      <c r="U75" s="17"/>
      <c r="V75" s="17"/>
      <c r="W75" s="65"/>
      <c r="X75" s="65"/>
      <c r="Z75" s="69"/>
      <c r="AA75" s="69"/>
      <c r="AB75" s="69"/>
      <c r="AC75" s="69"/>
    </row>
    <row r="76" spans="1:29" s="66" customFormat="1">
      <c r="A76" s="67"/>
      <c r="B76" s="67"/>
      <c r="C76" s="67"/>
      <c r="D76" s="67"/>
      <c r="E76" s="67"/>
      <c r="F76" s="67"/>
      <c r="G76" s="68"/>
      <c r="H76" s="67"/>
      <c r="I76" s="67"/>
      <c r="J76" s="69"/>
      <c r="K76" s="69"/>
      <c r="L76" s="69"/>
      <c r="M76" s="69"/>
      <c r="N76" s="67"/>
      <c r="O76" s="70"/>
      <c r="P76" s="69"/>
      <c r="Q76" s="14"/>
      <c r="R76" s="15"/>
      <c r="S76" s="16"/>
      <c r="T76" s="16"/>
      <c r="U76" s="17"/>
      <c r="V76" s="17"/>
      <c r="W76" s="65"/>
      <c r="X76" s="65"/>
      <c r="Z76" s="69"/>
      <c r="AA76" s="69"/>
      <c r="AB76" s="69"/>
      <c r="AC76" s="69"/>
    </row>
    <row r="77" spans="1:29" s="66" customFormat="1">
      <c r="A77" s="67"/>
      <c r="B77" s="67"/>
      <c r="C77" s="67"/>
      <c r="D77" s="67"/>
      <c r="E77" s="67"/>
      <c r="F77" s="67"/>
      <c r="G77" s="68"/>
      <c r="H77" s="67"/>
      <c r="I77" s="67"/>
      <c r="J77" s="69"/>
      <c r="K77" s="69"/>
      <c r="L77" s="69"/>
      <c r="M77" s="69"/>
      <c r="N77" s="67"/>
      <c r="O77" s="70"/>
      <c r="P77" s="69"/>
      <c r="Q77" s="14"/>
      <c r="R77" s="15"/>
      <c r="S77" s="16"/>
      <c r="T77" s="16"/>
      <c r="U77" s="17"/>
      <c r="V77" s="17"/>
      <c r="W77" s="65"/>
      <c r="X77" s="65"/>
      <c r="Z77" s="69"/>
      <c r="AA77" s="69"/>
      <c r="AB77" s="69"/>
      <c r="AC77" s="69"/>
    </row>
    <row r="78" spans="1:29" s="66" customFormat="1">
      <c r="A78" s="67"/>
      <c r="B78" s="67"/>
      <c r="C78" s="67"/>
      <c r="D78" s="67"/>
      <c r="E78" s="67"/>
      <c r="F78" s="67"/>
      <c r="G78" s="68"/>
      <c r="H78" s="67"/>
      <c r="I78" s="67"/>
      <c r="J78" s="69"/>
      <c r="K78" s="69"/>
      <c r="L78" s="69"/>
      <c r="M78" s="69"/>
      <c r="N78" s="67"/>
      <c r="O78" s="70"/>
      <c r="P78" s="69"/>
      <c r="Q78" s="14"/>
      <c r="R78" s="15"/>
      <c r="S78" s="16"/>
      <c r="T78" s="16"/>
      <c r="U78" s="17"/>
      <c r="V78" s="17"/>
      <c r="W78" s="65"/>
      <c r="X78" s="65"/>
      <c r="Z78" s="69"/>
      <c r="AA78" s="69"/>
      <c r="AB78" s="69"/>
      <c r="AC78" s="69"/>
    </row>
    <row r="79" spans="1:29" s="66" customFormat="1">
      <c r="A79" s="67"/>
      <c r="B79" s="67"/>
      <c r="C79" s="67"/>
      <c r="D79" s="67"/>
      <c r="E79" s="67"/>
      <c r="F79" s="67"/>
      <c r="G79" s="68"/>
      <c r="H79" s="67"/>
      <c r="I79" s="67"/>
      <c r="J79" s="69"/>
      <c r="K79" s="69"/>
      <c r="L79" s="69"/>
      <c r="M79" s="69"/>
      <c r="N79" s="67"/>
      <c r="O79" s="70"/>
      <c r="P79" s="69"/>
      <c r="Q79" s="14"/>
      <c r="R79" s="15"/>
      <c r="S79" s="16"/>
      <c r="T79" s="16"/>
      <c r="U79" s="17"/>
      <c r="V79" s="17"/>
      <c r="W79" s="65"/>
      <c r="X79" s="65"/>
      <c r="Z79" s="69"/>
      <c r="AA79" s="69"/>
      <c r="AB79" s="69"/>
      <c r="AC79" s="69"/>
    </row>
    <row r="80" spans="1:29" s="66" customFormat="1">
      <c r="A80" s="67"/>
      <c r="B80" s="67"/>
      <c r="C80" s="67"/>
      <c r="D80" s="67"/>
      <c r="E80" s="67"/>
      <c r="F80" s="67"/>
      <c r="G80" s="68"/>
      <c r="H80" s="67"/>
      <c r="I80" s="67"/>
      <c r="J80" s="69"/>
      <c r="K80" s="69"/>
      <c r="L80" s="69"/>
      <c r="M80" s="69"/>
      <c r="N80" s="67"/>
      <c r="O80" s="70"/>
      <c r="P80" s="69"/>
      <c r="Q80" s="14"/>
      <c r="R80" s="15"/>
      <c r="S80" s="16"/>
      <c r="T80" s="16"/>
      <c r="U80" s="17"/>
      <c r="V80" s="17"/>
      <c r="W80" s="65"/>
      <c r="X80" s="65"/>
      <c r="Z80" s="69"/>
      <c r="AA80" s="69"/>
      <c r="AB80" s="69"/>
      <c r="AC80" s="69"/>
    </row>
    <row r="81" spans="1:29" s="66" customFormat="1">
      <c r="A81" s="67"/>
      <c r="B81" s="67"/>
      <c r="C81" s="67"/>
      <c r="D81" s="67"/>
      <c r="E81" s="67"/>
      <c r="F81" s="67"/>
      <c r="G81" s="68"/>
      <c r="H81" s="67"/>
      <c r="I81" s="67"/>
      <c r="J81" s="69"/>
      <c r="K81" s="69"/>
      <c r="L81" s="69"/>
      <c r="M81" s="69"/>
      <c r="N81" s="67"/>
      <c r="O81" s="70"/>
      <c r="P81" s="69"/>
      <c r="Q81" s="14"/>
      <c r="R81" s="15"/>
      <c r="S81" s="16"/>
      <c r="T81" s="16"/>
      <c r="U81" s="17"/>
      <c r="V81" s="17"/>
      <c r="W81" s="65"/>
      <c r="X81" s="65"/>
      <c r="Z81" s="69"/>
      <c r="AA81" s="69"/>
      <c r="AB81" s="69"/>
      <c r="AC81" s="69"/>
    </row>
    <row r="82" spans="1:29" s="66" customFormat="1">
      <c r="A82" s="67"/>
      <c r="B82" s="67"/>
      <c r="C82" s="67"/>
      <c r="D82" s="67"/>
      <c r="E82" s="67"/>
      <c r="F82" s="67"/>
      <c r="G82" s="68"/>
      <c r="H82" s="67"/>
      <c r="I82" s="67"/>
      <c r="J82" s="69"/>
      <c r="K82" s="69"/>
      <c r="L82" s="69"/>
      <c r="M82" s="69"/>
      <c r="N82" s="67"/>
      <c r="O82" s="70"/>
      <c r="P82" s="69"/>
      <c r="Q82" s="14"/>
      <c r="R82" s="15"/>
      <c r="S82" s="16"/>
      <c r="T82" s="16"/>
      <c r="U82" s="17"/>
      <c r="V82" s="17"/>
      <c r="W82" s="65"/>
      <c r="X82" s="65"/>
      <c r="Z82" s="69"/>
      <c r="AA82" s="69"/>
      <c r="AB82" s="69"/>
      <c r="AC82" s="69"/>
    </row>
    <row r="83" spans="1:29" s="66" customFormat="1">
      <c r="A83" s="67"/>
      <c r="B83" s="67"/>
      <c r="C83" s="67"/>
      <c r="D83" s="67"/>
      <c r="E83" s="67"/>
      <c r="F83" s="67"/>
      <c r="G83" s="68"/>
      <c r="H83" s="67"/>
      <c r="I83" s="67"/>
      <c r="J83" s="69"/>
      <c r="K83" s="69"/>
      <c r="L83" s="69"/>
      <c r="M83" s="69"/>
      <c r="N83" s="67"/>
      <c r="O83" s="70"/>
      <c r="P83" s="69"/>
      <c r="Q83" s="14"/>
      <c r="R83" s="15"/>
      <c r="S83" s="16"/>
      <c r="T83" s="16"/>
      <c r="U83" s="17"/>
      <c r="V83" s="17"/>
      <c r="W83" s="65"/>
      <c r="X83" s="65"/>
      <c r="Z83" s="69"/>
      <c r="AA83" s="69"/>
      <c r="AB83" s="69"/>
      <c r="AC83" s="69"/>
    </row>
    <row r="84" spans="1:29" s="66" customFormat="1">
      <c r="A84" s="67"/>
      <c r="B84" s="67"/>
      <c r="C84" s="67"/>
      <c r="D84" s="67"/>
      <c r="E84" s="67"/>
      <c r="F84" s="67"/>
      <c r="G84" s="68"/>
      <c r="H84" s="67"/>
      <c r="I84" s="67"/>
      <c r="J84" s="69"/>
      <c r="K84" s="69"/>
      <c r="L84" s="69"/>
      <c r="M84" s="69"/>
      <c r="N84" s="67"/>
      <c r="O84" s="70"/>
      <c r="P84" s="69"/>
      <c r="Q84" s="14"/>
      <c r="R84" s="15"/>
      <c r="S84" s="16"/>
      <c r="T84" s="16"/>
      <c r="U84" s="17"/>
      <c r="V84" s="17"/>
      <c r="W84" s="65"/>
      <c r="X84" s="65"/>
      <c r="Z84" s="69"/>
      <c r="AA84" s="69"/>
      <c r="AB84" s="69"/>
      <c r="AC84" s="69"/>
    </row>
    <row r="85" spans="1:29" s="66" customFormat="1">
      <c r="A85" s="67"/>
      <c r="B85" s="67"/>
      <c r="C85" s="67"/>
      <c r="D85" s="67"/>
      <c r="E85" s="67"/>
      <c r="F85" s="67"/>
      <c r="G85" s="68"/>
      <c r="H85" s="67"/>
      <c r="I85" s="67"/>
      <c r="J85" s="69"/>
      <c r="K85" s="69"/>
      <c r="L85" s="69"/>
      <c r="M85" s="69"/>
      <c r="N85" s="67"/>
      <c r="O85" s="70"/>
      <c r="P85" s="69"/>
      <c r="Q85" s="14"/>
      <c r="R85" s="15"/>
      <c r="S85" s="16"/>
      <c r="T85" s="16"/>
      <c r="U85" s="17"/>
      <c r="V85" s="17"/>
      <c r="W85" s="65"/>
      <c r="X85" s="65"/>
      <c r="Z85" s="69"/>
      <c r="AA85" s="69"/>
      <c r="AB85" s="69"/>
      <c r="AC85" s="69"/>
    </row>
    <row r="86" spans="1:29" s="66" customFormat="1">
      <c r="A86" s="67"/>
      <c r="B86" s="67"/>
      <c r="C86" s="67"/>
      <c r="D86" s="67"/>
      <c r="E86" s="67"/>
      <c r="F86" s="67"/>
      <c r="G86" s="68"/>
      <c r="H86" s="67"/>
      <c r="I86" s="67"/>
      <c r="J86" s="69"/>
      <c r="K86" s="69"/>
      <c r="L86" s="69"/>
      <c r="M86" s="69"/>
      <c r="N86" s="67"/>
      <c r="O86" s="70"/>
      <c r="P86" s="69"/>
      <c r="Q86" s="14"/>
      <c r="R86" s="15"/>
      <c r="S86" s="16"/>
      <c r="T86" s="16"/>
      <c r="U86" s="17"/>
      <c r="V86" s="17"/>
      <c r="W86" s="65"/>
      <c r="X86" s="65"/>
      <c r="Z86" s="69"/>
      <c r="AA86" s="69"/>
      <c r="AB86" s="69"/>
      <c r="AC86" s="69"/>
    </row>
    <row r="87" spans="1:29" s="66" customFormat="1">
      <c r="A87" s="67"/>
      <c r="B87" s="67"/>
      <c r="C87" s="67"/>
      <c r="D87" s="67"/>
      <c r="E87" s="67"/>
      <c r="F87" s="67"/>
      <c r="G87" s="68"/>
      <c r="H87" s="67"/>
      <c r="I87" s="67"/>
      <c r="J87" s="69"/>
      <c r="K87" s="69"/>
      <c r="L87" s="69"/>
      <c r="M87" s="69"/>
      <c r="N87" s="67"/>
      <c r="O87" s="70"/>
      <c r="P87" s="69"/>
      <c r="Q87" s="14"/>
      <c r="R87" s="15"/>
      <c r="S87" s="16"/>
      <c r="T87" s="16"/>
      <c r="U87" s="17"/>
      <c r="V87" s="17"/>
      <c r="W87" s="65"/>
      <c r="X87" s="65"/>
      <c r="Z87" s="69"/>
      <c r="AA87" s="69"/>
      <c r="AB87" s="69"/>
      <c r="AC87" s="69"/>
    </row>
    <row r="88" spans="1:29" s="66" customFormat="1">
      <c r="A88" s="67"/>
      <c r="B88" s="67"/>
      <c r="C88" s="67"/>
      <c r="D88" s="67"/>
      <c r="E88" s="67"/>
      <c r="F88" s="67"/>
      <c r="G88" s="68"/>
      <c r="H88" s="67"/>
      <c r="I88" s="67"/>
      <c r="J88" s="69"/>
      <c r="K88" s="69"/>
      <c r="L88" s="69"/>
      <c r="M88" s="69"/>
      <c r="N88" s="67"/>
      <c r="O88" s="70"/>
      <c r="P88" s="69"/>
      <c r="Q88" s="14"/>
      <c r="R88" s="15"/>
      <c r="S88" s="16"/>
      <c r="T88" s="16"/>
      <c r="U88" s="17"/>
      <c r="V88" s="17"/>
      <c r="W88" s="65"/>
      <c r="X88" s="65"/>
      <c r="Z88" s="69"/>
      <c r="AA88" s="69"/>
      <c r="AB88" s="69"/>
      <c r="AC88" s="69"/>
    </row>
    <row r="89" spans="1:29" s="66" customFormat="1">
      <c r="A89" s="67"/>
      <c r="B89" s="67"/>
      <c r="C89" s="67"/>
      <c r="D89" s="67"/>
      <c r="E89" s="67"/>
      <c r="F89" s="67"/>
      <c r="G89" s="68"/>
      <c r="H89" s="67"/>
      <c r="I89" s="67"/>
      <c r="J89" s="69"/>
      <c r="K89" s="69"/>
      <c r="L89" s="69"/>
      <c r="M89" s="69"/>
      <c r="N89" s="67"/>
      <c r="O89" s="70"/>
      <c r="P89" s="69"/>
      <c r="Q89" s="14"/>
      <c r="R89" s="15"/>
      <c r="S89" s="16"/>
      <c r="T89" s="16"/>
      <c r="U89" s="17"/>
      <c r="V89" s="17"/>
      <c r="W89" s="65"/>
      <c r="X89" s="65"/>
      <c r="Z89" s="69"/>
      <c r="AA89" s="69"/>
      <c r="AB89" s="69"/>
      <c r="AC89" s="69"/>
    </row>
    <row r="90" spans="1:29" s="66" customFormat="1">
      <c r="A90" s="67"/>
      <c r="B90" s="67"/>
      <c r="C90" s="67"/>
      <c r="D90" s="67"/>
      <c r="E90" s="67"/>
      <c r="F90" s="67"/>
      <c r="G90" s="68"/>
      <c r="H90" s="67"/>
      <c r="I90" s="67"/>
      <c r="J90" s="69"/>
      <c r="K90" s="69"/>
      <c r="L90" s="69"/>
      <c r="M90" s="69"/>
      <c r="N90" s="67"/>
      <c r="O90" s="70"/>
      <c r="P90" s="69"/>
      <c r="Q90" s="14"/>
      <c r="R90" s="15"/>
      <c r="S90" s="16"/>
      <c r="T90" s="16"/>
      <c r="U90" s="17"/>
      <c r="V90" s="17"/>
      <c r="W90" s="65"/>
      <c r="X90" s="65"/>
      <c r="Z90" s="69"/>
      <c r="AA90" s="69"/>
      <c r="AB90" s="69"/>
      <c r="AC90" s="69"/>
    </row>
    <row r="91" spans="1:29" s="66" customFormat="1">
      <c r="A91" s="67"/>
      <c r="B91" s="67"/>
      <c r="C91" s="67"/>
      <c r="D91" s="67"/>
      <c r="E91" s="67"/>
      <c r="F91" s="67"/>
      <c r="G91" s="68"/>
      <c r="H91" s="67"/>
      <c r="I91" s="67"/>
      <c r="J91" s="69"/>
      <c r="K91" s="69"/>
      <c r="L91" s="69"/>
      <c r="M91" s="69"/>
      <c r="N91" s="67"/>
      <c r="O91" s="70"/>
      <c r="P91" s="69"/>
      <c r="Q91" s="14"/>
      <c r="R91" s="15"/>
      <c r="S91" s="16"/>
      <c r="T91" s="16"/>
      <c r="U91" s="17"/>
      <c r="V91" s="17"/>
      <c r="W91" s="65"/>
      <c r="X91" s="65"/>
      <c r="Z91" s="69"/>
      <c r="AA91" s="69"/>
      <c r="AB91" s="69"/>
      <c r="AC91" s="69"/>
    </row>
    <row r="92" spans="1:29" s="66" customFormat="1">
      <c r="A92" s="67"/>
      <c r="B92" s="67"/>
      <c r="C92" s="67"/>
      <c r="D92" s="67"/>
      <c r="E92" s="67"/>
      <c r="F92" s="67"/>
      <c r="G92" s="68"/>
      <c r="H92" s="67"/>
      <c r="I92" s="67"/>
      <c r="J92" s="69"/>
      <c r="K92" s="69"/>
      <c r="L92" s="69"/>
      <c r="M92" s="69"/>
      <c r="N92" s="67"/>
      <c r="O92" s="70"/>
      <c r="P92" s="69"/>
      <c r="Q92" s="14"/>
      <c r="R92" s="15"/>
      <c r="S92" s="16"/>
      <c r="T92" s="16"/>
      <c r="U92" s="17"/>
      <c r="V92" s="17"/>
      <c r="W92" s="65"/>
      <c r="X92" s="65"/>
      <c r="Z92" s="69"/>
      <c r="AA92" s="69"/>
      <c r="AB92" s="69"/>
      <c r="AC92" s="69"/>
    </row>
    <row r="93" spans="1:29" s="66" customFormat="1">
      <c r="A93" s="67"/>
      <c r="B93" s="67"/>
      <c r="C93" s="67"/>
      <c r="D93" s="67"/>
      <c r="E93" s="67"/>
      <c r="F93" s="67"/>
      <c r="G93" s="68"/>
      <c r="H93" s="67"/>
      <c r="I93" s="67"/>
      <c r="J93" s="69"/>
      <c r="K93" s="69"/>
      <c r="L93" s="69"/>
      <c r="M93" s="69"/>
      <c r="N93" s="67"/>
      <c r="O93" s="70"/>
      <c r="P93" s="69"/>
      <c r="Q93" s="14"/>
      <c r="R93" s="15"/>
      <c r="S93" s="16"/>
      <c r="T93" s="16"/>
      <c r="U93" s="17"/>
      <c r="V93" s="17"/>
      <c r="W93" s="65"/>
      <c r="X93" s="65"/>
      <c r="Z93" s="69"/>
      <c r="AA93" s="69"/>
      <c r="AB93" s="69"/>
      <c r="AC93" s="69"/>
    </row>
    <row r="94" spans="1:29" s="66" customFormat="1">
      <c r="A94" s="67"/>
      <c r="B94" s="67"/>
      <c r="C94" s="67"/>
      <c r="D94" s="67"/>
      <c r="E94" s="67"/>
      <c r="F94" s="67"/>
      <c r="G94" s="68"/>
      <c r="H94" s="67"/>
      <c r="I94" s="67"/>
      <c r="J94" s="69"/>
      <c r="K94" s="69"/>
      <c r="L94" s="69"/>
      <c r="M94" s="69"/>
      <c r="N94" s="67"/>
      <c r="O94" s="70"/>
      <c r="P94" s="69"/>
      <c r="Q94" s="14"/>
      <c r="R94" s="15"/>
      <c r="S94" s="16"/>
      <c r="T94" s="16"/>
      <c r="U94" s="17"/>
      <c r="V94" s="17"/>
      <c r="W94" s="65"/>
      <c r="X94" s="65"/>
      <c r="Z94" s="69"/>
      <c r="AA94" s="69"/>
      <c r="AB94" s="69"/>
      <c r="AC94" s="69"/>
    </row>
    <row r="95" spans="1:29" s="66" customFormat="1">
      <c r="A95" s="67"/>
      <c r="B95" s="67"/>
      <c r="C95" s="67"/>
      <c r="D95" s="67"/>
      <c r="E95" s="67"/>
      <c r="F95" s="67"/>
      <c r="G95" s="68"/>
      <c r="H95" s="67"/>
      <c r="I95" s="67"/>
      <c r="J95" s="69"/>
      <c r="K95" s="69"/>
      <c r="L95" s="69"/>
      <c r="M95" s="69"/>
      <c r="N95" s="67"/>
      <c r="O95" s="70"/>
      <c r="P95" s="69"/>
      <c r="Q95" s="14"/>
      <c r="R95" s="15"/>
      <c r="S95" s="16"/>
      <c r="T95" s="16"/>
      <c r="U95" s="17"/>
      <c r="V95" s="17"/>
      <c r="W95" s="65"/>
      <c r="X95" s="65"/>
      <c r="Z95" s="69"/>
      <c r="AA95" s="69"/>
      <c r="AB95" s="69"/>
      <c r="AC95" s="69"/>
    </row>
    <row r="96" spans="1:29" s="66" customFormat="1">
      <c r="A96" s="67"/>
      <c r="B96" s="67"/>
      <c r="C96" s="67"/>
      <c r="D96" s="67"/>
      <c r="E96" s="67"/>
      <c r="F96" s="67"/>
      <c r="G96" s="68"/>
      <c r="H96" s="67"/>
      <c r="I96" s="67"/>
      <c r="J96" s="69"/>
      <c r="K96" s="69"/>
      <c r="L96" s="69"/>
      <c r="M96" s="69"/>
      <c r="N96" s="67"/>
      <c r="O96" s="70"/>
      <c r="P96" s="69"/>
      <c r="Q96" s="14"/>
      <c r="R96" s="15"/>
      <c r="S96" s="16"/>
      <c r="T96" s="16"/>
      <c r="U96" s="17"/>
      <c r="V96" s="17"/>
      <c r="W96" s="65"/>
      <c r="X96" s="65"/>
      <c r="Z96" s="69"/>
      <c r="AA96" s="69"/>
      <c r="AB96" s="69"/>
      <c r="AC96" s="69"/>
    </row>
    <row r="97" spans="1:29" s="66" customFormat="1">
      <c r="A97" s="67"/>
      <c r="B97" s="67"/>
      <c r="C97" s="67"/>
      <c r="D97" s="67"/>
      <c r="E97" s="67"/>
      <c r="F97" s="67"/>
      <c r="G97" s="68"/>
      <c r="H97" s="67"/>
      <c r="I97" s="67"/>
      <c r="J97" s="69"/>
      <c r="K97" s="69"/>
      <c r="L97" s="69"/>
      <c r="M97" s="69"/>
      <c r="N97" s="67"/>
      <c r="O97" s="70"/>
      <c r="P97" s="69"/>
      <c r="Q97" s="14"/>
      <c r="R97" s="15"/>
      <c r="S97" s="16"/>
      <c r="T97" s="16"/>
      <c r="U97" s="17"/>
      <c r="V97" s="17"/>
      <c r="W97" s="65"/>
      <c r="X97" s="65"/>
      <c r="Z97" s="69"/>
      <c r="AA97" s="69"/>
      <c r="AB97" s="69"/>
      <c r="AC97" s="69"/>
    </row>
    <row r="98" spans="1:29" s="66" customFormat="1">
      <c r="A98" s="67"/>
      <c r="B98" s="67"/>
      <c r="C98" s="67"/>
      <c r="D98" s="67"/>
      <c r="E98" s="67"/>
      <c r="F98" s="67"/>
      <c r="G98" s="68"/>
      <c r="H98" s="67"/>
      <c r="I98" s="67"/>
      <c r="J98" s="69"/>
      <c r="K98" s="69"/>
      <c r="L98" s="69"/>
      <c r="M98" s="69"/>
      <c r="N98" s="67"/>
      <c r="O98" s="70"/>
      <c r="P98" s="69"/>
      <c r="Q98" s="14"/>
      <c r="R98" s="15"/>
      <c r="S98" s="16"/>
      <c r="T98" s="16"/>
      <c r="U98" s="17"/>
      <c r="V98" s="17"/>
      <c r="W98" s="65"/>
      <c r="X98" s="65"/>
      <c r="Z98" s="69"/>
      <c r="AA98" s="69"/>
      <c r="AB98" s="69"/>
      <c r="AC98" s="69"/>
    </row>
    <row r="99" spans="1:29" s="66" customFormat="1">
      <c r="A99" s="67"/>
      <c r="B99" s="67"/>
      <c r="C99" s="67"/>
      <c r="D99" s="67"/>
      <c r="E99" s="67"/>
      <c r="F99" s="67"/>
      <c r="G99" s="68"/>
      <c r="H99" s="67"/>
      <c r="I99" s="67"/>
      <c r="J99" s="69"/>
      <c r="K99" s="69"/>
      <c r="L99" s="69"/>
      <c r="M99" s="69"/>
      <c r="N99" s="67"/>
      <c r="O99" s="70"/>
      <c r="P99" s="69"/>
      <c r="Q99" s="14"/>
      <c r="R99" s="15"/>
      <c r="S99" s="16"/>
      <c r="T99" s="16"/>
      <c r="U99" s="17"/>
      <c r="V99" s="17"/>
      <c r="W99" s="65"/>
      <c r="X99" s="65"/>
      <c r="Z99" s="69"/>
      <c r="AA99" s="69"/>
      <c r="AB99" s="69"/>
      <c r="AC99" s="69"/>
    </row>
    <row r="100" spans="1:29" s="66" customFormat="1">
      <c r="A100" s="67"/>
      <c r="B100" s="67"/>
      <c r="C100" s="67"/>
      <c r="D100" s="67"/>
      <c r="E100" s="67"/>
      <c r="F100" s="67"/>
      <c r="G100" s="68"/>
      <c r="H100" s="67"/>
      <c r="I100" s="67"/>
      <c r="J100" s="69"/>
      <c r="K100" s="69"/>
      <c r="L100" s="69"/>
      <c r="M100" s="69"/>
      <c r="N100" s="67"/>
      <c r="O100" s="70"/>
      <c r="P100" s="69"/>
      <c r="Q100" s="14"/>
      <c r="R100" s="15"/>
      <c r="S100" s="16"/>
      <c r="T100" s="16"/>
      <c r="U100" s="17"/>
      <c r="V100" s="17"/>
      <c r="W100" s="65"/>
      <c r="X100" s="65"/>
      <c r="Z100" s="69"/>
      <c r="AA100" s="69"/>
      <c r="AB100" s="69"/>
      <c r="AC100" s="69"/>
    </row>
    <row r="101" spans="1:29" s="66" customFormat="1">
      <c r="A101" s="67"/>
      <c r="B101" s="67"/>
      <c r="C101" s="67"/>
      <c r="D101" s="67"/>
      <c r="E101" s="67"/>
      <c r="F101" s="67"/>
      <c r="G101" s="68"/>
      <c r="H101" s="67"/>
      <c r="I101" s="67"/>
      <c r="J101" s="69"/>
      <c r="K101" s="69"/>
      <c r="L101" s="69"/>
      <c r="M101" s="69"/>
      <c r="N101" s="67"/>
      <c r="O101" s="70"/>
      <c r="P101" s="69"/>
      <c r="Q101" s="14"/>
      <c r="R101" s="15"/>
      <c r="S101" s="16"/>
      <c r="T101" s="16"/>
      <c r="U101" s="17"/>
      <c r="V101" s="17"/>
      <c r="W101" s="65"/>
      <c r="X101" s="65"/>
      <c r="Z101" s="69"/>
      <c r="AA101" s="69"/>
      <c r="AB101" s="69"/>
      <c r="AC101" s="69"/>
    </row>
    <row r="102" spans="1:29" s="66" customFormat="1">
      <c r="A102" s="67"/>
      <c r="B102" s="67"/>
      <c r="C102" s="67"/>
      <c r="D102" s="67"/>
      <c r="E102" s="67"/>
      <c r="F102" s="67"/>
      <c r="G102" s="68"/>
      <c r="H102" s="67"/>
      <c r="I102" s="67"/>
      <c r="J102" s="69"/>
      <c r="K102" s="69"/>
      <c r="L102" s="69"/>
      <c r="M102" s="69"/>
      <c r="N102" s="67"/>
      <c r="O102" s="70"/>
      <c r="P102" s="69"/>
      <c r="Q102" s="14"/>
      <c r="R102" s="15"/>
      <c r="S102" s="16"/>
      <c r="T102" s="16"/>
      <c r="U102" s="17"/>
      <c r="V102" s="17"/>
      <c r="W102" s="65"/>
      <c r="X102" s="65"/>
      <c r="Z102" s="69"/>
      <c r="AA102" s="69"/>
      <c r="AB102" s="69"/>
      <c r="AC102" s="69"/>
    </row>
    <row r="103" spans="1:29" s="66" customFormat="1">
      <c r="A103" s="67"/>
      <c r="B103" s="67"/>
      <c r="C103" s="67"/>
      <c r="D103" s="67"/>
      <c r="E103" s="67"/>
      <c r="F103" s="67"/>
      <c r="G103" s="68"/>
      <c r="H103" s="67"/>
      <c r="I103" s="67"/>
      <c r="J103" s="69"/>
      <c r="K103" s="69"/>
      <c r="L103" s="69"/>
      <c r="M103" s="69"/>
      <c r="N103" s="67"/>
      <c r="O103" s="70"/>
      <c r="P103" s="69"/>
      <c r="Q103" s="14"/>
      <c r="R103" s="15"/>
      <c r="S103" s="16"/>
      <c r="T103" s="16"/>
      <c r="U103" s="17"/>
      <c r="V103" s="17"/>
      <c r="W103" s="65"/>
      <c r="X103" s="65"/>
      <c r="Z103" s="69"/>
      <c r="AA103" s="69"/>
      <c r="AB103" s="69"/>
      <c r="AC103" s="69"/>
    </row>
    <row r="104" spans="1:29" s="66" customFormat="1">
      <c r="A104" s="67"/>
      <c r="B104" s="67"/>
      <c r="C104" s="67"/>
      <c r="D104" s="67"/>
      <c r="E104" s="67"/>
      <c r="F104" s="67"/>
      <c r="G104" s="68"/>
      <c r="H104" s="67"/>
      <c r="I104" s="67"/>
      <c r="J104" s="69"/>
      <c r="K104" s="69"/>
      <c r="L104" s="69"/>
      <c r="M104" s="69"/>
      <c r="N104" s="67"/>
      <c r="O104" s="70"/>
      <c r="P104" s="69"/>
      <c r="Q104" s="14"/>
      <c r="R104" s="15"/>
      <c r="S104" s="16"/>
      <c r="T104" s="16"/>
      <c r="U104" s="17"/>
      <c r="V104" s="17"/>
      <c r="W104" s="65"/>
      <c r="X104" s="65"/>
      <c r="Z104" s="69"/>
      <c r="AA104" s="69"/>
      <c r="AB104" s="69"/>
      <c r="AC104" s="69"/>
    </row>
    <row r="105" spans="1:29" s="66" customFormat="1">
      <c r="A105" s="67"/>
      <c r="B105" s="67"/>
      <c r="C105" s="67"/>
      <c r="D105" s="67"/>
      <c r="E105" s="67"/>
      <c r="F105" s="67"/>
      <c r="G105" s="68"/>
      <c r="H105" s="67"/>
      <c r="I105" s="67"/>
      <c r="J105" s="69"/>
      <c r="K105" s="69"/>
      <c r="L105" s="69"/>
      <c r="M105" s="69"/>
      <c r="N105" s="67"/>
      <c r="O105" s="70"/>
      <c r="P105" s="69"/>
      <c r="Q105" s="14"/>
      <c r="R105" s="15"/>
      <c r="S105" s="16"/>
      <c r="T105" s="16"/>
      <c r="U105" s="17"/>
      <c r="V105" s="17"/>
      <c r="W105" s="65"/>
      <c r="X105" s="65"/>
      <c r="Z105" s="69"/>
      <c r="AA105" s="69"/>
      <c r="AB105" s="69"/>
      <c r="AC105" s="69"/>
    </row>
    <row r="106" spans="1:29" s="66" customFormat="1">
      <c r="A106" s="67"/>
      <c r="B106" s="67"/>
      <c r="C106" s="67"/>
      <c r="D106" s="67"/>
      <c r="E106" s="67"/>
      <c r="F106" s="67"/>
      <c r="G106" s="68"/>
      <c r="H106" s="67"/>
      <c r="I106" s="67"/>
      <c r="J106" s="69"/>
      <c r="K106" s="69"/>
      <c r="L106" s="69"/>
      <c r="M106" s="69"/>
      <c r="N106" s="67"/>
      <c r="O106" s="70"/>
      <c r="P106" s="69"/>
      <c r="Q106" s="14"/>
      <c r="R106" s="15"/>
      <c r="S106" s="16"/>
      <c r="T106" s="16"/>
      <c r="U106" s="17"/>
      <c r="V106" s="17"/>
      <c r="W106" s="65"/>
      <c r="X106" s="65"/>
      <c r="Z106" s="69"/>
      <c r="AA106" s="69"/>
      <c r="AB106" s="69"/>
      <c r="AC106" s="69"/>
    </row>
    <row r="107" spans="1:29" s="66" customFormat="1">
      <c r="A107" s="67"/>
      <c r="B107" s="67"/>
      <c r="C107" s="67"/>
      <c r="D107" s="67"/>
      <c r="E107" s="67"/>
      <c r="F107" s="67"/>
      <c r="G107" s="68"/>
      <c r="H107" s="67"/>
      <c r="I107" s="67"/>
      <c r="J107" s="69"/>
      <c r="K107" s="69"/>
      <c r="L107" s="69"/>
      <c r="M107" s="69"/>
      <c r="N107" s="67"/>
      <c r="O107" s="70"/>
      <c r="P107" s="69"/>
      <c r="Q107" s="14"/>
      <c r="R107" s="15"/>
      <c r="S107" s="16"/>
      <c r="T107" s="16"/>
      <c r="U107" s="17"/>
      <c r="V107" s="17"/>
      <c r="W107" s="65"/>
      <c r="X107" s="65"/>
      <c r="Z107" s="69"/>
      <c r="AA107" s="69"/>
      <c r="AB107" s="69"/>
      <c r="AC107" s="69"/>
    </row>
    <row r="108" spans="1:29" s="66" customFormat="1">
      <c r="A108" s="67"/>
      <c r="B108" s="67"/>
      <c r="C108" s="67"/>
      <c r="D108" s="67"/>
      <c r="E108" s="67"/>
      <c r="F108" s="67"/>
      <c r="G108" s="68"/>
      <c r="H108" s="67"/>
      <c r="I108" s="67"/>
      <c r="J108" s="69"/>
      <c r="K108" s="69"/>
      <c r="L108" s="69"/>
      <c r="M108" s="69"/>
      <c r="N108" s="67"/>
      <c r="O108" s="70"/>
      <c r="P108" s="69"/>
      <c r="Q108" s="14"/>
      <c r="R108" s="15"/>
      <c r="S108" s="16"/>
      <c r="T108" s="16"/>
      <c r="U108" s="17"/>
      <c r="V108" s="17"/>
      <c r="W108" s="65"/>
      <c r="X108" s="65"/>
      <c r="Z108" s="69"/>
      <c r="AA108" s="69"/>
      <c r="AB108" s="69"/>
      <c r="AC108" s="69"/>
    </row>
    <row r="109" spans="1:29" s="66" customFormat="1">
      <c r="A109" s="67"/>
      <c r="B109" s="67"/>
      <c r="C109" s="67"/>
      <c r="D109" s="67"/>
      <c r="E109" s="67"/>
      <c r="F109" s="67"/>
      <c r="G109" s="68"/>
      <c r="H109" s="67"/>
      <c r="I109" s="67"/>
      <c r="J109" s="69"/>
      <c r="K109" s="69"/>
      <c r="L109" s="69"/>
      <c r="M109" s="69"/>
      <c r="N109" s="67"/>
      <c r="O109" s="70"/>
      <c r="P109" s="69"/>
      <c r="Q109" s="14"/>
      <c r="R109" s="15"/>
      <c r="S109" s="16"/>
      <c r="T109" s="16"/>
      <c r="U109" s="17"/>
      <c r="V109" s="17"/>
      <c r="W109" s="65"/>
      <c r="X109" s="65"/>
      <c r="Z109" s="69"/>
      <c r="AA109" s="69"/>
      <c r="AB109" s="69"/>
      <c r="AC109" s="69"/>
    </row>
    <row r="110" spans="1:29" s="66" customFormat="1">
      <c r="A110" s="67"/>
      <c r="B110" s="67"/>
      <c r="C110" s="67"/>
      <c r="D110" s="67"/>
      <c r="E110" s="67"/>
      <c r="F110" s="67"/>
      <c r="G110" s="68"/>
      <c r="H110" s="67"/>
      <c r="I110" s="67"/>
      <c r="J110" s="69"/>
      <c r="K110" s="69"/>
      <c r="L110" s="69"/>
      <c r="M110" s="69"/>
      <c r="N110" s="67"/>
      <c r="O110" s="70"/>
      <c r="P110" s="69"/>
      <c r="Q110" s="14"/>
      <c r="R110" s="15"/>
      <c r="S110" s="16"/>
      <c r="T110" s="16"/>
      <c r="U110" s="17"/>
      <c r="V110" s="17"/>
      <c r="W110" s="65"/>
      <c r="X110" s="65"/>
      <c r="Z110" s="69"/>
      <c r="AA110" s="69"/>
      <c r="AB110" s="69"/>
      <c r="AC110" s="69"/>
    </row>
    <row r="111" spans="1:29" s="66" customFormat="1">
      <c r="A111" s="67"/>
      <c r="B111" s="67"/>
      <c r="C111" s="67"/>
      <c r="D111" s="67"/>
      <c r="E111" s="67"/>
      <c r="F111" s="67"/>
      <c r="G111" s="68"/>
      <c r="H111" s="67"/>
      <c r="I111" s="67"/>
      <c r="J111" s="69"/>
      <c r="K111" s="69"/>
      <c r="L111" s="69"/>
      <c r="M111" s="69"/>
      <c r="N111" s="67"/>
      <c r="O111" s="70"/>
      <c r="P111" s="69"/>
      <c r="Q111" s="14"/>
      <c r="R111" s="15"/>
      <c r="S111" s="16"/>
      <c r="T111" s="16"/>
      <c r="U111" s="17"/>
      <c r="V111" s="17"/>
      <c r="W111" s="65"/>
      <c r="X111" s="65"/>
      <c r="Z111" s="69"/>
      <c r="AA111" s="69"/>
      <c r="AB111" s="69"/>
      <c r="AC111" s="69"/>
    </row>
    <row r="112" spans="1:29" s="66" customFormat="1">
      <c r="A112" s="67"/>
      <c r="B112" s="67"/>
      <c r="C112" s="67"/>
      <c r="D112" s="67"/>
      <c r="E112" s="67"/>
      <c r="F112" s="67"/>
      <c r="G112" s="68"/>
      <c r="H112" s="67"/>
      <c r="I112" s="67"/>
      <c r="J112" s="69"/>
      <c r="K112" s="69"/>
      <c r="L112" s="69"/>
      <c r="M112" s="69"/>
      <c r="N112" s="67"/>
      <c r="O112" s="70"/>
      <c r="P112" s="69"/>
      <c r="Q112" s="14"/>
      <c r="R112" s="15"/>
      <c r="S112" s="16"/>
      <c r="T112" s="16"/>
      <c r="U112" s="17"/>
      <c r="V112" s="17"/>
      <c r="W112" s="65"/>
      <c r="X112" s="65"/>
      <c r="Z112" s="69"/>
      <c r="AA112" s="69"/>
      <c r="AB112" s="69"/>
      <c r="AC112" s="69"/>
    </row>
    <row r="113" spans="1:29" s="66" customFormat="1">
      <c r="A113" s="67"/>
      <c r="B113" s="67"/>
      <c r="C113" s="67"/>
      <c r="D113" s="67"/>
      <c r="E113" s="67"/>
      <c r="F113" s="67"/>
      <c r="G113" s="68"/>
      <c r="H113" s="67"/>
      <c r="I113" s="67"/>
      <c r="J113" s="69"/>
      <c r="K113" s="69"/>
      <c r="L113" s="69"/>
      <c r="M113" s="69"/>
      <c r="N113" s="67"/>
      <c r="O113" s="70"/>
      <c r="P113" s="69"/>
      <c r="Q113" s="14"/>
      <c r="R113" s="15"/>
      <c r="S113" s="16"/>
      <c r="T113" s="16"/>
      <c r="U113" s="17"/>
      <c r="V113" s="17"/>
      <c r="W113" s="65"/>
      <c r="X113" s="65"/>
      <c r="Z113" s="69"/>
      <c r="AA113" s="69"/>
      <c r="AB113" s="69"/>
      <c r="AC113" s="69"/>
    </row>
    <row r="114" spans="1:29" s="66" customFormat="1">
      <c r="A114" s="67"/>
      <c r="B114" s="67"/>
      <c r="C114" s="67"/>
      <c r="D114" s="67"/>
      <c r="E114" s="67"/>
      <c r="F114" s="67"/>
      <c r="G114" s="68"/>
      <c r="H114" s="67"/>
      <c r="I114" s="67"/>
      <c r="J114" s="69"/>
      <c r="K114" s="69"/>
      <c r="L114" s="69"/>
      <c r="M114" s="69"/>
      <c r="N114" s="67"/>
      <c r="O114" s="70"/>
      <c r="P114" s="69"/>
      <c r="Q114" s="14"/>
      <c r="R114" s="15"/>
      <c r="S114" s="16"/>
      <c r="T114" s="16"/>
      <c r="U114" s="17"/>
      <c r="V114" s="17"/>
      <c r="W114" s="65"/>
      <c r="X114" s="65"/>
      <c r="Z114" s="69"/>
      <c r="AA114" s="69"/>
      <c r="AB114" s="69"/>
      <c r="AC114" s="69"/>
    </row>
    <row r="115" spans="1:29" s="66" customFormat="1">
      <c r="A115" s="67"/>
      <c r="B115" s="67"/>
      <c r="C115" s="67"/>
      <c r="D115" s="67"/>
      <c r="E115" s="67"/>
      <c r="F115" s="67"/>
      <c r="G115" s="67"/>
      <c r="H115" s="67"/>
      <c r="I115" s="67"/>
      <c r="J115" s="69"/>
      <c r="K115" s="69"/>
      <c r="L115" s="69"/>
      <c r="M115" s="69"/>
      <c r="N115" s="67"/>
      <c r="O115" s="70"/>
      <c r="P115" s="69"/>
      <c r="Q115" s="14"/>
      <c r="R115" s="15"/>
      <c r="S115" s="16"/>
      <c r="T115" s="16"/>
      <c r="U115" s="17"/>
      <c r="V115" s="17"/>
      <c r="W115" s="65"/>
      <c r="X115" s="65"/>
      <c r="Z115" s="69"/>
      <c r="AA115" s="69"/>
      <c r="AB115" s="69"/>
      <c r="AC115" s="69"/>
    </row>
    <row r="116" spans="1:29" s="66" customFormat="1">
      <c r="A116" s="67"/>
      <c r="B116" s="67"/>
      <c r="C116" s="67"/>
      <c r="D116" s="67"/>
      <c r="E116" s="67"/>
      <c r="F116" s="67"/>
      <c r="G116" s="67"/>
      <c r="H116" s="67"/>
      <c r="I116" s="67"/>
      <c r="J116" s="69"/>
      <c r="K116" s="69"/>
      <c r="L116" s="69"/>
      <c r="M116" s="69"/>
      <c r="N116" s="67"/>
      <c r="O116" s="70"/>
      <c r="P116" s="69"/>
      <c r="Q116" s="14"/>
      <c r="R116" s="15"/>
      <c r="S116" s="16"/>
      <c r="T116" s="16"/>
      <c r="U116" s="17"/>
      <c r="V116" s="17"/>
      <c r="W116" s="65"/>
      <c r="X116" s="65"/>
      <c r="Z116" s="69"/>
      <c r="AA116" s="69"/>
      <c r="AB116" s="69"/>
      <c r="AC116" s="69"/>
    </row>
    <row r="117" spans="1:29" s="66" customFormat="1">
      <c r="A117" s="67"/>
      <c r="B117" s="67"/>
      <c r="C117" s="67"/>
      <c r="D117" s="67"/>
      <c r="E117" s="67"/>
      <c r="F117" s="67"/>
      <c r="G117" s="67"/>
      <c r="H117" s="67"/>
      <c r="I117" s="67"/>
      <c r="J117" s="69"/>
      <c r="K117" s="69"/>
      <c r="L117" s="69"/>
      <c r="M117" s="69"/>
      <c r="N117" s="67"/>
      <c r="O117" s="70"/>
      <c r="P117" s="69"/>
      <c r="Q117" s="14"/>
      <c r="R117" s="15"/>
      <c r="S117" s="16"/>
      <c r="T117" s="16"/>
      <c r="U117" s="17"/>
      <c r="V117" s="17"/>
      <c r="W117" s="65"/>
      <c r="X117" s="65"/>
      <c r="Z117" s="69"/>
      <c r="AA117" s="69"/>
      <c r="AB117" s="69"/>
      <c r="AC117" s="69"/>
    </row>
    <row r="118" spans="1:29" s="66" customFormat="1">
      <c r="A118" s="67"/>
      <c r="B118" s="67"/>
      <c r="C118" s="67"/>
      <c r="D118" s="67"/>
      <c r="E118" s="67"/>
      <c r="F118" s="67"/>
      <c r="G118" s="67"/>
      <c r="H118" s="67"/>
      <c r="I118" s="67"/>
      <c r="J118" s="69"/>
      <c r="K118" s="69"/>
      <c r="L118" s="69"/>
      <c r="M118" s="69"/>
      <c r="N118" s="67"/>
      <c r="O118" s="70"/>
      <c r="P118" s="69"/>
      <c r="Q118" s="14"/>
      <c r="R118" s="15"/>
      <c r="S118" s="16"/>
      <c r="T118" s="16"/>
      <c r="U118" s="17"/>
      <c r="V118" s="17"/>
      <c r="W118" s="65"/>
      <c r="X118" s="65"/>
      <c r="Z118" s="69"/>
      <c r="AA118" s="69"/>
      <c r="AB118" s="69"/>
      <c r="AC118" s="69"/>
    </row>
    <row r="119" spans="1:29" s="66" customFormat="1">
      <c r="A119" s="67"/>
      <c r="B119" s="67"/>
      <c r="C119" s="67"/>
      <c r="D119" s="67"/>
      <c r="E119" s="67"/>
      <c r="F119" s="67"/>
      <c r="G119" s="67"/>
      <c r="H119" s="67"/>
      <c r="I119" s="67"/>
      <c r="J119" s="69"/>
      <c r="K119" s="69"/>
      <c r="L119" s="69"/>
      <c r="M119" s="69"/>
      <c r="N119" s="67"/>
      <c r="O119" s="70"/>
      <c r="P119" s="69"/>
      <c r="Q119" s="14"/>
      <c r="R119" s="15"/>
      <c r="S119" s="16"/>
      <c r="T119" s="16"/>
      <c r="U119" s="17"/>
      <c r="V119" s="17"/>
      <c r="W119" s="65"/>
      <c r="X119" s="65"/>
      <c r="Z119" s="69"/>
      <c r="AA119" s="69"/>
      <c r="AB119" s="69"/>
      <c r="AC119" s="69"/>
    </row>
    <row r="120" spans="1:29" s="66" customFormat="1">
      <c r="A120" s="67"/>
      <c r="B120" s="67"/>
      <c r="C120" s="67"/>
      <c r="D120" s="67"/>
      <c r="E120" s="67"/>
      <c r="F120" s="67"/>
      <c r="G120" s="67"/>
      <c r="H120" s="67"/>
      <c r="I120" s="67"/>
      <c r="J120" s="69"/>
      <c r="K120" s="69"/>
      <c r="L120" s="69"/>
      <c r="M120" s="69"/>
      <c r="N120" s="67"/>
      <c r="O120" s="70"/>
      <c r="P120" s="69"/>
      <c r="Q120" s="14"/>
      <c r="R120" s="15"/>
      <c r="S120" s="16"/>
      <c r="T120" s="16"/>
      <c r="U120" s="17"/>
      <c r="V120" s="17"/>
      <c r="W120" s="65"/>
      <c r="X120" s="65"/>
      <c r="Z120" s="69"/>
      <c r="AA120" s="69"/>
      <c r="AB120" s="69"/>
      <c r="AC120" s="69"/>
    </row>
    <row r="121" spans="1:29" s="66" customFormat="1">
      <c r="A121" s="67"/>
      <c r="B121" s="67"/>
      <c r="C121" s="67"/>
      <c r="D121" s="67"/>
      <c r="E121" s="67"/>
      <c r="F121" s="67"/>
      <c r="G121" s="67"/>
      <c r="H121" s="67"/>
      <c r="I121" s="67"/>
      <c r="J121" s="69"/>
      <c r="K121" s="69"/>
      <c r="L121" s="69"/>
      <c r="M121" s="69"/>
      <c r="N121" s="67"/>
      <c r="O121" s="70"/>
      <c r="P121" s="69"/>
      <c r="Q121" s="14"/>
      <c r="R121" s="15"/>
      <c r="S121" s="16"/>
      <c r="T121" s="16"/>
      <c r="U121" s="17"/>
      <c r="V121" s="17"/>
      <c r="W121" s="65"/>
      <c r="X121" s="65"/>
      <c r="Z121" s="69"/>
      <c r="AA121" s="69"/>
      <c r="AB121" s="69"/>
      <c r="AC121" s="69"/>
    </row>
    <row r="122" spans="1:29" s="66" customFormat="1">
      <c r="A122" s="67"/>
      <c r="B122" s="67"/>
      <c r="C122" s="67"/>
      <c r="D122" s="67"/>
      <c r="E122" s="67"/>
      <c r="F122" s="67"/>
      <c r="G122" s="67"/>
      <c r="H122" s="67"/>
      <c r="I122" s="67"/>
      <c r="J122" s="69"/>
      <c r="K122" s="69"/>
      <c r="L122" s="69"/>
      <c r="M122" s="69"/>
      <c r="N122" s="67"/>
      <c r="O122" s="70"/>
      <c r="P122" s="69"/>
      <c r="Q122" s="14"/>
      <c r="R122" s="15"/>
      <c r="S122" s="16"/>
      <c r="T122" s="16"/>
      <c r="U122" s="17"/>
      <c r="V122" s="17"/>
      <c r="W122" s="65"/>
      <c r="X122" s="65"/>
      <c r="Z122" s="69"/>
      <c r="AA122" s="69"/>
      <c r="AB122" s="69"/>
      <c r="AC122" s="69"/>
    </row>
    <row r="123" spans="1:29">
      <c r="B123" s="67"/>
      <c r="C123" s="67"/>
      <c r="D123" s="67"/>
      <c r="E123" s="67"/>
      <c r="F123" s="67"/>
      <c r="G123" s="67"/>
      <c r="H123" s="67"/>
      <c r="I123" s="67"/>
      <c r="J123" s="69"/>
      <c r="K123" s="69"/>
      <c r="L123" s="69"/>
      <c r="M123" s="69"/>
      <c r="N123" s="67"/>
      <c r="O123" s="70"/>
      <c r="P123" s="69"/>
    </row>
    <row r="124" spans="1:29">
      <c r="B124" s="67"/>
      <c r="C124" s="67"/>
      <c r="D124" s="67"/>
      <c r="E124" s="67"/>
      <c r="F124" s="67"/>
      <c r="G124" s="67"/>
      <c r="H124" s="67"/>
      <c r="I124" s="67"/>
      <c r="J124" s="69"/>
      <c r="K124" s="69"/>
      <c r="L124" s="69"/>
      <c r="M124" s="69"/>
      <c r="N124" s="67"/>
      <c r="O124" s="70"/>
      <c r="P124" s="69"/>
    </row>
    <row r="125" spans="1:29">
      <c r="B125" s="67"/>
      <c r="C125" s="67"/>
      <c r="D125" s="67"/>
      <c r="E125" s="67"/>
      <c r="F125" s="67"/>
      <c r="G125" s="67"/>
      <c r="H125" s="67"/>
      <c r="I125" s="67"/>
      <c r="J125" s="69"/>
      <c r="K125" s="69"/>
      <c r="L125" s="69"/>
      <c r="M125" s="69"/>
      <c r="N125" s="67"/>
      <c r="O125" s="70"/>
      <c r="P125" s="69"/>
    </row>
    <row r="126" spans="1:29">
      <c r="B126" s="67"/>
      <c r="C126" s="67"/>
      <c r="D126" s="67"/>
      <c r="E126" s="67"/>
      <c r="F126" s="67"/>
      <c r="G126" s="67"/>
      <c r="H126" s="67"/>
      <c r="I126" s="67"/>
      <c r="J126" s="69"/>
      <c r="K126" s="69"/>
      <c r="L126" s="69"/>
      <c r="M126" s="69"/>
      <c r="N126" s="67"/>
      <c r="O126" s="70"/>
      <c r="P126" s="69"/>
    </row>
    <row r="127" spans="1:29">
      <c r="B127" s="67"/>
      <c r="C127" s="67"/>
      <c r="D127" s="67"/>
      <c r="E127" s="67"/>
      <c r="F127" s="67"/>
      <c r="G127" s="67"/>
      <c r="H127" s="67"/>
      <c r="I127" s="67"/>
      <c r="J127" s="69"/>
      <c r="K127" s="69"/>
      <c r="L127" s="69"/>
      <c r="M127" s="69"/>
      <c r="N127" s="67"/>
      <c r="O127" s="70"/>
      <c r="P127" s="69"/>
    </row>
    <row r="128" spans="1:29">
      <c r="B128" s="67"/>
      <c r="C128" s="67"/>
      <c r="D128" s="67"/>
      <c r="E128" s="67"/>
      <c r="F128" s="67"/>
      <c r="G128" s="67"/>
      <c r="H128" s="67"/>
      <c r="I128" s="67"/>
      <c r="J128" s="69"/>
      <c r="K128" s="69"/>
      <c r="L128" s="69"/>
      <c r="M128" s="69"/>
      <c r="N128" s="67"/>
      <c r="O128" s="70"/>
      <c r="P128" s="69"/>
    </row>
    <row r="129" spans="2:16">
      <c r="B129" s="67"/>
      <c r="C129" s="67"/>
      <c r="D129" s="67"/>
      <c r="E129" s="67"/>
      <c r="F129" s="67"/>
      <c r="G129" s="67"/>
      <c r="H129" s="67"/>
      <c r="I129" s="67"/>
      <c r="J129" s="69"/>
      <c r="K129" s="69"/>
      <c r="L129" s="69"/>
      <c r="M129" s="69"/>
      <c r="N129" s="67"/>
      <c r="O129" s="70"/>
      <c r="P129" s="69"/>
    </row>
    <row r="130" spans="2:16">
      <c r="B130" s="67"/>
      <c r="C130" s="67"/>
      <c r="D130" s="67"/>
      <c r="E130" s="67"/>
      <c r="F130" s="67"/>
      <c r="G130" s="67"/>
      <c r="H130" s="67"/>
      <c r="I130" s="67"/>
      <c r="J130" s="69"/>
      <c r="K130" s="69"/>
      <c r="L130" s="69"/>
      <c r="M130" s="69"/>
      <c r="N130" s="67"/>
      <c r="O130" s="70"/>
      <c r="P130" s="69"/>
    </row>
    <row r="131" spans="2:16">
      <c r="B131" s="67"/>
      <c r="C131" s="67"/>
      <c r="D131" s="67"/>
      <c r="E131" s="67"/>
      <c r="F131" s="67"/>
      <c r="G131" s="67"/>
      <c r="H131" s="67"/>
      <c r="I131" s="67"/>
      <c r="J131" s="69"/>
      <c r="K131" s="69"/>
      <c r="L131" s="69"/>
      <c r="M131" s="69"/>
      <c r="N131" s="67"/>
      <c r="O131" s="70"/>
      <c r="P131" s="69"/>
    </row>
    <row r="132" spans="2:16">
      <c r="B132" s="67"/>
      <c r="C132" s="67"/>
      <c r="D132" s="67"/>
      <c r="E132" s="67"/>
      <c r="F132" s="67"/>
      <c r="G132" s="67"/>
      <c r="H132" s="67"/>
      <c r="I132" s="67"/>
      <c r="J132" s="69"/>
      <c r="K132" s="69"/>
      <c r="L132" s="69"/>
      <c r="M132" s="69"/>
      <c r="N132" s="67"/>
      <c r="O132" s="70"/>
      <c r="P132" s="69"/>
    </row>
    <row r="133" spans="2:16">
      <c r="B133" s="67"/>
      <c r="C133" s="67"/>
      <c r="D133" s="67"/>
      <c r="E133" s="67"/>
      <c r="F133" s="67"/>
      <c r="G133" s="67"/>
      <c r="H133" s="67"/>
      <c r="I133" s="67"/>
      <c r="J133" s="69"/>
      <c r="K133" s="69"/>
      <c r="L133" s="69"/>
      <c r="M133" s="69"/>
      <c r="N133" s="67"/>
      <c r="O133" s="70"/>
      <c r="P133" s="69"/>
    </row>
    <row r="134" spans="2:16">
      <c r="B134" s="67"/>
      <c r="C134" s="67"/>
      <c r="D134" s="67"/>
      <c r="E134" s="67"/>
      <c r="F134" s="67"/>
      <c r="G134" s="67"/>
      <c r="H134" s="67"/>
      <c r="I134" s="67"/>
      <c r="J134" s="69"/>
      <c r="K134" s="69"/>
      <c r="L134" s="69"/>
      <c r="M134" s="69"/>
      <c r="N134" s="67"/>
      <c r="O134" s="70"/>
      <c r="P134" s="69"/>
    </row>
    <row r="135" spans="2:16">
      <c r="B135" s="67"/>
      <c r="C135" s="67"/>
      <c r="D135" s="67"/>
      <c r="E135" s="67"/>
      <c r="F135" s="67"/>
      <c r="G135" s="67"/>
      <c r="H135" s="67"/>
      <c r="I135" s="67"/>
      <c r="J135" s="69"/>
      <c r="K135" s="69"/>
      <c r="L135" s="69"/>
      <c r="M135" s="69"/>
      <c r="N135" s="67"/>
      <c r="O135" s="70"/>
      <c r="P135" s="69"/>
    </row>
    <row r="136" spans="2:16">
      <c r="B136" s="67"/>
      <c r="C136" s="67"/>
      <c r="D136" s="67"/>
      <c r="E136" s="67"/>
      <c r="F136" s="67"/>
      <c r="G136" s="67"/>
      <c r="H136" s="67"/>
      <c r="I136" s="67"/>
      <c r="J136" s="69"/>
      <c r="K136" s="69"/>
      <c r="L136" s="69"/>
      <c r="M136" s="69"/>
      <c r="N136" s="67"/>
      <c r="O136" s="70"/>
      <c r="P136" s="69"/>
    </row>
    <row r="137" spans="2:16">
      <c r="B137" s="67"/>
      <c r="C137" s="67"/>
      <c r="D137" s="67"/>
      <c r="E137" s="67"/>
      <c r="F137" s="67"/>
      <c r="G137" s="67"/>
      <c r="H137" s="67"/>
      <c r="I137" s="67"/>
      <c r="J137" s="69"/>
      <c r="K137" s="69"/>
      <c r="L137" s="69"/>
      <c r="M137" s="69"/>
      <c r="N137" s="67"/>
      <c r="O137" s="70"/>
      <c r="P137" s="69"/>
    </row>
    <row r="138" spans="2:16">
      <c r="B138" s="67"/>
      <c r="C138" s="67"/>
      <c r="D138" s="67"/>
      <c r="E138" s="67"/>
      <c r="F138" s="67"/>
      <c r="G138" s="67"/>
      <c r="H138" s="67"/>
      <c r="I138" s="67"/>
      <c r="J138" s="69"/>
      <c r="K138" s="69"/>
      <c r="L138" s="69"/>
      <c r="M138" s="69"/>
      <c r="N138" s="67"/>
      <c r="O138" s="70"/>
      <c r="P138" s="69"/>
    </row>
    <row r="139" spans="2:16">
      <c r="B139" s="67"/>
      <c r="C139" s="67"/>
      <c r="D139" s="67"/>
      <c r="E139" s="67"/>
      <c r="F139" s="67"/>
      <c r="G139" s="67"/>
      <c r="H139" s="67"/>
      <c r="I139" s="67"/>
      <c r="J139" s="69"/>
      <c r="K139" s="69"/>
      <c r="L139" s="69"/>
      <c r="M139" s="69"/>
      <c r="N139" s="67"/>
      <c r="O139" s="70"/>
      <c r="P139" s="69"/>
    </row>
    <row r="140" spans="2:16">
      <c r="B140" s="67"/>
      <c r="C140" s="67"/>
      <c r="D140" s="67"/>
      <c r="E140" s="67"/>
      <c r="F140" s="67"/>
      <c r="G140" s="67"/>
      <c r="H140" s="67"/>
      <c r="I140" s="67"/>
      <c r="J140" s="69"/>
      <c r="K140" s="69"/>
      <c r="L140" s="69"/>
      <c r="M140" s="69"/>
      <c r="N140" s="67"/>
      <c r="O140" s="70"/>
      <c r="P140" s="69"/>
    </row>
    <row r="141" spans="2:16">
      <c r="B141" s="67"/>
      <c r="C141" s="67"/>
      <c r="D141" s="67"/>
      <c r="E141" s="67"/>
      <c r="F141" s="67"/>
      <c r="G141" s="67"/>
      <c r="H141" s="67"/>
      <c r="I141" s="67"/>
      <c r="J141" s="69"/>
      <c r="K141" s="69"/>
      <c r="L141" s="69"/>
      <c r="M141" s="69"/>
      <c r="N141" s="67"/>
      <c r="O141" s="70"/>
      <c r="P141" s="69"/>
    </row>
    <row r="142" spans="2:16">
      <c r="B142" s="67"/>
      <c r="C142" s="67"/>
      <c r="D142" s="67"/>
      <c r="E142" s="67"/>
      <c r="F142" s="67"/>
      <c r="G142" s="67"/>
      <c r="H142" s="67"/>
      <c r="I142" s="67"/>
      <c r="J142" s="69"/>
      <c r="K142" s="69"/>
      <c r="L142" s="69"/>
      <c r="M142" s="69"/>
      <c r="N142" s="67"/>
      <c r="O142" s="70"/>
      <c r="P142" s="69"/>
    </row>
    <row r="143" spans="2:16">
      <c r="B143" s="67"/>
      <c r="C143" s="67"/>
      <c r="D143" s="67"/>
      <c r="E143" s="67"/>
      <c r="F143" s="67"/>
      <c r="G143" s="67"/>
      <c r="H143" s="67"/>
      <c r="I143" s="67"/>
      <c r="J143" s="69"/>
      <c r="K143" s="69"/>
      <c r="L143" s="69"/>
      <c r="M143" s="69"/>
      <c r="N143" s="67"/>
      <c r="O143" s="70"/>
      <c r="P143" s="69"/>
    </row>
    <row r="144" spans="2:16">
      <c r="B144" s="67"/>
      <c r="C144" s="67"/>
      <c r="D144" s="67"/>
      <c r="E144" s="67"/>
      <c r="F144" s="67"/>
      <c r="G144" s="67"/>
      <c r="H144" s="67"/>
      <c r="I144" s="67"/>
      <c r="J144" s="69"/>
      <c r="K144" s="69"/>
      <c r="L144" s="69"/>
      <c r="M144" s="69"/>
      <c r="N144" s="67"/>
      <c r="O144" s="70"/>
      <c r="P144" s="69"/>
    </row>
    <row r="145" spans="2:16">
      <c r="B145" s="67"/>
      <c r="C145" s="67"/>
      <c r="D145" s="67"/>
      <c r="E145" s="67"/>
      <c r="F145" s="67"/>
      <c r="G145" s="67"/>
      <c r="H145" s="67"/>
      <c r="I145" s="67"/>
      <c r="J145" s="69"/>
      <c r="K145" s="69"/>
      <c r="L145" s="69"/>
      <c r="M145" s="69"/>
      <c r="N145" s="67"/>
      <c r="O145" s="70"/>
      <c r="P145" s="69"/>
    </row>
    <row r="146" spans="2:16">
      <c r="B146" s="67"/>
      <c r="C146" s="67"/>
      <c r="D146" s="67"/>
      <c r="E146" s="67"/>
      <c r="F146" s="67"/>
      <c r="G146" s="67"/>
      <c r="H146" s="67"/>
      <c r="I146" s="67"/>
      <c r="J146" s="69"/>
      <c r="K146" s="69"/>
      <c r="L146" s="69"/>
      <c r="M146" s="69"/>
      <c r="N146" s="67"/>
      <c r="O146" s="70"/>
      <c r="P146" s="69"/>
    </row>
    <row r="147" spans="2:16">
      <c r="B147" s="67"/>
      <c r="C147" s="67"/>
      <c r="D147" s="67"/>
      <c r="E147" s="67"/>
      <c r="F147" s="67"/>
      <c r="G147" s="67"/>
      <c r="H147" s="67"/>
      <c r="I147" s="67"/>
      <c r="J147" s="69"/>
      <c r="K147" s="69"/>
      <c r="L147" s="69"/>
      <c r="M147" s="69"/>
      <c r="N147" s="67"/>
      <c r="O147" s="70"/>
      <c r="P147" s="69"/>
    </row>
    <row r="148" spans="2:16">
      <c r="B148" s="67"/>
      <c r="C148" s="67"/>
      <c r="D148" s="67"/>
      <c r="E148" s="67"/>
      <c r="F148" s="67"/>
      <c r="G148" s="67"/>
      <c r="H148" s="67"/>
      <c r="I148" s="67"/>
      <c r="J148" s="69"/>
      <c r="K148" s="69"/>
      <c r="L148" s="69"/>
      <c r="M148" s="69"/>
      <c r="N148" s="67"/>
      <c r="O148" s="70"/>
      <c r="P148" s="69"/>
    </row>
    <row r="149" spans="2:16">
      <c r="B149" s="67"/>
      <c r="C149" s="67"/>
      <c r="D149" s="67"/>
      <c r="E149" s="67"/>
      <c r="F149" s="67"/>
      <c r="G149" s="67"/>
      <c r="H149" s="67"/>
      <c r="I149" s="67"/>
      <c r="J149" s="69"/>
      <c r="K149" s="69"/>
      <c r="L149" s="69"/>
      <c r="M149" s="69"/>
      <c r="N149" s="67"/>
      <c r="O149" s="70"/>
      <c r="P149" s="69"/>
    </row>
    <row r="150" spans="2:16">
      <c r="B150" s="67"/>
      <c r="C150" s="67"/>
      <c r="D150" s="67"/>
      <c r="E150" s="67"/>
      <c r="F150" s="67"/>
      <c r="G150" s="67"/>
      <c r="H150" s="67"/>
      <c r="I150" s="67"/>
      <c r="J150" s="69"/>
      <c r="K150" s="69"/>
      <c r="L150" s="69"/>
      <c r="M150" s="69"/>
      <c r="N150" s="67"/>
      <c r="O150" s="70"/>
      <c r="P150" s="69"/>
    </row>
    <row r="151" spans="2:16">
      <c r="B151" s="67"/>
      <c r="C151" s="67"/>
      <c r="D151" s="67"/>
      <c r="E151" s="67"/>
      <c r="F151" s="67"/>
      <c r="G151" s="67"/>
      <c r="H151" s="67"/>
      <c r="I151" s="67"/>
      <c r="J151" s="69"/>
      <c r="K151" s="69"/>
      <c r="L151" s="69"/>
      <c r="M151" s="69"/>
      <c r="N151" s="67"/>
      <c r="O151" s="70"/>
      <c r="P151" s="69"/>
    </row>
    <row r="152" spans="2:16">
      <c r="B152" s="67"/>
      <c r="C152" s="67"/>
      <c r="D152" s="67"/>
      <c r="E152" s="67"/>
      <c r="F152" s="67"/>
      <c r="G152" s="67"/>
      <c r="H152" s="67"/>
      <c r="I152" s="67"/>
      <c r="J152" s="69"/>
      <c r="K152" s="69"/>
      <c r="L152" s="69"/>
      <c r="M152" s="69"/>
      <c r="N152" s="67"/>
      <c r="O152" s="70"/>
      <c r="P152" s="69"/>
    </row>
    <row r="153" spans="2:16">
      <c r="B153" s="67"/>
      <c r="C153" s="67"/>
      <c r="D153" s="67"/>
      <c r="E153" s="67"/>
      <c r="F153" s="67"/>
      <c r="G153" s="67"/>
      <c r="H153" s="67"/>
      <c r="I153" s="67"/>
      <c r="J153" s="69"/>
      <c r="K153" s="69"/>
      <c r="L153" s="69"/>
      <c r="M153" s="69"/>
      <c r="N153" s="67"/>
      <c r="O153" s="70"/>
      <c r="P153" s="69"/>
    </row>
    <row r="154" spans="2:16">
      <c r="B154" s="67"/>
      <c r="C154" s="67"/>
      <c r="D154" s="67"/>
      <c r="E154" s="67"/>
      <c r="F154" s="67"/>
      <c r="G154" s="67"/>
      <c r="H154" s="67"/>
      <c r="I154" s="67"/>
      <c r="J154" s="69"/>
      <c r="K154" s="69"/>
      <c r="L154" s="69"/>
      <c r="M154" s="69"/>
      <c r="N154" s="67"/>
      <c r="O154" s="70"/>
      <c r="P154" s="69"/>
    </row>
    <row r="155" spans="2:16">
      <c r="B155" s="67"/>
      <c r="C155" s="67"/>
      <c r="D155" s="67"/>
      <c r="E155" s="67"/>
      <c r="F155" s="67"/>
      <c r="G155" s="67"/>
      <c r="H155" s="67"/>
      <c r="I155" s="67"/>
      <c r="J155" s="69"/>
      <c r="K155" s="69"/>
      <c r="L155" s="69"/>
      <c r="M155" s="69"/>
      <c r="N155" s="67"/>
      <c r="O155" s="70"/>
      <c r="P155" s="69"/>
    </row>
    <row r="156" spans="2:16">
      <c r="B156" s="67"/>
      <c r="C156" s="67"/>
      <c r="D156" s="67"/>
      <c r="E156" s="67"/>
      <c r="F156" s="67"/>
      <c r="G156" s="67"/>
      <c r="H156" s="67"/>
      <c r="I156" s="67"/>
      <c r="J156" s="69"/>
      <c r="K156" s="69"/>
      <c r="L156" s="69"/>
      <c r="M156" s="69"/>
      <c r="N156" s="67"/>
      <c r="O156" s="70"/>
      <c r="P156" s="69"/>
    </row>
    <row r="157" spans="2:16">
      <c r="B157" s="67"/>
      <c r="C157" s="67"/>
      <c r="D157" s="67"/>
      <c r="E157" s="67"/>
      <c r="F157" s="67"/>
      <c r="G157" s="67"/>
      <c r="H157" s="67"/>
      <c r="I157" s="67"/>
      <c r="J157" s="69"/>
      <c r="K157" s="69"/>
      <c r="L157" s="69"/>
      <c r="M157" s="69"/>
      <c r="N157" s="67"/>
      <c r="O157" s="70"/>
      <c r="P157" s="69"/>
    </row>
    <row r="158" spans="2:16">
      <c r="B158" s="67"/>
      <c r="C158" s="67"/>
      <c r="D158" s="67"/>
      <c r="E158" s="67"/>
      <c r="F158" s="67"/>
      <c r="G158" s="67"/>
      <c r="H158" s="67"/>
      <c r="I158" s="67"/>
      <c r="J158" s="69"/>
      <c r="K158" s="69"/>
      <c r="L158" s="69"/>
      <c r="M158" s="69"/>
      <c r="N158" s="67"/>
      <c r="O158" s="70"/>
      <c r="P158" s="69"/>
    </row>
    <row r="159" spans="2:16">
      <c r="B159" s="67"/>
      <c r="C159" s="67"/>
      <c r="D159" s="67"/>
      <c r="E159" s="67"/>
      <c r="F159" s="67"/>
      <c r="G159" s="67"/>
      <c r="H159" s="67"/>
      <c r="I159" s="67"/>
      <c r="J159" s="69"/>
      <c r="K159" s="69"/>
      <c r="L159" s="69"/>
      <c r="M159" s="69"/>
      <c r="N159" s="67"/>
      <c r="O159" s="70"/>
      <c r="P159" s="69"/>
    </row>
    <row r="160" spans="2:16">
      <c r="B160" s="67"/>
      <c r="C160" s="67"/>
      <c r="D160" s="67"/>
      <c r="E160" s="67"/>
      <c r="F160" s="67"/>
      <c r="G160" s="67"/>
      <c r="H160" s="67"/>
      <c r="I160" s="67"/>
      <c r="J160" s="69"/>
      <c r="K160" s="69"/>
      <c r="L160" s="69"/>
      <c r="M160" s="69"/>
      <c r="N160" s="67"/>
      <c r="O160" s="70"/>
      <c r="P160" s="69"/>
    </row>
    <row r="161" spans="2:16">
      <c r="B161" s="67"/>
      <c r="C161" s="67"/>
      <c r="D161" s="67"/>
      <c r="E161" s="67"/>
      <c r="F161" s="67"/>
      <c r="G161" s="67"/>
      <c r="H161" s="67"/>
      <c r="I161" s="67"/>
      <c r="J161" s="69"/>
      <c r="K161" s="69"/>
      <c r="L161" s="69"/>
      <c r="M161" s="69"/>
      <c r="N161" s="67"/>
      <c r="O161" s="70"/>
      <c r="P161" s="69"/>
    </row>
    <row r="162" spans="2:16">
      <c r="B162" s="67"/>
      <c r="C162" s="67"/>
      <c r="D162" s="67"/>
      <c r="E162" s="67"/>
      <c r="F162" s="67"/>
      <c r="G162" s="67"/>
      <c r="H162" s="67"/>
      <c r="I162" s="67"/>
      <c r="J162" s="69"/>
      <c r="K162" s="69"/>
      <c r="L162" s="69"/>
      <c r="M162" s="69"/>
      <c r="N162" s="67"/>
      <c r="O162" s="70"/>
      <c r="P162" s="69"/>
    </row>
    <row r="163" spans="2:16">
      <c r="B163" s="67"/>
      <c r="C163" s="67"/>
      <c r="D163" s="67"/>
      <c r="E163" s="67"/>
      <c r="F163" s="67"/>
      <c r="G163" s="67"/>
      <c r="H163" s="67"/>
      <c r="I163" s="67"/>
      <c r="J163" s="69"/>
      <c r="K163" s="69"/>
      <c r="L163" s="69"/>
      <c r="M163" s="69"/>
      <c r="N163" s="67"/>
      <c r="O163" s="70"/>
      <c r="P163" s="69"/>
    </row>
    <row r="164" spans="2:16">
      <c r="B164" s="67"/>
      <c r="C164" s="67"/>
      <c r="D164" s="67"/>
      <c r="E164" s="67"/>
      <c r="F164" s="67"/>
      <c r="G164" s="67"/>
      <c r="H164" s="67"/>
      <c r="I164" s="67"/>
      <c r="J164" s="69"/>
      <c r="K164" s="69"/>
      <c r="L164" s="69"/>
      <c r="M164" s="69"/>
      <c r="N164" s="67"/>
      <c r="O164" s="70"/>
      <c r="P164" s="69"/>
    </row>
    <row r="165" spans="2:16">
      <c r="B165" s="67"/>
      <c r="C165" s="67"/>
      <c r="D165" s="67"/>
      <c r="E165" s="67"/>
      <c r="F165" s="67"/>
      <c r="G165" s="67"/>
      <c r="H165" s="67"/>
      <c r="I165" s="67"/>
      <c r="J165" s="69"/>
      <c r="K165" s="69"/>
      <c r="L165" s="69"/>
      <c r="M165" s="69"/>
      <c r="N165" s="67"/>
      <c r="O165" s="70"/>
      <c r="P165" s="69"/>
    </row>
    <row r="166" spans="2:16">
      <c r="B166" s="67"/>
      <c r="C166" s="67"/>
      <c r="D166" s="67"/>
      <c r="E166" s="67"/>
      <c r="F166" s="67"/>
      <c r="G166" s="67"/>
      <c r="H166" s="67"/>
      <c r="I166" s="67"/>
      <c r="J166" s="69"/>
      <c r="K166" s="69"/>
      <c r="L166" s="69"/>
      <c r="M166" s="69"/>
      <c r="N166" s="67"/>
      <c r="O166" s="70"/>
      <c r="P166" s="69"/>
    </row>
    <row r="167" spans="2:16">
      <c r="B167" s="67"/>
      <c r="C167" s="67"/>
      <c r="D167" s="67"/>
      <c r="E167" s="67"/>
      <c r="F167" s="67"/>
      <c r="G167" s="67"/>
      <c r="H167" s="67"/>
      <c r="I167" s="67"/>
      <c r="J167" s="69"/>
      <c r="K167" s="69"/>
      <c r="L167" s="69"/>
      <c r="M167" s="69"/>
      <c r="N167" s="67"/>
      <c r="O167" s="70"/>
      <c r="P167" s="69"/>
    </row>
    <row r="168" spans="2:16">
      <c r="B168" s="67"/>
      <c r="C168" s="67"/>
      <c r="D168" s="67"/>
      <c r="E168" s="67"/>
      <c r="F168" s="67"/>
      <c r="G168" s="67"/>
      <c r="H168" s="67"/>
      <c r="I168" s="67"/>
      <c r="J168" s="69"/>
      <c r="K168" s="69"/>
      <c r="L168" s="69"/>
      <c r="M168" s="69"/>
      <c r="N168" s="67"/>
      <c r="O168" s="70"/>
      <c r="P168" s="69"/>
    </row>
    <row r="169" spans="2:16">
      <c r="B169" s="67"/>
      <c r="C169" s="67"/>
      <c r="D169" s="67"/>
      <c r="E169" s="67"/>
      <c r="F169" s="67"/>
      <c r="G169" s="67"/>
      <c r="H169" s="67"/>
      <c r="I169" s="67"/>
      <c r="J169" s="69"/>
      <c r="K169" s="69"/>
      <c r="L169" s="69"/>
      <c r="M169" s="69"/>
      <c r="N169" s="67"/>
      <c r="O169" s="70"/>
      <c r="P169" s="69"/>
    </row>
    <row r="170" spans="2:16">
      <c r="B170" s="67"/>
      <c r="C170" s="67"/>
      <c r="D170" s="67"/>
      <c r="E170" s="67"/>
      <c r="F170" s="67"/>
      <c r="G170" s="67"/>
      <c r="H170" s="67"/>
      <c r="I170" s="67"/>
      <c r="J170" s="69"/>
      <c r="K170" s="69"/>
      <c r="L170" s="69"/>
      <c r="M170" s="69"/>
      <c r="N170" s="67"/>
      <c r="O170" s="70"/>
      <c r="P170" s="69"/>
    </row>
    <row r="171" spans="2:16">
      <c r="B171" s="67"/>
      <c r="C171" s="67"/>
      <c r="D171" s="67"/>
      <c r="E171" s="67"/>
      <c r="F171" s="67"/>
      <c r="G171" s="67"/>
      <c r="H171" s="67"/>
      <c r="I171" s="67"/>
      <c r="J171" s="69"/>
      <c r="K171" s="69"/>
      <c r="L171" s="69"/>
      <c r="M171" s="69"/>
      <c r="N171" s="67"/>
      <c r="O171" s="70"/>
      <c r="P171" s="69"/>
    </row>
    <row r="172" spans="2:16">
      <c r="B172" s="67"/>
      <c r="C172" s="67"/>
      <c r="D172" s="67"/>
      <c r="E172" s="67"/>
      <c r="F172" s="67"/>
      <c r="G172" s="67"/>
      <c r="H172" s="67"/>
      <c r="I172" s="67"/>
      <c r="J172" s="69"/>
      <c r="K172" s="69"/>
      <c r="L172" s="69"/>
      <c r="M172" s="69"/>
      <c r="N172" s="67"/>
      <c r="O172" s="70"/>
      <c r="P172" s="69"/>
    </row>
    <row r="173" spans="2:16">
      <c r="B173" s="67"/>
      <c r="C173" s="67"/>
      <c r="D173" s="67"/>
      <c r="E173" s="67"/>
      <c r="F173" s="67"/>
      <c r="G173" s="67"/>
      <c r="H173" s="67"/>
      <c r="I173" s="67"/>
      <c r="J173" s="69"/>
      <c r="K173" s="69"/>
      <c r="L173" s="69"/>
      <c r="M173" s="69"/>
      <c r="N173" s="67"/>
      <c r="O173" s="70"/>
      <c r="P173" s="69"/>
    </row>
    <row r="174" spans="2:16">
      <c r="B174" s="67"/>
      <c r="C174" s="67"/>
      <c r="D174" s="67"/>
      <c r="E174" s="67"/>
      <c r="F174" s="67"/>
      <c r="G174" s="67"/>
      <c r="H174" s="67"/>
      <c r="I174" s="67"/>
      <c r="J174" s="69"/>
      <c r="K174" s="69"/>
      <c r="L174" s="69"/>
      <c r="M174" s="69"/>
      <c r="N174" s="67"/>
      <c r="O174" s="70"/>
      <c r="P174" s="69"/>
    </row>
    <row r="175" spans="2:16">
      <c r="B175" s="67"/>
      <c r="C175" s="67"/>
      <c r="D175" s="67"/>
      <c r="E175" s="67"/>
      <c r="F175" s="67"/>
      <c r="G175" s="67"/>
      <c r="H175" s="67"/>
      <c r="I175" s="67"/>
      <c r="J175" s="69"/>
      <c r="K175" s="69"/>
      <c r="L175" s="69"/>
      <c r="M175" s="69"/>
      <c r="N175" s="67"/>
      <c r="O175" s="70"/>
      <c r="P175" s="69"/>
    </row>
    <row r="176" spans="2:16">
      <c r="B176" s="67"/>
      <c r="C176" s="67"/>
      <c r="D176" s="67"/>
      <c r="E176" s="67"/>
      <c r="F176" s="67"/>
      <c r="G176" s="67"/>
      <c r="H176" s="67"/>
      <c r="I176" s="67"/>
      <c r="J176" s="69"/>
      <c r="K176" s="69"/>
      <c r="L176" s="69"/>
      <c r="M176" s="69"/>
      <c r="N176" s="67"/>
      <c r="O176" s="70"/>
      <c r="P176" s="69"/>
    </row>
    <row r="177" spans="2:16">
      <c r="B177" s="67"/>
      <c r="C177" s="67"/>
      <c r="D177" s="67"/>
      <c r="E177" s="67"/>
      <c r="F177" s="67"/>
      <c r="G177" s="67"/>
      <c r="H177" s="67"/>
      <c r="I177" s="67"/>
      <c r="J177" s="69"/>
      <c r="K177" s="69"/>
      <c r="L177" s="69"/>
      <c r="M177" s="69"/>
      <c r="N177" s="67"/>
      <c r="O177" s="70"/>
      <c r="P177" s="69"/>
    </row>
    <row r="178" spans="2:16">
      <c r="B178" s="67"/>
      <c r="C178" s="67"/>
      <c r="D178" s="67"/>
      <c r="E178" s="67"/>
      <c r="F178" s="67"/>
      <c r="G178" s="67"/>
      <c r="H178" s="67"/>
      <c r="I178" s="67"/>
      <c r="J178" s="69"/>
      <c r="K178" s="69"/>
      <c r="L178" s="69"/>
      <c r="M178" s="69"/>
      <c r="N178" s="67"/>
      <c r="O178" s="70"/>
      <c r="P178" s="69"/>
    </row>
    <row r="179" spans="2:16">
      <c r="B179" s="67"/>
      <c r="C179" s="67"/>
      <c r="D179" s="67"/>
      <c r="E179" s="67"/>
      <c r="F179" s="67"/>
      <c r="G179" s="67"/>
      <c r="H179" s="67"/>
      <c r="I179" s="67"/>
      <c r="J179" s="69"/>
      <c r="K179" s="69"/>
      <c r="L179" s="69"/>
      <c r="M179" s="69"/>
      <c r="N179" s="67"/>
      <c r="O179" s="70"/>
      <c r="P179" s="69"/>
    </row>
    <row r="180" spans="2:16">
      <c r="B180" s="67"/>
      <c r="C180" s="67"/>
      <c r="D180" s="67"/>
      <c r="E180" s="67"/>
      <c r="F180" s="67"/>
      <c r="G180" s="67"/>
      <c r="H180" s="67"/>
      <c r="I180" s="67"/>
      <c r="J180" s="69"/>
      <c r="K180" s="69"/>
      <c r="L180" s="69"/>
      <c r="M180" s="69"/>
      <c r="N180" s="67"/>
      <c r="O180" s="70"/>
      <c r="P180" s="69"/>
    </row>
    <row r="181" spans="2:16">
      <c r="B181" s="67"/>
      <c r="C181" s="67"/>
      <c r="D181" s="67"/>
      <c r="E181" s="67"/>
      <c r="F181" s="67"/>
      <c r="G181" s="67"/>
      <c r="H181" s="67"/>
      <c r="I181" s="67"/>
      <c r="J181" s="69"/>
      <c r="K181" s="69"/>
      <c r="L181" s="69"/>
      <c r="M181" s="69"/>
      <c r="N181" s="67"/>
      <c r="O181" s="70"/>
      <c r="P181" s="69"/>
    </row>
    <row r="182" spans="2:16">
      <c r="B182" s="67"/>
      <c r="C182" s="67"/>
      <c r="D182" s="67"/>
      <c r="E182" s="67"/>
      <c r="F182" s="67"/>
      <c r="G182" s="67"/>
      <c r="H182" s="67"/>
      <c r="I182" s="67"/>
      <c r="J182" s="69"/>
      <c r="K182" s="69"/>
      <c r="L182" s="69"/>
      <c r="M182" s="69"/>
      <c r="N182" s="67"/>
      <c r="O182" s="70"/>
      <c r="P182" s="69"/>
    </row>
    <row r="183" spans="2:16">
      <c r="B183" s="67"/>
      <c r="C183" s="67"/>
      <c r="D183" s="67"/>
      <c r="E183" s="67"/>
      <c r="F183" s="67"/>
      <c r="G183" s="67"/>
      <c r="H183" s="67"/>
      <c r="I183" s="67"/>
      <c r="J183" s="69"/>
      <c r="K183" s="69"/>
      <c r="L183" s="69"/>
      <c r="M183" s="69"/>
      <c r="N183" s="67"/>
      <c r="O183" s="70"/>
      <c r="P183" s="69"/>
    </row>
    <row r="184" spans="2:16">
      <c r="B184" s="67"/>
      <c r="C184" s="67"/>
      <c r="D184" s="67"/>
      <c r="E184" s="67"/>
      <c r="F184" s="67"/>
      <c r="G184" s="67"/>
      <c r="H184" s="67"/>
      <c r="I184" s="67"/>
      <c r="J184" s="69"/>
      <c r="K184" s="69"/>
      <c r="L184" s="69"/>
      <c r="M184" s="69"/>
      <c r="N184" s="67"/>
      <c r="O184" s="70"/>
      <c r="P184" s="69"/>
    </row>
    <row r="185" spans="2:16">
      <c r="B185" s="67"/>
      <c r="C185" s="67"/>
      <c r="D185" s="67"/>
      <c r="E185" s="67"/>
      <c r="F185" s="67"/>
      <c r="G185" s="67"/>
      <c r="H185" s="67"/>
      <c r="I185" s="67"/>
      <c r="J185" s="69"/>
      <c r="K185" s="69"/>
      <c r="L185" s="69"/>
      <c r="M185" s="69"/>
      <c r="N185" s="67"/>
      <c r="O185" s="70"/>
      <c r="P185" s="69"/>
    </row>
    <row r="186" spans="2:16">
      <c r="I186" s="67"/>
      <c r="J186" s="69"/>
      <c r="K186" s="69"/>
      <c r="L186" s="69"/>
      <c r="M186" s="69"/>
      <c r="N186" s="67"/>
      <c r="O186" s="70"/>
      <c r="P186" s="69"/>
    </row>
    <row r="187" spans="2:16">
      <c r="I187" s="67"/>
      <c r="J187" s="69"/>
      <c r="K187" s="69"/>
      <c r="L187" s="69"/>
      <c r="M187" s="69"/>
      <c r="N187" s="67"/>
      <c r="O187" s="70"/>
      <c r="P187" s="69"/>
    </row>
    <row r="188" spans="2:16">
      <c r="I188" s="67"/>
      <c r="J188" s="69"/>
      <c r="K188" s="69"/>
      <c r="L188" s="69"/>
      <c r="M188" s="69"/>
      <c r="N188" s="67"/>
      <c r="O188" s="70"/>
      <c r="P188" s="69"/>
    </row>
    <row r="189" spans="2:16">
      <c r="I189" s="67"/>
      <c r="J189" s="69"/>
      <c r="K189" s="69"/>
      <c r="L189" s="69"/>
      <c r="M189" s="69"/>
      <c r="N189" s="67"/>
      <c r="O189" s="70"/>
      <c r="P189" s="69"/>
    </row>
    <row r="190" spans="2:16">
      <c r="I190" s="67"/>
      <c r="J190" s="69"/>
      <c r="K190" s="69"/>
      <c r="L190" s="69"/>
      <c r="M190" s="69"/>
      <c r="N190" s="67"/>
      <c r="O190" s="70"/>
      <c r="P190" s="69"/>
    </row>
    <row r="191" spans="2:16">
      <c r="I191" s="67"/>
      <c r="J191" s="69"/>
      <c r="K191" s="69"/>
      <c r="L191" s="69"/>
      <c r="M191" s="69"/>
      <c r="N191" s="67"/>
      <c r="O191" s="70"/>
      <c r="P191" s="69"/>
    </row>
    <row r="192" spans="2:16">
      <c r="I192" s="67"/>
      <c r="J192" s="69"/>
      <c r="K192" s="69"/>
      <c r="L192" s="69"/>
      <c r="M192" s="69"/>
      <c r="N192" s="67"/>
      <c r="O192" s="70"/>
      <c r="P192" s="69"/>
    </row>
    <row r="193" spans="9:16">
      <c r="I193" s="67"/>
      <c r="J193" s="69"/>
      <c r="K193" s="69"/>
      <c r="L193" s="69"/>
      <c r="M193" s="69"/>
      <c r="N193" s="67"/>
      <c r="O193" s="70"/>
      <c r="P193" s="69"/>
    </row>
    <row r="194" spans="9:16">
      <c r="I194" s="67"/>
      <c r="J194" s="69"/>
      <c r="K194" s="69"/>
      <c r="L194" s="69"/>
      <c r="M194" s="69"/>
      <c r="N194" s="67"/>
      <c r="O194" s="70"/>
      <c r="P194" s="69"/>
    </row>
    <row r="195" spans="9:16">
      <c r="I195" s="67"/>
      <c r="J195" s="69"/>
      <c r="K195" s="69"/>
      <c r="L195" s="69"/>
      <c r="M195" s="69"/>
      <c r="N195" s="67"/>
      <c r="O195" s="70"/>
      <c r="P195" s="69"/>
    </row>
    <row r="196" spans="9:16">
      <c r="I196" s="67"/>
      <c r="J196" s="69"/>
      <c r="K196" s="69"/>
      <c r="L196" s="69"/>
      <c r="M196" s="69"/>
      <c r="N196" s="67"/>
      <c r="O196" s="70"/>
      <c r="P196" s="69"/>
    </row>
    <row r="197" spans="9:16">
      <c r="I197" s="67"/>
      <c r="J197" s="69"/>
      <c r="K197" s="69"/>
      <c r="L197" s="69"/>
      <c r="M197" s="69"/>
      <c r="N197" s="67"/>
      <c r="O197" s="70"/>
      <c r="P197" s="69"/>
    </row>
    <row r="198" spans="9:16">
      <c r="I198" s="67"/>
      <c r="J198" s="69"/>
      <c r="K198" s="69"/>
      <c r="L198" s="69"/>
      <c r="M198" s="69"/>
      <c r="N198" s="67"/>
      <c r="O198" s="70"/>
      <c r="P198" s="69"/>
    </row>
    <row r="199" spans="9:16">
      <c r="I199" s="67"/>
      <c r="J199" s="69"/>
      <c r="K199" s="69"/>
      <c r="L199" s="69"/>
      <c r="M199" s="69"/>
      <c r="N199" s="67"/>
      <c r="O199" s="70"/>
      <c r="P199" s="69"/>
    </row>
    <row r="200" spans="9:16">
      <c r="I200" s="67"/>
      <c r="J200" s="69"/>
      <c r="K200" s="69"/>
      <c r="L200" s="69"/>
      <c r="M200" s="69"/>
      <c r="N200" s="67"/>
      <c r="O200" s="70"/>
      <c r="P200" s="69"/>
    </row>
    <row r="201" spans="9:16">
      <c r="I201" s="67"/>
      <c r="J201" s="69"/>
      <c r="K201" s="69"/>
      <c r="L201" s="69"/>
      <c r="M201" s="69"/>
      <c r="N201" s="67"/>
      <c r="O201" s="70"/>
      <c r="P201" s="69"/>
    </row>
    <row r="202" spans="9:16">
      <c r="I202" s="67"/>
      <c r="J202" s="69"/>
      <c r="K202" s="69"/>
      <c r="L202" s="69"/>
      <c r="M202" s="69"/>
      <c r="N202" s="67"/>
      <c r="O202" s="70"/>
      <c r="P202" s="69"/>
    </row>
    <row r="203" spans="9:16">
      <c r="I203" s="67"/>
      <c r="J203" s="69"/>
      <c r="K203" s="69"/>
      <c r="L203" s="69"/>
      <c r="M203" s="69"/>
      <c r="N203" s="67"/>
      <c r="O203" s="70"/>
      <c r="P203" s="69"/>
    </row>
    <row r="204" spans="9:16">
      <c r="I204" s="67"/>
      <c r="J204" s="69"/>
      <c r="K204" s="69"/>
      <c r="L204" s="69"/>
      <c r="M204" s="69"/>
      <c r="N204" s="67"/>
      <c r="O204" s="70"/>
      <c r="P204" s="69"/>
    </row>
    <row r="205" spans="9:16">
      <c r="I205" s="67"/>
      <c r="J205" s="69"/>
      <c r="K205" s="69"/>
      <c r="L205" s="69"/>
      <c r="M205" s="69"/>
      <c r="N205" s="67"/>
      <c r="O205" s="70"/>
      <c r="P205" s="69"/>
    </row>
    <row r="206" spans="9:16">
      <c r="I206" s="67"/>
      <c r="J206" s="69"/>
      <c r="K206" s="69"/>
      <c r="L206" s="69"/>
      <c r="M206" s="69"/>
      <c r="N206" s="67"/>
      <c r="O206" s="70"/>
      <c r="P206" s="69"/>
    </row>
    <row r="207" spans="9:16">
      <c r="I207" s="67"/>
      <c r="J207" s="69"/>
      <c r="K207" s="69"/>
      <c r="L207" s="69"/>
      <c r="M207" s="69"/>
      <c r="N207" s="67"/>
      <c r="O207" s="70"/>
      <c r="P207" s="69"/>
    </row>
    <row r="208" spans="9:16">
      <c r="I208" s="67"/>
      <c r="J208" s="69"/>
      <c r="K208" s="69"/>
      <c r="L208" s="69"/>
      <c r="M208" s="69"/>
      <c r="N208" s="67"/>
      <c r="O208" s="70"/>
      <c r="P208" s="69"/>
    </row>
    <row r="209" spans="9:16">
      <c r="I209" s="67"/>
      <c r="J209" s="69"/>
      <c r="K209" s="69"/>
      <c r="L209" s="69"/>
      <c r="M209" s="69"/>
      <c r="N209" s="67"/>
      <c r="O209" s="70"/>
      <c r="P209" s="69"/>
    </row>
    <row r="210" spans="9:16">
      <c r="I210" s="67"/>
      <c r="J210" s="69"/>
      <c r="K210" s="69"/>
      <c r="L210" s="69"/>
      <c r="M210" s="69"/>
      <c r="N210" s="67"/>
      <c r="O210" s="70"/>
      <c r="P210" s="69"/>
    </row>
    <row r="211" spans="9:16">
      <c r="I211" s="67"/>
      <c r="J211" s="69"/>
      <c r="K211" s="69"/>
      <c r="L211" s="69"/>
      <c r="M211" s="69"/>
      <c r="N211" s="67"/>
      <c r="O211" s="70"/>
      <c r="P211" s="69"/>
    </row>
    <row r="212" spans="9:16">
      <c r="I212" s="67"/>
      <c r="J212" s="69"/>
      <c r="K212" s="69"/>
      <c r="L212" s="69"/>
      <c r="M212" s="69"/>
      <c r="N212" s="67"/>
      <c r="O212" s="70"/>
      <c r="P212" s="69"/>
    </row>
    <row r="213" spans="9:16">
      <c r="I213" s="67"/>
      <c r="J213" s="69"/>
      <c r="K213" s="69"/>
      <c r="L213" s="69"/>
      <c r="M213" s="69"/>
      <c r="N213" s="67"/>
      <c r="O213" s="70"/>
      <c r="P213" s="69"/>
    </row>
    <row r="214" spans="9:16">
      <c r="I214" s="67"/>
      <c r="J214" s="69"/>
      <c r="K214" s="69"/>
      <c r="L214" s="69"/>
      <c r="M214" s="69"/>
      <c r="N214" s="67"/>
      <c r="O214" s="70"/>
      <c r="P214" s="69"/>
    </row>
    <row r="215" spans="9:16">
      <c r="I215" s="67"/>
      <c r="J215" s="69"/>
      <c r="K215" s="69"/>
      <c r="L215" s="69"/>
      <c r="M215" s="69"/>
      <c r="N215" s="67"/>
      <c r="O215" s="70"/>
      <c r="P215" s="69"/>
    </row>
    <row r="216" spans="9:16">
      <c r="I216" s="67"/>
      <c r="J216" s="69"/>
      <c r="K216" s="69"/>
      <c r="L216" s="69"/>
      <c r="M216" s="69"/>
      <c r="N216" s="67"/>
      <c r="O216" s="70"/>
      <c r="P216" s="69"/>
    </row>
    <row r="217" spans="9:16">
      <c r="I217" s="67"/>
      <c r="J217" s="69"/>
      <c r="K217" s="69"/>
      <c r="L217" s="69"/>
      <c r="M217" s="69"/>
      <c r="N217" s="67"/>
      <c r="O217" s="70"/>
      <c r="P217" s="69"/>
    </row>
    <row r="218" spans="9:16">
      <c r="I218" s="67"/>
      <c r="J218" s="69"/>
      <c r="K218" s="69"/>
      <c r="L218" s="69"/>
      <c r="M218" s="69"/>
      <c r="N218" s="67"/>
      <c r="O218" s="70"/>
      <c r="P218" s="69"/>
    </row>
    <row r="219" spans="9:16">
      <c r="I219" s="67"/>
      <c r="J219" s="69"/>
      <c r="K219" s="69"/>
      <c r="L219" s="69"/>
      <c r="M219" s="69"/>
      <c r="N219" s="67"/>
      <c r="O219" s="70"/>
      <c r="P219" s="69"/>
    </row>
    <row r="220" spans="9:16">
      <c r="I220" s="67"/>
      <c r="J220" s="69"/>
      <c r="K220" s="69"/>
      <c r="L220" s="69"/>
      <c r="M220" s="69"/>
      <c r="N220" s="67"/>
      <c r="O220" s="70"/>
      <c r="P220" s="69"/>
    </row>
    <row r="221" spans="9:16">
      <c r="I221" s="67"/>
      <c r="J221" s="69"/>
      <c r="K221" s="69"/>
      <c r="L221" s="69"/>
      <c r="M221" s="69"/>
      <c r="N221" s="67"/>
      <c r="O221" s="70"/>
      <c r="P221" s="69"/>
    </row>
    <row r="222" spans="9:16">
      <c r="I222" s="67"/>
      <c r="J222" s="69"/>
      <c r="K222" s="69"/>
      <c r="L222" s="69"/>
      <c r="M222" s="69"/>
      <c r="N222" s="67"/>
      <c r="O222" s="70"/>
      <c r="P222" s="69"/>
    </row>
    <row r="223" spans="9:16">
      <c r="I223" s="67"/>
      <c r="J223" s="69"/>
      <c r="K223" s="69"/>
      <c r="L223" s="69"/>
      <c r="M223" s="69"/>
      <c r="N223" s="67"/>
      <c r="O223" s="70"/>
      <c r="P223" s="69"/>
    </row>
    <row r="224" spans="9:16">
      <c r="I224" s="67"/>
      <c r="J224" s="69"/>
      <c r="K224" s="69"/>
      <c r="L224" s="69"/>
      <c r="M224" s="69"/>
      <c r="N224" s="67"/>
      <c r="O224" s="70"/>
      <c r="P224" s="69"/>
    </row>
    <row r="225" spans="9:16">
      <c r="I225" s="67"/>
      <c r="J225" s="69"/>
      <c r="K225" s="69"/>
      <c r="L225" s="69"/>
      <c r="M225" s="69"/>
      <c r="N225" s="67"/>
      <c r="O225" s="70"/>
      <c r="P225" s="69"/>
    </row>
    <row r="226" spans="9:16">
      <c r="I226" s="67"/>
      <c r="J226" s="69"/>
      <c r="K226" s="69"/>
      <c r="L226" s="69"/>
      <c r="M226" s="69"/>
      <c r="N226" s="67"/>
      <c r="O226" s="70"/>
      <c r="P226" s="69"/>
    </row>
    <row r="227" spans="9:16">
      <c r="I227" s="67"/>
      <c r="J227" s="69"/>
      <c r="K227" s="69"/>
      <c r="L227" s="69"/>
      <c r="M227" s="69"/>
      <c r="N227" s="67"/>
      <c r="O227" s="70"/>
      <c r="P227" s="69"/>
    </row>
    <row r="228" spans="9:16">
      <c r="I228" s="67"/>
      <c r="J228" s="69"/>
      <c r="K228" s="69"/>
      <c r="L228" s="69"/>
      <c r="M228" s="69"/>
      <c r="N228" s="67"/>
      <c r="O228" s="70"/>
      <c r="P228" s="69"/>
    </row>
    <row r="229" spans="9:16">
      <c r="I229" s="67"/>
      <c r="J229" s="69"/>
      <c r="K229" s="69"/>
      <c r="L229" s="69"/>
      <c r="M229" s="69"/>
      <c r="N229" s="67"/>
      <c r="O229" s="70"/>
      <c r="P229" s="69"/>
    </row>
    <row r="230" spans="9:16">
      <c r="I230" s="67"/>
      <c r="J230" s="69"/>
      <c r="K230" s="69"/>
      <c r="L230" s="69"/>
      <c r="M230" s="69"/>
      <c r="N230" s="67"/>
      <c r="O230" s="70"/>
      <c r="P230" s="69"/>
    </row>
    <row r="231" spans="9:16">
      <c r="I231" s="67"/>
      <c r="J231" s="69"/>
      <c r="K231" s="69"/>
      <c r="L231" s="69"/>
      <c r="M231" s="69"/>
      <c r="N231" s="67"/>
      <c r="O231" s="70"/>
      <c r="P231" s="69"/>
    </row>
    <row r="232" spans="9:16">
      <c r="I232" s="67"/>
      <c r="J232" s="69"/>
      <c r="K232" s="69"/>
      <c r="L232" s="69"/>
      <c r="M232" s="69"/>
      <c r="N232" s="67"/>
      <c r="O232" s="70"/>
      <c r="P232" s="69"/>
    </row>
    <row r="233" spans="9:16">
      <c r="I233" s="67"/>
      <c r="J233" s="69"/>
      <c r="K233" s="69"/>
      <c r="L233" s="69"/>
      <c r="M233" s="69"/>
      <c r="N233" s="67"/>
      <c r="O233" s="70"/>
      <c r="P233" s="69"/>
    </row>
  </sheetData>
  <mergeCells count="44">
    <mergeCell ref="A54:H54"/>
    <mergeCell ref="I49:I53"/>
    <mergeCell ref="A49:A53"/>
    <mergeCell ref="C52:D52"/>
    <mergeCell ref="C53:D53"/>
    <mergeCell ref="C51:D51"/>
    <mergeCell ref="C49:D49"/>
    <mergeCell ref="C50:D50"/>
    <mergeCell ref="I54:P54"/>
    <mergeCell ref="K53:L53"/>
    <mergeCell ref="K52:L52"/>
    <mergeCell ref="K50:L50"/>
    <mergeCell ref="K51:L51"/>
    <mergeCell ref="A1:P1"/>
    <mergeCell ref="A3:B3"/>
    <mergeCell ref="K48:L48"/>
    <mergeCell ref="F44:H44"/>
    <mergeCell ref="F45:H45"/>
    <mergeCell ref="F48:H48"/>
    <mergeCell ref="F46:H46"/>
    <mergeCell ref="F47:H47"/>
    <mergeCell ref="K46:L46"/>
    <mergeCell ref="K47:L47"/>
    <mergeCell ref="A44:A48"/>
    <mergeCell ref="C44:E44"/>
    <mergeCell ref="C45:E45"/>
    <mergeCell ref="C46:E46"/>
    <mergeCell ref="C47:E47"/>
    <mergeCell ref="C48:E48"/>
    <mergeCell ref="Q49:R49"/>
    <mergeCell ref="Q48:R48"/>
    <mergeCell ref="I43:P43"/>
    <mergeCell ref="K44:M44"/>
    <mergeCell ref="N44:P44"/>
    <mergeCell ref="K45:L45"/>
    <mergeCell ref="I44:I48"/>
    <mergeCell ref="K49:L49"/>
    <mergeCell ref="U3:V3"/>
    <mergeCell ref="Q3:T3"/>
    <mergeCell ref="C4:D4"/>
    <mergeCell ref="K4:L4"/>
    <mergeCell ref="D3:H3"/>
    <mergeCell ref="I3:J3"/>
    <mergeCell ref="K3:P3"/>
  </mergeCells>
  <phoneticPr fontId="2" type="noConversion"/>
  <printOptions horizontalCentered="1"/>
  <pageMargins left="0" right="0" top="0.19685039370078741" bottom="0.19685039370078741" header="0.23622047244094491" footer="0.23622047244094491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5"/>
  <dimension ref="A1:AC233"/>
  <sheetViews>
    <sheetView showGridLines="0" showZeros="0" workbookViewId="0">
      <selection activeCell="BT26" sqref="BT26"/>
    </sheetView>
  </sheetViews>
  <sheetFormatPr defaultRowHeight="20.25"/>
  <cols>
    <col min="1" max="1" width="6.7109375" style="74" customWidth="1"/>
    <col min="2" max="2" width="13.7109375" style="74" customWidth="1"/>
    <col min="3" max="3" width="2.7109375" style="74" customWidth="1"/>
    <col min="4" max="4" width="5.28515625" style="74" customWidth="1"/>
    <col min="5" max="6" width="7.7109375" style="74" customWidth="1"/>
    <col min="7" max="7" width="10.7109375" style="74" hidden="1" customWidth="1"/>
    <col min="8" max="8" width="7.7109375" style="74" customWidth="1"/>
    <col min="9" max="9" width="6.7109375" style="74" customWidth="1"/>
    <col min="10" max="10" width="14.140625" style="16" customWidth="1"/>
    <col min="11" max="11" width="2.7109375" style="16" customWidth="1"/>
    <col min="12" max="12" width="6.7109375" style="16" customWidth="1"/>
    <col min="13" max="13" width="6.28515625" style="16" customWidth="1"/>
    <col min="14" max="14" width="6.28515625" style="74" customWidth="1"/>
    <col min="15" max="15" width="12.28515625" style="75" hidden="1" customWidth="1"/>
    <col min="16" max="16" width="8.5703125" style="16" customWidth="1"/>
    <col min="17" max="17" width="8.5703125" style="14" bestFit="1" customWidth="1"/>
    <col min="18" max="18" width="8.5703125" style="15" bestFit="1" customWidth="1"/>
    <col min="19" max="19" width="4.7109375" style="16" bestFit="1" customWidth="1"/>
    <col min="20" max="20" width="5.140625" style="16" bestFit="1" customWidth="1"/>
    <col min="21" max="22" width="5.7109375" style="17" bestFit="1" customWidth="1"/>
    <col min="23" max="23" width="9.140625" style="18"/>
    <col min="24" max="24" width="0" style="18" hidden="1" customWidth="1"/>
    <col min="25" max="25" width="0" style="17" hidden="1" customWidth="1"/>
    <col min="26" max="29" width="5.7109375" style="16" hidden="1" customWidth="1"/>
    <col min="30" max="71" width="0" style="17" hidden="1" customWidth="1"/>
    <col min="72" max="16384" width="9.140625" style="17"/>
  </cols>
  <sheetData>
    <row r="1" spans="1:29" ht="33.75">
      <c r="A1" s="303" t="s">
        <v>156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</row>
    <row r="2" spans="1:29" ht="31.5">
      <c r="A2" s="118"/>
      <c r="B2" s="118"/>
      <c r="C2" s="118"/>
      <c r="D2" s="118"/>
      <c r="E2" s="118"/>
      <c r="F2" s="118"/>
      <c r="G2" s="118"/>
      <c r="H2" s="118"/>
      <c r="J2" s="142"/>
      <c r="K2" s="142"/>
      <c r="L2" s="142"/>
      <c r="M2" s="142"/>
      <c r="N2" s="142"/>
      <c r="O2" s="142"/>
      <c r="P2" s="142"/>
    </row>
    <row r="3" spans="1:29" ht="23.25" thickBot="1">
      <c r="A3" s="304" t="s">
        <v>157</v>
      </c>
      <c r="B3" s="304"/>
      <c r="C3" s="208"/>
      <c r="D3" s="279">
        <f>'[1]1'!D3+4</f>
        <v>41586</v>
      </c>
      <c r="E3" s="279"/>
      <c r="F3" s="279"/>
      <c r="G3" s="279"/>
      <c r="H3" s="279"/>
      <c r="I3" s="280" t="str">
        <f>IF(WEEKDAY(D3,2)=7,"星期日",IF(WEEKDAY(D3,2)=6,"星期六",IF(WEEKDAY(D3,2)=5,"星期五",IF(WEEKDAY(D3,2)=4,"星期四",IF(WEEKDAY(D3,2)=3,"星期三",IF(WEEKDAY(D3,2)=2,"星期二",IF(WEEKDAY(D3,2)=1,"星期一",WEEKDAY(D3,2))))))))</f>
        <v>星期五</v>
      </c>
      <c r="J3" s="280"/>
      <c r="K3" s="281">
        <f>D3-40908-366</f>
        <v>312</v>
      </c>
      <c r="L3" s="281"/>
      <c r="M3" s="281"/>
      <c r="N3" s="281"/>
      <c r="O3" s="281"/>
      <c r="P3" s="281"/>
      <c r="Q3" s="273" t="s">
        <v>63</v>
      </c>
      <c r="R3" s="273"/>
      <c r="S3" s="273"/>
      <c r="T3" s="273"/>
      <c r="U3" s="272" t="s">
        <v>59</v>
      </c>
      <c r="V3" s="272"/>
    </row>
    <row r="4" spans="1:29" s="31" customFormat="1" ht="13.5" thickTop="1" thickBot="1">
      <c r="A4" s="19" t="s">
        <v>64</v>
      </c>
      <c r="B4" s="20" t="s">
        <v>158</v>
      </c>
      <c r="C4" s="277" t="s">
        <v>159</v>
      </c>
      <c r="D4" s="278"/>
      <c r="E4" s="20" t="s">
        <v>60</v>
      </c>
      <c r="F4" s="20" t="s">
        <v>290</v>
      </c>
      <c r="G4" s="21"/>
      <c r="H4" s="214" t="s">
        <v>61</v>
      </c>
      <c r="I4" s="22" t="s">
        <v>64</v>
      </c>
      <c r="J4" s="23" t="s">
        <v>62</v>
      </c>
      <c r="K4" s="277" t="s">
        <v>159</v>
      </c>
      <c r="L4" s="278"/>
      <c r="M4" s="24" t="s">
        <v>60</v>
      </c>
      <c r="N4" s="23" t="s">
        <v>290</v>
      </c>
      <c r="O4" s="25"/>
      <c r="P4" s="26" t="s">
        <v>61</v>
      </c>
      <c r="Q4" s="27" t="s">
        <v>2</v>
      </c>
      <c r="R4" s="28" t="s">
        <v>65</v>
      </c>
      <c r="S4" s="29" t="s">
        <v>160</v>
      </c>
      <c r="T4" s="29" t="s">
        <v>297</v>
      </c>
      <c r="U4" s="27" t="s">
        <v>2</v>
      </c>
      <c r="V4" s="28" t="s">
        <v>65</v>
      </c>
      <c r="W4" s="30"/>
      <c r="X4" s="30"/>
      <c r="Z4" s="71"/>
      <c r="AA4" s="71"/>
      <c r="AB4" s="71"/>
      <c r="AC4" s="71"/>
    </row>
    <row r="5" spans="1:29" s="31" customFormat="1" ht="13.5" thickTop="1" thickBot="1">
      <c r="A5" s="152">
        <v>270043</v>
      </c>
      <c r="B5" s="3" t="str">
        <f>IF(A5=0,0,VLOOKUP(A5,'00'!$A$1:$F$65536,2,0))</f>
        <v>DJS601(1)出片</v>
      </c>
      <c r="C5" s="5">
        <v>1</v>
      </c>
      <c r="D5" s="3" t="str">
        <f>IF(C5=0,0,VLOOKUP(C5,'01'!$A$2:$B$98,2,0))</f>
        <v>炼胶</v>
      </c>
      <c r="E5" s="12">
        <v>1</v>
      </c>
      <c r="F5" s="33" t="s">
        <v>57</v>
      </c>
      <c r="G5" s="34">
        <v>1000000000000</v>
      </c>
      <c r="H5" s="206">
        <f>IF(A5=0,0,VLOOKUP(A5,'00'!$A:$F,4,0))</f>
        <v>1082518</v>
      </c>
      <c r="I5" s="9">
        <v>270098</v>
      </c>
      <c r="J5" s="34" t="str">
        <f>IF(I5=0,0,VLOOKUP(I5,'00'!$A$1:$F$65536,2,0))</f>
        <v>DJS601薄片</v>
      </c>
      <c r="K5" s="10">
        <v>20</v>
      </c>
      <c r="L5" s="7" t="str">
        <f>IF(K5=0,0,VLOOKUP(K5,'01'!$A$2:$B$98,2,0))</f>
        <v>约定</v>
      </c>
      <c r="M5" s="13" t="s">
        <v>155</v>
      </c>
      <c r="N5" s="33" t="s">
        <v>58</v>
      </c>
      <c r="O5" s="35">
        <f t="shared" ref="O5:O37" si="0">IF(N5="中",1,IF(N5="夜",10000,IF(N5="日",100000000,0)))</f>
        <v>0</v>
      </c>
      <c r="P5" s="36">
        <f>IF(I5=0,0,VLOOKUP(I5,'00'!$A:$F,4,0))</f>
        <v>1082522</v>
      </c>
      <c r="Q5" s="37">
        <f>IF(A5=0,0,VLOOKUP(A5,'00'!$A$1:$F$65536,5,0))</f>
        <v>172.51</v>
      </c>
      <c r="R5" s="37">
        <f>IF(A5=0,0,VLOOKUP(A5,'00'!$A$1:$G$65536,6,0))</f>
        <v>5.5</v>
      </c>
      <c r="S5" s="38">
        <f t="shared" ref="S5:S37" si="1">IF(A5=270278,1,IF(RIGHT(B5,3)="(0)",1,0))</f>
        <v>0</v>
      </c>
      <c r="T5" s="38">
        <f t="shared" ref="T5:T37" si="2">IF(G5=0,1,0)</f>
        <v>0</v>
      </c>
      <c r="U5" s="37">
        <f>IF(I5=0,0,VLOOKUP(I5,'00'!$A:$F,5,0))+X5</f>
        <v>0</v>
      </c>
      <c r="V5" s="37">
        <f>IF(I5=0,0,VLOOKUP(I5,'00'!$A$1:$F$65536,6,0))</f>
        <v>1.5</v>
      </c>
      <c r="W5" s="37"/>
      <c r="X5" s="30">
        <f t="shared" ref="X5:X37" si="3">IF(K5=9,125,0)</f>
        <v>0</v>
      </c>
      <c r="Y5" s="31">
        <f t="shared" ref="Y5:Y37" si="4">E5*R5</f>
        <v>5.5</v>
      </c>
      <c r="Z5" s="71">
        <f t="shared" ref="Z5:Z37" si="5">+E5*Q5</f>
        <v>172.51</v>
      </c>
      <c r="AA5" s="71">
        <f t="shared" ref="AA5:AA37" si="6">+S5*Z5</f>
        <v>0</v>
      </c>
      <c r="AB5" s="71">
        <f t="shared" ref="AB5:AB37" si="7">+Z5-AA5</f>
        <v>172.51</v>
      </c>
      <c r="AC5" s="71"/>
    </row>
    <row r="6" spans="1:29" s="31" customFormat="1" ht="13.5" thickTop="1" thickBot="1">
      <c r="A6" s="152">
        <v>270037</v>
      </c>
      <c r="B6" s="3" t="str">
        <f>IF(A6=0,0,VLOOKUP(A6,'00'!$A$1:$F$65536,2,0))</f>
        <v>SES372(1)</v>
      </c>
      <c r="C6" s="5">
        <v>2</v>
      </c>
      <c r="D6" s="3" t="str">
        <f>IF(C6=0,0,VLOOKUP(C6,'01'!$A$2:$B$98,2,0))</f>
        <v>挤出</v>
      </c>
      <c r="E6" s="12">
        <v>5</v>
      </c>
      <c r="F6" s="33" t="s">
        <v>57</v>
      </c>
      <c r="G6" s="34">
        <v>1000000000000</v>
      </c>
      <c r="H6" s="206">
        <f>IF(A6=0,0,VLOOKUP(A6,'00'!$A:$F,4,0))</f>
        <v>1082506</v>
      </c>
      <c r="I6" s="162"/>
      <c r="J6" s="34">
        <f>IF(I6=0,0,VLOOKUP(I6,'00'!$A$1:$F$65536,2,0))</f>
        <v>0</v>
      </c>
      <c r="K6" s="34">
        <v>2</v>
      </c>
      <c r="L6" s="7" t="str">
        <f>IF(K6=0,0,VLOOKUP(K6,'01'!$A$2:$B$98,2,0))</f>
        <v>挤出</v>
      </c>
      <c r="M6" s="39">
        <v>32</v>
      </c>
      <c r="N6" s="40" t="s">
        <v>57</v>
      </c>
      <c r="O6" s="41">
        <f t="shared" si="0"/>
        <v>0</v>
      </c>
      <c r="P6" s="42">
        <f>IF(I6=0,0,VLOOKUP(I6,'00'!$A:$F,4,0))</f>
        <v>0</v>
      </c>
      <c r="Q6" s="37">
        <f>IF(A6=0,0,VLOOKUP(A6,'00'!$A$1:$F$65536,5,0))</f>
        <v>175.5</v>
      </c>
      <c r="R6" s="37">
        <f>IF(A6=0,0,VLOOKUP(A6,'00'!$A$1:$G$65536,6,0))</f>
        <v>5.7</v>
      </c>
      <c r="S6" s="38">
        <f t="shared" si="1"/>
        <v>0</v>
      </c>
      <c r="T6" s="38">
        <f t="shared" si="2"/>
        <v>0</v>
      </c>
      <c r="U6" s="37">
        <f>IF(I6=0,0,VLOOKUP(I6,'00'!$A:$F,5,0))+X6</f>
        <v>0</v>
      </c>
      <c r="V6" s="37">
        <f>IF(I6=0,0,VLOOKUP(I6,'00'!$A$1:$F$65536,6,0))</f>
        <v>0</v>
      </c>
      <c r="W6" s="30"/>
      <c r="X6" s="30">
        <f t="shared" si="3"/>
        <v>0</v>
      </c>
      <c r="Y6" s="31">
        <f t="shared" si="4"/>
        <v>28.5</v>
      </c>
      <c r="Z6" s="71">
        <f t="shared" si="5"/>
        <v>877.5</v>
      </c>
      <c r="AA6" s="71">
        <f t="shared" si="6"/>
        <v>0</v>
      </c>
      <c r="AB6" s="71">
        <f t="shared" si="7"/>
        <v>877.5</v>
      </c>
      <c r="AC6" s="71">
        <f t="shared" ref="AC6:AC15" si="8">+U6*M6</f>
        <v>0</v>
      </c>
    </row>
    <row r="7" spans="1:29" s="31" customFormat="1" ht="13.5" thickTop="1" thickBot="1">
      <c r="A7" s="152">
        <v>270131</v>
      </c>
      <c r="B7" s="3" t="str">
        <f>IF(A7=0,0,VLOOKUP(A7,'00'!$A$1:$F$65536,2,0))</f>
        <v>SES402(1)</v>
      </c>
      <c r="C7" s="5">
        <v>2</v>
      </c>
      <c r="D7" s="3" t="str">
        <f>IF(C7=0,0,VLOOKUP(C7,'01'!$A$2:$B$98,2,0))</f>
        <v>挤出</v>
      </c>
      <c r="E7" s="12">
        <v>15</v>
      </c>
      <c r="F7" s="33" t="s">
        <v>57</v>
      </c>
      <c r="G7" s="34">
        <v>1000000000000</v>
      </c>
      <c r="H7" s="206">
        <f>IF(A7=0,0,VLOOKUP(A7,'00'!$A:$F,4,0))</f>
        <v>1082510</v>
      </c>
      <c r="I7" s="162"/>
      <c r="J7" s="34">
        <f>IF(I7=0,0,VLOOKUP(I7,'00'!$A$1:$F$65536,2,0))</f>
        <v>0</v>
      </c>
      <c r="K7" s="34"/>
      <c r="L7" s="7">
        <f>IF(K7=0,0,VLOOKUP(K7,'01'!$A$2:$B$98,2,0))</f>
        <v>0</v>
      </c>
      <c r="M7" s="39"/>
      <c r="N7" s="40" t="s">
        <v>57</v>
      </c>
      <c r="O7" s="41">
        <f t="shared" si="0"/>
        <v>0</v>
      </c>
      <c r="P7" s="42">
        <f>IF(I7=0,0,VLOOKUP(I7,'00'!$A:$F,4,0))</f>
        <v>0</v>
      </c>
      <c r="Q7" s="37">
        <f>IF(A7=0,0,VLOOKUP(A7,'00'!$A$1:$F$65536,5,0))</f>
        <v>175.5</v>
      </c>
      <c r="R7" s="37">
        <f>IF(A7=0,0,VLOOKUP(A7,'00'!$A$1:$G$65536,6,0))</f>
        <v>6</v>
      </c>
      <c r="S7" s="38">
        <f t="shared" si="1"/>
        <v>0</v>
      </c>
      <c r="T7" s="38">
        <f t="shared" si="2"/>
        <v>0</v>
      </c>
      <c r="U7" s="37">
        <f>IF(I7=0,0,VLOOKUP(I7,'00'!$A:$F,5,0))+X7</f>
        <v>0</v>
      </c>
      <c r="V7" s="37">
        <f>IF(I7=0,0,VLOOKUP(I7,'00'!$A$1:$F$65536,6,0))</f>
        <v>0</v>
      </c>
      <c r="W7" s="30"/>
      <c r="X7" s="30">
        <f t="shared" si="3"/>
        <v>0</v>
      </c>
      <c r="Y7" s="31">
        <f t="shared" si="4"/>
        <v>90</v>
      </c>
      <c r="Z7" s="71">
        <f t="shared" si="5"/>
        <v>2632.5</v>
      </c>
      <c r="AA7" s="71">
        <f t="shared" si="6"/>
        <v>0</v>
      </c>
      <c r="AB7" s="71">
        <f t="shared" si="7"/>
        <v>2632.5</v>
      </c>
      <c r="AC7" s="71">
        <f t="shared" si="8"/>
        <v>0</v>
      </c>
    </row>
    <row r="8" spans="1:29" s="31" customFormat="1" ht="13.5" thickTop="1" thickBot="1">
      <c r="A8" s="152">
        <v>270035</v>
      </c>
      <c r="B8" s="3" t="str">
        <f>IF(A8=0,0,VLOOKUP(A8,'00'!$A$1:$F$65536,2,0))</f>
        <v>SES471(1)</v>
      </c>
      <c r="C8" s="5">
        <v>2</v>
      </c>
      <c r="D8" s="3" t="str">
        <f>IF(C8=0,0,VLOOKUP(C8,'01'!$A$2:$B$98,2,0))</f>
        <v>挤出</v>
      </c>
      <c r="E8" s="12">
        <v>10</v>
      </c>
      <c r="F8" s="33" t="s">
        <v>57</v>
      </c>
      <c r="G8" s="34">
        <v>1000000000000</v>
      </c>
      <c r="H8" s="206">
        <f>IF(A8=0,0,VLOOKUP(A8,'00'!$A:$F,4,0))</f>
        <v>1082508</v>
      </c>
      <c r="I8" s="162"/>
      <c r="J8" s="34">
        <f>IF(I8=0,0,VLOOKUP(I8,'00'!$A$1:$F$65536,2,0))</f>
        <v>0</v>
      </c>
      <c r="K8" s="34"/>
      <c r="L8" s="7">
        <f>IF(K8=0,0,VLOOKUP(K8,'01'!$A$2:$B$98,2,0))</f>
        <v>0</v>
      </c>
      <c r="M8" s="39"/>
      <c r="N8" s="40" t="s">
        <v>57</v>
      </c>
      <c r="O8" s="35">
        <f t="shared" si="0"/>
        <v>0</v>
      </c>
      <c r="P8" s="43">
        <f>IF(I8=0,0,VLOOKUP(I8,'00'!$A:$F,4,0))</f>
        <v>0</v>
      </c>
      <c r="Q8" s="37">
        <f>IF(A8=0,0,VLOOKUP(A8,'00'!$A$1:$F$65536,5,0))</f>
        <v>170</v>
      </c>
      <c r="R8" s="37">
        <f>IF(A8=0,0,VLOOKUP(A8,'00'!$A$1:$G$65536,6,0))</f>
        <v>6</v>
      </c>
      <c r="S8" s="38">
        <f t="shared" si="1"/>
        <v>0</v>
      </c>
      <c r="T8" s="38">
        <f t="shared" si="2"/>
        <v>0</v>
      </c>
      <c r="U8" s="37">
        <f>IF(I8=0,0,VLOOKUP(I8,'00'!$A:$F,5,0))+X8</f>
        <v>0</v>
      </c>
      <c r="V8" s="37">
        <f>IF(I8=0,0,VLOOKUP(I8,'00'!$A$1:$F$65536,6,0))</f>
        <v>0</v>
      </c>
      <c r="W8" s="30"/>
      <c r="X8" s="30">
        <f t="shared" si="3"/>
        <v>0</v>
      </c>
      <c r="Y8" s="31">
        <f t="shared" si="4"/>
        <v>60</v>
      </c>
      <c r="Z8" s="71">
        <f t="shared" si="5"/>
        <v>1700</v>
      </c>
      <c r="AA8" s="71">
        <f t="shared" si="6"/>
        <v>0</v>
      </c>
      <c r="AB8" s="71">
        <f t="shared" si="7"/>
        <v>1700</v>
      </c>
      <c r="AC8" s="71">
        <f t="shared" si="8"/>
        <v>0</v>
      </c>
    </row>
    <row r="9" spans="1:29" s="31" customFormat="1" ht="13.5" thickTop="1" thickBot="1">
      <c r="A9" s="152">
        <v>270296</v>
      </c>
      <c r="B9" s="3" t="str">
        <f>IF(A9=0,0,VLOOKUP(A9,'00'!$A$1:$F$65536,2,0))</f>
        <v>SES404(1)</v>
      </c>
      <c r="C9" s="5">
        <v>2</v>
      </c>
      <c r="D9" s="3" t="str">
        <f>IF(C9=0,0,VLOOKUP(C9,'01'!$A$2:$B$98,2,0))</f>
        <v>挤出</v>
      </c>
      <c r="E9" s="12">
        <v>10</v>
      </c>
      <c r="F9" s="33" t="s">
        <v>57</v>
      </c>
      <c r="G9" s="34">
        <v>1000000000000</v>
      </c>
      <c r="H9" s="206">
        <f>IF(A9=0,0,VLOOKUP(A9,'00'!$A:$F,4,0))</f>
        <v>1082511</v>
      </c>
      <c r="I9" s="162"/>
      <c r="J9" s="34">
        <f>IF(I9=0,0,VLOOKUP(I9,'00'!$A$1:$F$65536,2,0))</f>
        <v>0</v>
      </c>
      <c r="K9" s="34"/>
      <c r="L9" s="7">
        <f>IF(K9=0,0,VLOOKUP(K9,'01'!$A$2:$B$98,2,0))</f>
        <v>0</v>
      </c>
      <c r="M9" s="39"/>
      <c r="N9" s="40" t="s">
        <v>57</v>
      </c>
      <c r="O9" s="35">
        <f t="shared" si="0"/>
        <v>0</v>
      </c>
      <c r="P9" s="43">
        <f>IF(I9=0,0,VLOOKUP(I9,'00'!$A:$F,4,0))</f>
        <v>0</v>
      </c>
      <c r="Q9" s="37">
        <f>IF(A9=0,0,VLOOKUP(A9,'00'!$A$1:$F$65536,5,0))</f>
        <v>175</v>
      </c>
      <c r="R9" s="37">
        <f>IF(A9=0,0,VLOOKUP(A9,'00'!$A$1:$G$65536,6,0))</f>
        <v>5.5</v>
      </c>
      <c r="S9" s="38">
        <f t="shared" si="1"/>
        <v>0</v>
      </c>
      <c r="T9" s="38">
        <f t="shared" si="2"/>
        <v>0</v>
      </c>
      <c r="U9" s="37">
        <f>IF(I9=0,0,VLOOKUP(I9,'00'!$A:$F,5,0))+X9</f>
        <v>0</v>
      </c>
      <c r="V9" s="37">
        <f>IF(I9=0,0,VLOOKUP(I9,'00'!$A$1:$F$65536,6,0))</f>
        <v>0</v>
      </c>
      <c r="W9" s="30"/>
      <c r="X9" s="30">
        <f t="shared" si="3"/>
        <v>0</v>
      </c>
      <c r="Y9" s="31">
        <f t="shared" si="4"/>
        <v>55</v>
      </c>
      <c r="Z9" s="71">
        <f t="shared" si="5"/>
        <v>1750</v>
      </c>
      <c r="AA9" s="71">
        <f t="shared" si="6"/>
        <v>0</v>
      </c>
      <c r="AB9" s="71">
        <f t="shared" si="7"/>
        <v>1750</v>
      </c>
      <c r="AC9" s="71">
        <f t="shared" si="8"/>
        <v>0</v>
      </c>
    </row>
    <row r="10" spans="1:29" s="31" customFormat="1" ht="13.5" thickTop="1" thickBot="1">
      <c r="A10" s="152">
        <v>270232</v>
      </c>
      <c r="B10" s="3" t="str">
        <f>IF(A10=0,0,VLOOKUP(A10,'00'!$A$1:$F$65536,2,0))</f>
        <v>SES401(1)二段</v>
      </c>
      <c r="C10" s="5">
        <v>2</v>
      </c>
      <c r="D10" s="3" t="str">
        <f>IF(C10=0,0,VLOOKUP(C10,'01'!$A$2:$B$98,2,0))</f>
        <v>挤出</v>
      </c>
      <c r="E10" s="12">
        <v>30</v>
      </c>
      <c r="F10" s="33" t="s">
        <v>57</v>
      </c>
      <c r="G10" s="34">
        <v>1000000000000</v>
      </c>
      <c r="H10" s="206">
        <f>IF(A10=0,0,VLOOKUP(A10,'00'!$A:$F,4,0))</f>
        <v>1082509</v>
      </c>
      <c r="I10" s="162"/>
      <c r="J10" s="34">
        <f>IF(I10=0,0,VLOOKUP(I10,'00'!$A$1:$F$65536,2,0))</f>
        <v>0</v>
      </c>
      <c r="K10" s="34"/>
      <c r="L10" s="7">
        <f>IF(K10=0,0,VLOOKUP(K10,'01'!$A$2:$B$98,2,0))</f>
        <v>0</v>
      </c>
      <c r="M10" s="39"/>
      <c r="N10" s="44" t="s">
        <v>57</v>
      </c>
      <c r="O10" s="35">
        <f t="shared" si="0"/>
        <v>0</v>
      </c>
      <c r="P10" s="45">
        <f>IF(I10=0,0,VLOOKUP(I10,'00'!$A:$F,4,0))</f>
        <v>0</v>
      </c>
      <c r="Q10" s="37">
        <f>IF(A10=0,0,VLOOKUP(A10,'00'!$A$1:$F$65536,5,0))</f>
        <v>144.5</v>
      </c>
      <c r="R10" s="37">
        <f>IF(A10=0,0,VLOOKUP(A10,'00'!$A$1:$G$65536,6,0))</f>
        <v>4</v>
      </c>
      <c r="S10" s="38">
        <f t="shared" si="1"/>
        <v>0</v>
      </c>
      <c r="T10" s="38">
        <f t="shared" si="2"/>
        <v>0</v>
      </c>
      <c r="U10" s="37">
        <f>IF(I10=0,0,VLOOKUP(I10,'00'!$A:$F,5,0))+X10</f>
        <v>0</v>
      </c>
      <c r="V10" s="37">
        <f>IF(I10=0,0,VLOOKUP(I10,'00'!$A$1:$F$65536,6,0))</f>
        <v>0</v>
      </c>
      <c r="W10" s="30"/>
      <c r="X10" s="30">
        <f t="shared" si="3"/>
        <v>0</v>
      </c>
      <c r="Y10" s="31">
        <f t="shared" si="4"/>
        <v>120</v>
      </c>
      <c r="Z10" s="71">
        <f t="shared" si="5"/>
        <v>4335</v>
      </c>
      <c r="AA10" s="71">
        <f t="shared" si="6"/>
        <v>0</v>
      </c>
      <c r="AB10" s="71">
        <f t="shared" si="7"/>
        <v>4335</v>
      </c>
      <c r="AC10" s="71">
        <f t="shared" si="8"/>
        <v>0</v>
      </c>
    </row>
    <row r="11" spans="1:29" s="31" customFormat="1" ht="13.5" thickTop="1" thickBot="1">
      <c r="A11" s="152" t="s">
        <v>66</v>
      </c>
      <c r="B11" s="3" t="str">
        <f>IF(A11=0,0,VLOOKUP(A11,'00'!$A$1:$F$65536,2,0))</f>
        <v>CLEAN</v>
      </c>
      <c r="C11" s="5">
        <v>1</v>
      </c>
      <c r="D11" s="3" t="str">
        <f>IF(C11=0,0,VLOOKUP(C11,'01'!$A$2:$B$98,2,0))</f>
        <v>炼胶</v>
      </c>
      <c r="E11" s="12">
        <v>1</v>
      </c>
      <c r="F11" s="33" t="s">
        <v>57</v>
      </c>
      <c r="G11" s="34">
        <v>1000000000000</v>
      </c>
      <c r="H11" s="206">
        <f>IF(A11=0,0,VLOOKUP(A11,'00'!$A:$F,4,0))</f>
        <v>0</v>
      </c>
      <c r="I11" s="162"/>
      <c r="J11" s="34">
        <f>IF(I11=0,0,VLOOKUP(I11,'00'!$A$1:$F$65536,2,0))</f>
        <v>0</v>
      </c>
      <c r="K11" s="34"/>
      <c r="L11" s="7">
        <f>IF(K11=0,0,VLOOKUP(K11,'01'!$A$2:$B$98,2,0))</f>
        <v>0</v>
      </c>
      <c r="M11" s="39"/>
      <c r="N11" s="46" t="s">
        <v>57</v>
      </c>
      <c r="O11" s="47">
        <f t="shared" si="0"/>
        <v>0</v>
      </c>
      <c r="P11" s="48">
        <f>IF(I11=0,0,VLOOKUP(I11,'00'!$A:$F,4,0))</f>
        <v>0</v>
      </c>
      <c r="Q11" s="37">
        <f>IF(A11=0,0,VLOOKUP(A11,'00'!$A$1:$F$65536,5,0))</f>
        <v>0</v>
      </c>
      <c r="R11" s="37">
        <f>IF(A11=0,0,VLOOKUP(A11,'00'!$A$1:$G$65536,6,0))</f>
        <v>0</v>
      </c>
      <c r="S11" s="38">
        <f t="shared" si="1"/>
        <v>0</v>
      </c>
      <c r="T11" s="38">
        <f t="shared" si="2"/>
        <v>0</v>
      </c>
      <c r="U11" s="37">
        <f>IF(I11=0,0,VLOOKUP(I11,'00'!$A:$F,5,0))+X11</f>
        <v>0</v>
      </c>
      <c r="V11" s="37">
        <f>IF(I11=0,0,VLOOKUP(I11,'00'!$A$1:$F$65536,6,0))</f>
        <v>0</v>
      </c>
      <c r="W11" s="30"/>
      <c r="X11" s="30">
        <f t="shared" si="3"/>
        <v>0</v>
      </c>
      <c r="Y11" s="31">
        <f t="shared" si="4"/>
        <v>0</v>
      </c>
      <c r="Z11" s="71">
        <f t="shared" si="5"/>
        <v>0</v>
      </c>
      <c r="AA11" s="71">
        <f t="shared" si="6"/>
        <v>0</v>
      </c>
      <c r="AB11" s="71">
        <f t="shared" si="7"/>
        <v>0</v>
      </c>
      <c r="AC11" s="71">
        <f t="shared" si="8"/>
        <v>0</v>
      </c>
    </row>
    <row r="12" spans="1:29" s="31" customFormat="1" ht="13.5" thickTop="1" thickBot="1">
      <c r="A12" s="152">
        <v>270314</v>
      </c>
      <c r="B12" s="3" t="str">
        <f>IF(A12=0,0,VLOOKUP(A12,'00'!$A$1:$F$65536,2,0))</f>
        <v>EMT 65(1)</v>
      </c>
      <c r="C12" s="5">
        <v>2</v>
      </c>
      <c r="D12" s="3" t="str">
        <f>IF(C12=0,0,VLOOKUP(C12,'01'!$A$2:$B$98,2,0))</f>
        <v>挤出</v>
      </c>
      <c r="E12" s="12">
        <v>1</v>
      </c>
      <c r="F12" s="33" t="s">
        <v>57</v>
      </c>
      <c r="G12" s="34">
        <v>1000000000000</v>
      </c>
      <c r="H12" s="206">
        <f>IF(A12=0,0,VLOOKUP(A12,'00'!$A:$F,4,0))</f>
        <v>1082498</v>
      </c>
      <c r="I12" s="162"/>
      <c r="J12" s="34">
        <f>IF(I12=0,0,VLOOKUP(I12,'00'!$A$1:$F$65536,2,0))</f>
        <v>0</v>
      </c>
      <c r="K12" s="34"/>
      <c r="L12" s="7">
        <f>IF(K12=0,0,VLOOKUP(K12,'01'!$A$2:$B$98,2,0))</f>
        <v>0</v>
      </c>
      <c r="M12" s="39"/>
      <c r="N12" s="49" t="s">
        <v>57</v>
      </c>
      <c r="O12" s="50">
        <f t="shared" si="0"/>
        <v>0</v>
      </c>
      <c r="P12" s="51">
        <f>IF(I12=0,0,VLOOKUP(I12,'00'!$A:$F,4,0))</f>
        <v>0</v>
      </c>
      <c r="Q12" s="37">
        <f>IF(A12=0,0,VLOOKUP(A12,'00'!$A$1:$F$65536,5,0))</f>
        <v>157</v>
      </c>
      <c r="R12" s="37">
        <f>IF(A12=0,0,VLOOKUP(A12,'00'!$A$1:$G$65536,6,0))</f>
        <v>4</v>
      </c>
      <c r="S12" s="38">
        <f t="shared" si="1"/>
        <v>0</v>
      </c>
      <c r="T12" s="38">
        <f t="shared" si="2"/>
        <v>0</v>
      </c>
      <c r="U12" s="37">
        <f>IF(I12=0,0,VLOOKUP(I12,'00'!$A:$F,5,0))+X12</f>
        <v>0</v>
      </c>
      <c r="V12" s="37">
        <f>IF(I12=0,0,VLOOKUP(I12,'00'!$A$1:$F$65536,6,0))</f>
        <v>0</v>
      </c>
      <c r="W12" s="30"/>
      <c r="X12" s="30">
        <f t="shared" si="3"/>
        <v>0</v>
      </c>
      <c r="Y12" s="31">
        <f t="shared" si="4"/>
        <v>4</v>
      </c>
      <c r="Z12" s="71">
        <f t="shared" si="5"/>
        <v>157</v>
      </c>
      <c r="AA12" s="71">
        <f t="shared" si="6"/>
        <v>0</v>
      </c>
      <c r="AB12" s="71">
        <f t="shared" si="7"/>
        <v>157</v>
      </c>
      <c r="AC12" s="71">
        <f t="shared" si="8"/>
        <v>0</v>
      </c>
    </row>
    <row r="13" spans="1:29" s="31" customFormat="1" ht="13.5" thickTop="1" thickBot="1">
      <c r="A13" s="152">
        <v>270018</v>
      </c>
      <c r="B13" s="3" t="str">
        <f>IF(A13=0,0,VLOOKUP(A13,'00'!$A$1:$F$65536,2,0))</f>
        <v>DEC601(1)</v>
      </c>
      <c r="C13" s="5">
        <v>2</v>
      </c>
      <c r="D13" s="3" t="str">
        <f>IF(C13=0,0,VLOOKUP(C13,'01'!$A$2:$B$98,2,0))</f>
        <v>挤出</v>
      </c>
      <c r="E13" s="12">
        <v>16</v>
      </c>
      <c r="F13" s="33" t="s">
        <v>57</v>
      </c>
      <c r="G13" s="34">
        <v>1000000000000</v>
      </c>
      <c r="H13" s="206">
        <f>IF(A13=0,0,VLOOKUP(A13,'00'!$A:$F,4,0))</f>
        <v>1082500</v>
      </c>
      <c r="I13" s="162"/>
      <c r="J13" s="34">
        <f>IF(I13=0,0,VLOOKUP(I13,'00'!$A$1:$F$65536,2,0))</f>
        <v>0</v>
      </c>
      <c r="K13" s="34"/>
      <c r="L13" s="7">
        <f>IF(K13=0,0,VLOOKUP(K13,'01'!$A$2:$B$98,2,0))</f>
        <v>0</v>
      </c>
      <c r="M13" s="39"/>
      <c r="N13" s="46" t="s">
        <v>57</v>
      </c>
      <c r="O13" s="47">
        <f t="shared" si="0"/>
        <v>0</v>
      </c>
      <c r="P13" s="48">
        <f>IF(I13=0,0,VLOOKUP(I13,'00'!$A:$F,4,0))</f>
        <v>0</v>
      </c>
      <c r="Q13" s="37">
        <f>IF(A13=0,0,VLOOKUP(A13,'00'!$A$1:$F$65536,5,0))</f>
        <v>165</v>
      </c>
      <c r="R13" s="37">
        <f>IF(A13=0,0,VLOOKUP(A13,'00'!$A$1:$G$65536,6,0))</f>
        <v>5.2</v>
      </c>
      <c r="S13" s="38">
        <f t="shared" si="1"/>
        <v>0</v>
      </c>
      <c r="T13" s="38">
        <f t="shared" si="2"/>
        <v>0</v>
      </c>
      <c r="U13" s="37">
        <f>IF(I13=0,0,VLOOKUP(I13,'00'!$A:$F,5,0))+X13</f>
        <v>0</v>
      </c>
      <c r="V13" s="37">
        <f>IF(I13=0,0,VLOOKUP(I13,'00'!$A$1:$F$65536,6,0))</f>
        <v>0</v>
      </c>
      <c r="W13" s="30"/>
      <c r="X13" s="30">
        <f t="shared" si="3"/>
        <v>0</v>
      </c>
      <c r="Y13" s="31">
        <f t="shared" si="4"/>
        <v>83.2</v>
      </c>
      <c r="Z13" s="71">
        <f t="shared" si="5"/>
        <v>2640</v>
      </c>
      <c r="AA13" s="71">
        <f t="shared" si="6"/>
        <v>0</v>
      </c>
      <c r="AB13" s="71">
        <f t="shared" si="7"/>
        <v>2640</v>
      </c>
      <c r="AC13" s="71">
        <f t="shared" si="8"/>
        <v>0</v>
      </c>
    </row>
    <row r="14" spans="1:29" s="31" customFormat="1" ht="13.5" thickTop="1" thickBot="1">
      <c r="A14" s="152">
        <v>270018</v>
      </c>
      <c r="B14" s="3" t="str">
        <f>IF(A14=0,0,VLOOKUP(A14,'00'!$A$1:$F$65536,2,0))</f>
        <v>DEC601(1)</v>
      </c>
      <c r="C14" s="5">
        <v>2</v>
      </c>
      <c r="D14" s="3" t="str">
        <f>IF(C14=0,0,VLOOKUP(C14,'01'!$A$2:$B$98,2,0))</f>
        <v>挤出</v>
      </c>
      <c r="E14" s="12">
        <v>20</v>
      </c>
      <c r="F14" s="33" t="s">
        <v>0</v>
      </c>
      <c r="G14" s="34">
        <v>1</v>
      </c>
      <c r="H14" s="206">
        <f>IF(A14=0,0,VLOOKUP(A14,'00'!$A:$F,4,0))</f>
        <v>1082500</v>
      </c>
      <c r="I14" s="32"/>
      <c r="J14" s="34">
        <f>IF(I14=0,0,VLOOKUP(I14,'00'!$A$1:$F$65536,2,0))</f>
        <v>0</v>
      </c>
      <c r="K14" s="34"/>
      <c r="L14" s="7">
        <f>IF(K14=0,0,VLOOKUP(K14,'01'!$A$2:$B$98,2,0))</f>
        <v>0</v>
      </c>
      <c r="M14" s="39"/>
      <c r="N14" s="46" t="s">
        <v>57</v>
      </c>
      <c r="O14" s="47">
        <f t="shared" si="0"/>
        <v>0</v>
      </c>
      <c r="P14" s="48">
        <f>IF(I14=0,0,VLOOKUP(I14,'00'!$A:$F,4,0))</f>
        <v>0</v>
      </c>
      <c r="Q14" s="37">
        <f>IF(A14=0,0,VLOOKUP(A14,'00'!$A$1:$F$65536,5,0))</f>
        <v>165</v>
      </c>
      <c r="R14" s="37">
        <f>IF(A14=0,0,VLOOKUP(A14,'00'!$A$1:$G$65536,6,0))</f>
        <v>5.2</v>
      </c>
      <c r="S14" s="38">
        <f t="shared" si="1"/>
        <v>0</v>
      </c>
      <c r="T14" s="38">
        <f t="shared" si="2"/>
        <v>0</v>
      </c>
      <c r="U14" s="37">
        <f>IF(I14=0,0,VLOOKUP(I14,'00'!$A:$F,5,0))+X14</f>
        <v>0</v>
      </c>
      <c r="V14" s="37">
        <f>IF(I14=0,0,VLOOKUP(I14,'00'!$A$1:$F$65536,6,0))</f>
        <v>0</v>
      </c>
      <c r="W14" s="30"/>
      <c r="X14" s="30">
        <f t="shared" si="3"/>
        <v>0</v>
      </c>
      <c r="Y14" s="31">
        <f t="shared" si="4"/>
        <v>104</v>
      </c>
      <c r="Z14" s="71">
        <f t="shared" si="5"/>
        <v>3300</v>
      </c>
      <c r="AA14" s="71">
        <f t="shared" si="6"/>
        <v>0</v>
      </c>
      <c r="AB14" s="71">
        <f t="shared" si="7"/>
        <v>3300</v>
      </c>
      <c r="AC14" s="71">
        <f t="shared" si="8"/>
        <v>0</v>
      </c>
    </row>
    <row r="15" spans="1:29" s="31" customFormat="1" ht="13.5" thickTop="1" thickBot="1">
      <c r="A15" s="152">
        <v>270293</v>
      </c>
      <c r="B15" s="233" t="str">
        <f>IF(A15=0,0,VLOOKUP(A15,'00'!$A$1:$F$65536,2,0))</f>
        <v>DES604(1)</v>
      </c>
      <c r="C15" s="5">
        <v>2</v>
      </c>
      <c r="D15" s="3" t="str">
        <f>IF(C15=0,0,VLOOKUP(C15,'01'!$A$2:$B$98,2,0))</f>
        <v>挤出</v>
      </c>
      <c r="E15" s="12">
        <v>18</v>
      </c>
      <c r="F15" s="33" t="s">
        <v>0</v>
      </c>
      <c r="G15" s="33" t="s">
        <v>0</v>
      </c>
      <c r="H15" s="206">
        <f>IF(A15=0,0,VLOOKUP(A15,'00'!$A:$F,4,0))</f>
        <v>1082499</v>
      </c>
      <c r="I15" s="92"/>
      <c r="J15" s="34">
        <f>IF(I15=0,0,VLOOKUP(I15,'00'!$A$1:$F$65536,2,0))</f>
        <v>0</v>
      </c>
      <c r="K15" s="87"/>
      <c r="L15" s="8">
        <f>IF(K15=0,0,VLOOKUP(K15,'01'!$A$2:$B$98,2,0))</f>
        <v>0</v>
      </c>
      <c r="M15" s="93"/>
      <c r="N15" s="89" t="s">
        <v>57</v>
      </c>
      <c r="O15" s="90">
        <f t="shared" si="0"/>
        <v>0</v>
      </c>
      <c r="P15" s="91">
        <f>IF(I15=0,0,VLOOKUP(I15,'00'!$A:$F,4,0))</f>
        <v>0</v>
      </c>
      <c r="Q15" s="37">
        <f>IF(A15=0,0,VLOOKUP(A15,'00'!$A$1:$F$65536,5,0))</f>
        <v>160</v>
      </c>
      <c r="R15" s="37">
        <f>IF(A15=0,0,VLOOKUP(A15,'00'!$A$1:$G$65536,6,0))</f>
        <v>5</v>
      </c>
      <c r="S15" s="38">
        <f t="shared" si="1"/>
        <v>0</v>
      </c>
      <c r="T15" s="38">
        <f t="shared" si="2"/>
        <v>0</v>
      </c>
      <c r="U15" s="37">
        <f>IF(I15=0,0,VLOOKUP(I15,'00'!$A:$F,5,0))+X15</f>
        <v>0</v>
      </c>
      <c r="V15" s="37">
        <f>IF(I15=0,0,VLOOKUP(I15,'00'!$A$1:$F$65536,6,0))</f>
        <v>0</v>
      </c>
      <c r="W15" s="30">
        <v>0</v>
      </c>
      <c r="X15" s="30">
        <f t="shared" si="3"/>
        <v>0</v>
      </c>
      <c r="Y15" s="31">
        <f t="shared" si="4"/>
        <v>90</v>
      </c>
      <c r="Z15" s="71">
        <f t="shared" si="5"/>
        <v>2880</v>
      </c>
      <c r="AA15" s="71">
        <f t="shared" si="6"/>
        <v>0</v>
      </c>
      <c r="AB15" s="71">
        <f t="shared" si="7"/>
        <v>2880</v>
      </c>
      <c r="AC15" s="71">
        <f t="shared" si="8"/>
        <v>0</v>
      </c>
    </row>
    <row r="16" spans="1:29" s="31" customFormat="1" ht="13.5" thickTop="1" thickBot="1">
      <c r="A16" s="152">
        <v>270292</v>
      </c>
      <c r="B16" s="3" t="str">
        <f>IF(A16=0,0,VLOOKUP(A16,'00'!$A$1:$F$65536,2,0))</f>
        <v>DEC705(1)</v>
      </c>
      <c r="C16" s="5">
        <v>2</v>
      </c>
      <c r="D16" s="3" t="str">
        <f>IF(C16=0,0,VLOOKUP(C16,'01'!$A$2:$B$98,2,0))</f>
        <v>挤出</v>
      </c>
      <c r="E16" s="12">
        <v>12</v>
      </c>
      <c r="F16" s="33" t="s">
        <v>0</v>
      </c>
      <c r="G16" s="34">
        <v>1</v>
      </c>
      <c r="H16" s="206">
        <f>IF(A16=0,0,VLOOKUP(A16,'00'!$A:$F,4,0))</f>
        <v>1082494</v>
      </c>
      <c r="I16" s="9">
        <v>270098</v>
      </c>
      <c r="J16" s="127" t="str">
        <f>IF(I16=0,0,VLOOKUP(I16,'00'!$A$1:$F$65536,2,0))</f>
        <v>DJS601薄片</v>
      </c>
      <c r="K16" s="10">
        <v>20</v>
      </c>
      <c r="L16" s="129" t="str">
        <f>IF(K16=0,0,VLOOKUP(K16,'01'!$A$2:$B$98,2,0))</f>
        <v>约定</v>
      </c>
      <c r="M16" s="13" t="s">
        <v>300</v>
      </c>
      <c r="N16" s="33" t="s">
        <v>0</v>
      </c>
      <c r="O16" s="41">
        <f t="shared" si="0"/>
        <v>1</v>
      </c>
      <c r="P16" s="42">
        <f>IF(I16=0,0,VLOOKUP(I16,'00'!$A:$F,4,0))</f>
        <v>1082522</v>
      </c>
      <c r="Q16" s="37">
        <f>IF(A16=0,0,VLOOKUP(A16,'00'!$A$1:$F$65536,5,0))</f>
        <v>156</v>
      </c>
      <c r="R16" s="37">
        <f>IF(A16=0,0,VLOOKUP(A16,'00'!$A$1:$G$65536,6,0))</f>
        <v>5.5</v>
      </c>
      <c r="S16" s="38">
        <f t="shared" si="1"/>
        <v>0</v>
      </c>
      <c r="T16" s="38">
        <f t="shared" si="2"/>
        <v>0</v>
      </c>
      <c r="U16" s="37">
        <f>IF(I16=0,0,VLOOKUP(I16,'00'!$A:$F,5,0))+X16</f>
        <v>0</v>
      </c>
      <c r="V16" s="37">
        <f>IF(I16=0,0,VLOOKUP(I16,'00'!$A$1:$F$65536,6,0))</f>
        <v>1.5</v>
      </c>
      <c r="W16" s="37"/>
      <c r="X16" s="30">
        <f t="shared" si="3"/>
        <v>0</v>
      </c>
      <c r="Y16" s="31">
        <f t="shared" si="4"/>
        <v>66</v>
      </c>
      <c r="Z16" s="71">
        <f t="shared" si="5"/>
        <v>1872</v>
      </c>
      <c r="AA16" s="71">
        <f t="shared" si="6"/>
        <v>0</v>
      </c>
      <c r="AB16" s="71">
        <f t="shared" si="7"/>
        <v>1872</v>
      </c>
      <c r="AC16" s="71"/>
    </row>
    <row r="17" spans="1:29" s="31" customFormat="1" ht="13.5" thickTop="1" thickBot="1">
      <c r="A17" s="152">
        <v>270294</v>
      </c>
      <c r="B17" s="233" t="str">
        <f>IF(A17=0,0,VLOOKUP(A17,'00'!$A$1:$F$65536,2,0))</f>
        <v>DES854(1)</v>
      </c>
      <c r="C17" s="5">
        <v>2</v>
      </c>
      <c r="D17" s="3" t="str">
        <f>IF(C17=0,0,VLOOKUP(C17,'01'!$A$2:$B$98,2,0))</f>
        <v>挤出</v>
      </c>
      <c r="E17" s="12">
        <v>18</v>
      </c>
      <c r="F17" s="33" t="s">
        <v>0</v>
      </c>
      <c r="G17" s="34">
        <v>1</v>
      </c>
      <c r="H17" s="206">
        <f>IF(A17=0,0,VLOOKUP(A17,'00'!$A:$F,4,0))</f>
        <v>1082489</v>
      </c>
      <c r="I17" s="162">
        <v>270047</v>
      </c>
      <c r="J17" s="34" t="str">
        <f>IF(I17=0,0,VLOOKUP(I17,'00'!$A$1:$F$65536,2,0))</f>
        <v>DJS801(1)</v>
      </c>
      <c r="K17" s="34">
        <v>7</v>
      </c>
      <c r="L17" s="7" t="str">
        <f>IF(K17=0,0,VLOOKUP(K17,'01'!$A$2:$B$98,2,0))</f>
        <v>申翔</v>
      </c>
      <c r="M17" s="39">
        <v>1</v>
      </c>
      <c r="N17" s="33" t="s">
        <v>0</v>
      </c>
      <c r="O17" s="41">
        <f t="shared" si="0"/>
        <v>1</v>
      </c>
      <c r="P17" s="42">
        <f>IF(I17=0,0,VLOOKUP(I17,'00'!$A:$F,4,0))</f>
        <v>1082512</v>
      </c>
      <c r="Q17" s="37">
        <f>IF(A17=0,0,VLOOKUP(A17,'00'!$A$1:$F$65536,5,0))</f>
        <v>154</v>
      </c>
      <c r="R17" s="37">
        <f>IF(A17=0,0,VLOOKUP(A17,'00'!$A$1:$G$65536,6,0))</f>
        <v>5.3</v>
      </c>
      <c r="S17" s="38">
        <f t="shared" si="1"/>
        <v>0</v>
      </c>
      <c r="T17" s="38">
        <f t="shared" si="2"/>
        <v>0</v>
      </c>
      <c r="U17" s="37">
        <f>IF(I17=0,0,VLOOKUP(I17,'00'!$A:$F,5,0))+X17</f>
        <v>37</v>
      </c>
      <c r="V17" s="37">
        <f>IF(I17=0,0,VLOOKUP(I17,'00'!$A$1:$F$65536,6,0))</f>
        <v>15</v>
      </c>
      <c r="W17" s="30"/>
      <c r="X17" s="30">
        <f t="shared" si="3"/>
        <v>0</v>
      </c>
      <c r="Y17" s="31">
        <f t="shared" si="4"/>
        <v>95.399999999999991</v>
      </c>
      <c r="Z17" s="71">
        <f t="shared" si="5"/>
        <v>2772</v>
      </c>
      <c r="AA17" s="71">
        <f t="shared" si="6"/>
        <v>0</v>
      </c>
      <c r="AB17" s="71">
        <f t="shared" si="7"/>
        <v>2772</v>
      </c>
      <c r="AC17" s="71">
        <f t="shared" ref="AC17:AC26" si="9">+U17*M17</f>
        <v>37</v>
      </c>
    </row>
    <row r="18" spans="1:29" s="31" customFormat="1" ht="13.5" thickTop="1" thickBot="1">
      <c r="A18" s="152">
        <v>270314</v>
      </c>
      <c r="B18" s="3" t="str">
        <f>IF(A18=0,0,VLOOKUP(A18,'00'!$A$1:$F$65536,2,0))</f>
        <v>EMT 65(1)</v>
      </c>
      <c r="C18" s="5">
        <v>2</v>
      </c>
      <c r="D18" s="3" t="str">
        <f>IF(C18=0,0,VLOOKUP(C18,'01'!$A$2:$B$98,2,0))</f>
        <v>挤出</v>
      </c>
      <c r="E18" s="12">
        <v>10</v>
      </c>
      <c r="F18" s="33" t="s">
        <v>0</v>
      </c>
      <c r="G18" s="34">
        <v>1</v>
      </c>
      <c r="H18" s="206">
        <f>IF(A18=0,0,VLOOKUP(A18,'00'!$A:$F,4,0))</f>
        <v>1082498</v>
      </c>
      <c r="I18" s="162">
        <v>270084</v>
      </c>
      <c r="J18" s="34" t="str">
        <f>IF(I18=0,0,VLOOKUP(I18,'00'!$A$1:$F$65536,2,0))</f>
        <v>DJS803(1)</v>
      </c>
      <c r="K18" s="34">
        <v>8</v>
      </c>
      <c r="L18" s="7" t="str">
        <f>IF(K18=0,0,VLOOKUP(K18,'01'!$A$2:$B$98,2,0))</f>
        <v>申翔3</v>
      </c>
      <c r="M18" s="39">
        <v>3</v>
      </c>
      <c r="N18" s="33" t="s">
        <v>0</v>
      </c>
      <c r="O18" s="35">
        <f t="shared" si="0"/>
        <v>1</v>
      </c>
      <c r="P18" s="43">
        <f>IF(I18=0,0,VLOOKUP(I18,'00'!$A:$F,4,0))</f>
        <v>1082513</v>
      </c>
      <c r="Q18" s="37">
        <f>IF(A18=0,0,VLOOKUP(A18,'00'!$A$1:$F$65536,5,0))</f>
        <v>157</v>
      </c>
      <c r="R18" s="37">
        <f>IF(A18=0,0,VLOOKUP(A18,'00'!$A$1:$G$65536,6,0))</f>
        <v>4</v>
      </c>
      <c r="S18" s="38">
        <f t="shared" si="1"/>
        <v>0</v>
      </c>
      <c r="T18" s="38">
        <f t="shared" si="2"/>
        <v>0</v>
      </c>
      <c r="U18" s="37">
        <f>IF(I18=0,0,VLOOKUP(I18,'00'!$A:$F,5,0))+X18</f>
        <v>37</v>
      </c>
      <c r="V18" s="37">
        <f>IF(I18=0,0,VLOOKUP(I18,'00'!$A$1:$F$65536,6,0))</f>
        <v>15</v>
      </c>
      <c r="W18" s="30"/>
      <c r="X18" s="30">
        <f t="shared" si="3"/>
        <v>0</v>
      </c>
      <c r="Y18" s="31">
        <f t="shared" si="4"/>
        <v>40</v>
      </c>
      <c r="Z18" s="71">
        <f t="shared" si="5"/>
        <v>1570</v>
      </c>
      <c r="AA18" s="71">
        <f t="shared" si="6"/>
        <v>0</v>
      </c>
      <c r="AB18" s="71">
        <f t="shared" si="7"/>
        <v>1570</v>
      </c>
      <c r="AC18" s="71">
        <f t="shared" si="9"/>
        <v>111</v>
      </c>
    </row>
    <row r="19" spans="1:29" s="31" customFormat="1" ht="13.5" thickTop="1" thickBot="1">
      <c r="A19" s="152">
        <v>270031</v>
      </c>
      <c r="B19" s="3" t="str">
        <f>IF(A19=0,0,VLOOKUP(A19,'00'!$A$1:$F$65536,2,0))</f>
        <v>DES952(1)</v>
      </c>
      <c r="C19" s="5">
        <v>2</v>
      </c>
      <c r="D19" s="3" t="str">
        <f>IF(C19=0,0,VLOOKUP(C19,'01'!$A$2:$B$98,2,0))</f>
        <v>挤出</v>
      </c>
      <c r="E19" s="12">
        <v>16</v>
      </c>
      <c r="F19" s="33" t="s">
        <v>0</v>
      </c>
      <c r="G19" s="34">
        <v>1</v>
      </c>
      <c r="H19" s="206">
        <f>IF(A19=0,0,VLOOKUP(A19,'00'!$A:$F,4,0))</f>
        <v>1082486</v>
      </c>
      <c r="I19" s="162">
        <v>270032</v>
      </c>
      <c r="J19" s="34" t="str">
        <f>IF(I19=0,0,VLOOKUP(I19,'00'!$A$1:$F$65536,2,0))</f>
        <v>SJS191(1)</v>
      </c>
      <c r="K19" s="34">
        <v>7</v>
      </c>
      <c r="L19" s="7" t="str">
        <f>IF(K19=0,0,VLOOKUP(K19,'01'!$A$2:$B$98,2,0))</f>
        <v>申翔</v>
      </c>
      <c r="M19" s="39">
        <v>2</v>
      </c>
      <c r="N19" s="33" t="s">
        <v>0</v>
      </c>
      <c r="O19" s="35">
        <f t="shared" si="0"/>
        <v>1</v>
      </c>
      <c r="P19" s="43">
        <f>IF(I19=0,0,VLOOKUP(I19,'00'!$A:$F,4,0))</f>
        <v>1082521</v>
      </c>
      <c r="Q19" s="37">
        <f>IF(A19=0,0,VLOOKUP(A19,'00'!$A$1:$F$65536,5,0))</f>
        <v>130</v>
      </c>
      <c r="R19" s="37">
        <f>IF(A19=0,0,VLOOKUP(A19,'00'!$A$1:$G$65536,6,0))</f>
        <v>5</v>
      </c>
      <c r="S19" s="38">
        <f t="shared" si="1"/>
        <v>0</v>
      </c>
      <c r="T19" s="38">
        <f t="shared" si="2"/>
        <v>0</v>
      </c>
      <c r="U19" s="37">
        <f>IF(I19=0,0,VLOOKUP(I19,'00'!$A:$F,5,0))+X19</f>
        <v>37</v>
      </c>
      <c r="V19" s="37">
        <f>IF(I19=0,0,VLOOKUP(I19,'00'!$A$1:$F$65536,6,0))</f>
        <v>15</v>
      </c>
      <c r="W19" s="30"/>
      <c r="X19" s="30">
        <f t="shared" si="3"/>
        <v>0</v>
      </c>
      <c r="Y19" s="31">
        <f t="shared" si="4"/>
        <v>80</v>
      </c>
      <c r="Z19" s="71">
        <f t="shared" si="5"/>
        <v>2080</v>
      </c>
      <c r="AA19" s="71">
        <f t="shared" si="6"/>
        <v>0</v>
      </c>
      <c r="AB19" s="71">
        <f t="shared" si="7"/>
        <v>2080</v>
      </c>
      <c r="AC19" s="71">
        <f t="shared" si="9"/>
        <v>74</v>
      </c>
    </row>
    <row r="20" spans="1:29" s="31" customFormat="1" ht="13.5" thickTop="1" thickBot="1">
      <c r="A20" s="152">
        <v>270031</v>
      </c>
      <c r="B20" s="3" t="str">
        <f>IF(A20=0,0,VLOOKUP(A20,'00'!$A$1:$F$65536,2,0))</f>
        <v>DES952(1)</v>
      </c>
      <c r="C20" s="5">
        <v>2</v>
      </c>
      <c r="D20" s="3" t="str">
        <f>IF(C20=0,0,VLOOKUP(C20,'01'!$A$2:$B$98,2,0))</f>
        <v>挤出</v>
      </c>
      <c r="E20" s="12">
        <v>8</v>
      </c>
      <c r="F20" s="33" t="s">
        <v>1</v>
      </c>
      <c r="G20" s="34">
        <v>1</v>
      </c>
      <c r="H20" s="206">
        <f>IF(A20=0,0,VLOOKUP(A20,'00'!$A:$F,4,0))</f>
        <v>1082486</v>
      </c>
      <c r="I20" s="162">
        <v>270143</v>
      </c>
      <c r="J20" s="34" t="str">
        <f>IF(I20=0,0,VLOOKUP(I20,'00'!$A$1:$F$65536,2,0))</f>
        <v>DJS702(1)</v>
      </c>
      <c r="K20" s="34">
        <v>7</v>
      </c>
      <c r="L20" s="7" t="str">
        <f>IF(K20=0,0,VLOOKUP(K20,'01'!$A$2:$B$98,2,0))</f>
        <v>申翔</v>
      </c>
      <c r="M20" s="39">
        <v>14</v>
      </c>
      <c r="N20" s="33" t="s">
        <v>0</v>
      </c>
      <c r="O20" s="35">
        <f t="shared" si="0"/>
        <v>1</v>
      </c>
      <c r="P20" s="43">
        <f>IF(I20=0,0,VLOOKUP(I20,'00'!$A:$F,4,0))</f>
        <v>1082516</v>
      </c>
      <c r="Q20" s="37">
        <f>IF(A20=0,0,VLOOKUP(A20,'00'!$A$1:$F$65536,5,0))</f>
        <v>130</v>
      </c>
      <c r="R20" s="37">
        <f>IF(A20=0,0,VLOOKUP(A20,'00'!$A$1:$G$65536,6,0))</f>
        <v>5</v>
      </c>
      <c r="S20" s="38">
        <f t="shared" si="1"/>
        <v>0</v>
      </c>
      <c r="T20" s="38">
        <f t="shared" si="2"/>
        <v>0</v>
      </c>
      <c r="U20" s="37">
        <f>IF(I20=0,0,VLOOKUP(I20,'00'!$A:$F,5,0))+X20</f>
        <v>37</v>
      </c>
      <c r="V20" s="37">
        <f>IF(I20=0,0,VLOOKUP(I20,'00'!$A$1:$F$65536,6,0))</f>
        <v>15</v>
      </c>
      <c r="W20" s="30"/>
      <c r="X20" s="30">
        <f t="shared" si="3"/>
        <v>0</v>
      </c>
      <c r="Y20" s="31">
        <f t="shared" si="4"/>
        <v>40</v>
      </c>
      <c r="Z20" s="71">
        <f t="shared" si="5"/>
        <v>1040</v>
      </c>
      <c r="AA20" s="71">
        <f t="shared" si="6"/>
        <v>0</v>
      </c>
      <c r="AB20" s="71">
        <f t="shared" si="7"/>
        <v>1040</v>
      </c>
      <c r="AC20" s="71">
        <f t="shared" si="9"/>
        <v>518</v>
      </c>
    </row>
    <row r="21" spans="1:29" s="31" customFormat="1" ht="13.5" thickTop="1" thickBot="1">
      <c r="A21" s="152" t="s">
        <v>66</v>
      </c>
      <c r="B21" s="3" t="str">
        <f>IF(A21=0,0,VLOOKUP(A21,'00'!$A$1:$F$65536,2,0))</f>
        <v>CLEAN</v>
      </c>
      <c r="C21" s="5">
        <v>1</v>
      </c>
      <c r="D21" s="3" t="str">
        <f>IF(C21=0,0,VLOOKUP(C21,'01'!$A$2:$B$98,2,0))</f>
        <v>炼胶</v>
      </c>
      <c r="E21" s="12">
        <v>1</v>
      </c>
      <c r="F21" s="33" t="s">
        <v>1</v>
      </c>
      <c r="G21" s="34">
        <v>1</v>
      </c>
      <c r="H21" s="206">
        <f>IF(A21=0,0,VLOOKUP(A21,'00'!$A:$F,4,0))</f>
        <v>0</v>
      </c>
      <c r="I21" s="162">
        <v>270143</v>
      </c>
      <c r="J21" s="34" t="str">
        <f>IF(I21=0,0,VLOOKUP(I21,'00'!$A$1:$F$65536,2,0))</f>
        <v>DJS702(1)</v>
      </c>
      <c r="K21" s="34">
        <v>10</v>
      </c>
      <c r="L21" s="7" t="str">
        <f>IF(K21=0,0,VLOOKUP(K21,'01'!$A$2:$B$98,2,0))</f>
        <v>申舒</v>
      </c>
      <c r="M21" s="39">
        <v>4</v>
      </c>
      <c r="N21" s="33" t="s">
        <v>0</v>
      </c>
      <c r="O21" s="41">
        <f t="shared" si="0"/>
        <v>1</v>
      </c>
      <c r="P21" s="42">
        <f>IF(I21=0,0,VLOOKUP(I21,'00'!$A:$F,4,0))</f>
        <v>1082516</v>
      </c>
      <c r="Q21" s="37">
        <f>IF(A21=0,0,VLOOKUP(A21,'00'!$A$1:$F$65536,5,0))</f>
        <v>0</v>
      </c>
      <c r="R21" s="37">
        <f>IF(A21=0,0,VLOOKUP(A21,'00'!$A$1:$G$65536,6,0))</f>
        <v>0</v>
      </c>
      <c r="S21" s="38">
        <f t="shared" si="1"/>
        <v>0</v>
      </c>
      <c r="T21" s="38">
        <f t="shared" si="2"/>
        <v>0</v>
      </c>
      <c r="U21" s="37">
        <f>IF(I21=0,0,VLOOKUP(I21,'00'!$A:$F,5,0))+X21</f>
        <v>37</v>
      </c>
      <c r="V21" s="37">
        <f>IF(I21=0,0,VLOOKUP(I21,'00'!$A$1:$F$65536,6,0))</f>
        <v>15</v>
      </c>
      <c r="W21" s="30"/>
      <c r="X21" s="30">
        <f t="shared" si="3"/>
        <v>0</v>
      </c>
      <c r="Y21" s="31">
        <f t="shared" si="4"/>
        <v>0</v>
      </c>
      <c r="Z21" s="71">
        <f t="shared" si="5"/>
        <v>0</v>
      </c>
      <c r="AA21" s="71">
        <f t="shared" si="6"/>
        <v>0</v>
      </c>
      <c r="AB21" s="71">
        <f t="shared" si="7"/>
        <v>0</v>
      </c>
      <c r="AC21" s="71">
        <f t="shared" si="9"/>
        <v>148</v>
      </c>
    </row>
    <row r="22" spans="1:29" s="31" customFormat="1" ht="13.5" thickTop="1" thickBot="1">
      <c r="A22" s="152">
        <v>270278</v>
      </c>
      <c r="B22" s="3" t="str">
        <f>IF(A22=0,0,VLOOKUP(A22,'00'!$A$1:$F$65536,2,0))</f>
        <v>SES401(0)二段</v>
      </c>
      <c r="C22" s="5">
        <v>1</v>
      </c>
      <c r="D22" s="3" t="str">
        <f>IF(C22=0,0,VLOOKUP(C22,'01'!$A$2:$B$98,2,0))</f>
        <v>炼胶</v>
      </c>
      <c r="E22" s="12">
        <v>32</v>
      </c>
      <c r="F22" s="33" t="s">
        <v>1</v>
      </c>
      <c r="G22" s="34">
        <v>1000000</v>
      </c>
      <c r="H22" s="206">
        <f>IF(A22=0,0,VLOOKUP(A22,'00'!$A:$F,4,0))</f>
        <v>1082528</v>
      </c>
      <c r="I22" s="162"/>
      <c r="J22" s="34">
        <f>IF(I22=0,0,VLOOKUP(I22,'00'!$A$1:$F$65536,2,0))</f>
        <v>0</v>
      </c>
      <c r="K22" s="34"/>
      <c r="L22" s="7">
        <f>IF(K22=0,0,VLOOKUP(K22,'01'!$A$2:$B$98,2,0))</f>
        <v>0</v>
      </c>
      <c r="M22" s="39"/>
      <c r="N22" s="33" t="s">
        <v>0</v>
      </c>
      <c r="O22" s="35">
        <f t="shared" si="0"/>
        <v>1</v>
      </c>
      <c r="P22" s="43">
        <f>IF(I22=0,0,VLOOKUP(I22,'00'!$A:$F,4,0))</f>
        <v>0</v>
      </c>
      <c r="Q22" s="37">
        <f>IF(A22=0,0,VLOOKUP(A22,'00'!$A$1:$F$65536,5,0))</f>
        <v>153</v>
      </c>
      <c r="R22" s="37">
        <f>IF(A22=0,0,VLOOKUP(A22,'00'!$A$1:$G$65536,6,0))</f>
        <v>6</v>
      </c>
      <c r="S22" s="38">
        <f t="shared" si="1"/>
        <v>1</v>
      </c>
      <c r="T22" s="38">
        <f t="shared" si="2"/>
        <v>0</v>
      </c>
      <c r="U22" s="37">
        <f>IF(I22=0,0,VLOOKUP(I22,'00'!$A:$F,5,0))+X22</f>
        <v>0</v>
      </c>
      <c r="V22" s="37">
        <f>IF(I22=0,0,VLOOKUP(I22,'00'!$A$1:$F$65536,6,0))</f>
        <v>0</v>
      </c>
      <c r="W22" s="30"/>
      <c r="X22" s="30">
        <f t="shared" si="3"/>
        <v>0</v>
      </c>
      <c r="Y22" s="31">
        <f t="shared" si="4"/>
        <v>192</v>
      </c>
      <c r="Z22" s="71">
        <f t="shared" si="5"/>
        <v>4896</v>
      </c>
      <c r="AA22" s="71">
        <f t="shared" si="6"/>
        <v>4896</v>
      </c>
      <c r="AB22" s="71">
        <f t="shared" si="7"/>
        <v>0</v>
      </c>
      <c r="AC22" s="71">
        <f t="shared" si="9"/>
        <v>0</v>
      </c>
    </row>
    <row r="23" spans="1:29" s="31" customFormat="1" ht="13.5" thickTop="1" thickBot="1">
      <c r="A23" s="152">
        <v>270006</v>
      </c>
      <c r="B23" s="3" t="str">
        <f>IF(A23=0,0,VLOOKUP(A23,'00'!$A$1:$F$65536,2,0))</f>
        <v>SES371(0)</v>
      </c>
      <c r="C23" s="5">
        <v>17</v>
      </c>
      <c r="D23" s="3" t="str">
        <f>IF(C23=0,0,VLOOKUP(C23,'01'!$A$2:$B$98,2,0))</f>
        <v>淮安</v>
      </c>
      <c r="E23" s="12">
        <v>16</v>
      </c>
      <c r="F23" s="33" t="s">
        <v>1</v>
      </c>
      <c r="G23" s="34">
        <v>1000000</v>
      </c>
      <c r="H23" s="206">
        <f>IF(A23=0,0,VLOOKUP(A23,'00'!$A:$F,4,0))</f>
        <v>1082542</v>
      </c>
      <c r="I23" s="162"/>
      <c r="J23" s="34">
        <f>IF(I23=0,0,VLOOKUP(I23,'00'!$A$1:$F$65536,2,0))</f>
        <v>0</v>
      </c>
      <c r="K23" s="34"/>
      <c r="L23" s="7">
        <f>IF(K23=0,0,VLOOKUP(K23,'01'!$A$2:$B$98,2,0))</f>
        <v>0</v>
      </c>
      <c r="M23" s="39"/>
      <c r="N23" s="33" t="s">
        <v>0</v>
      </c>
      <c r="O23" s="35">
        <f t="shared" si="0"/>
        <v>1</v>
      </c>
      <c r="P23" s="43">
        <f>IF(I23=0,0,VLOOKUP(I23,'00'!$A:$F,4,0))</f>
        <v>0</v>
      </c>
      <c r="Q23" s="37">
        <f>IF(A23=0,0,VLOOKUP(A23,'00'!$A$1:$F$65536,5,0))</f>
        <v>154.5</v>
      </c>
      <c r="R23" s="37">
        <f>IF(A23=0,0,VLOOKUP(A23,'00'!$A$1:$G$65536,6,0))</f>
        <v>5.5</v>
      </c>
      <c r="S23" s="38">
        <f t="shared" si="1"/>
        <v>1</v>
      </c>
      <c r="T23" s="38">
        <f t="shared" si="2"/>
        <v>0</v>
      </c>
      <c r="U23" s="37">
        <f>IF(I23=0,0,VLOOKUP(I23,'00'!$A:$F,5,0))+X23</f>
        <v>0</v>
      </c>
      <c r="V23" s="37">
        <f>IF(I23=0,0,VLOOKUP(I23,'00'!$A$1:$F$65536,6,0))</f>
        <v>0</v>
      </c>
      <c r="W23" s="30"/>
      <c r="X23" s="30">
        <f t="shared" si="3"/>
        <v>0</v>
      </c>
      <c r="Y23" s="31">
        <f t="shared" si="4"/>
        <v>88</v>
      </c>
      <c r="Z23" s="71">
        <f t="shared" si="5"/>
        <v>2472</v>
      </c>
      <c r="AA23" s="71">
        <f t="shared" si="6"/>
        <v>2472</v>
      </c>
      <c r="AB23" s="71">
        <f t="shared" si="7"/>
        <v>0</v>
      </c>
      <c r="AC23" s="71">
        <f t="shared" si="9"/>
        <v>0</v>
      </c>
    </row>
    <row r="24" spans="1:29" s="31" customFormat="1" ht="13.5" thickTop="1" thickBot="1">
      <c r="A24" s="152">
        <v>270008</v>
      </c>
      <c r="B24" s="3" t="str">
        <f>IF(A24=0,0,VLOOKUP(A24,'00'!$A$1:$F$65536,2,0))</f>
        <v>SES431(0)</v>
      </c>
      <c r="C24" s="5">
        <v>1</v>
      </c>
      <c r="D24" s="3" t="str">
        <f>IF(C24=0,0,VLOOKUP(C24,'01'!$A$2:$B$98,2,0))</f>
        <v>炼胶</v>
      </c>
      <c r="E24" s="12">
        <v>9</v>
      </c>
      <c r="F24" s="33" t="s">
        <v>1</v>
      </c>
      <c r="G24" s="34">
        <v>1000000</v>
      </c>
      <c r="H24" s="206">
        <f>IF(A24=0,0,VLOOKUP(A24,'00'!$A:$F,4,0))</f>
        <v>1082524</v>
      </c>
      <c r="I24" s="162"/>
      <c r="J24" s="34">
        <f>IF(I24=0,0,VLOOKUP(I24,'00'!$A$1:$F$65536,2,0))</f>
        <v>0</v>
      </c>
      <c r="K24" s="34"/>
      <c r="L24" s="7">
        <f>IF(K24=0,0,VLOOKUP(K24,'01'!$A$2:$B$98,2,0))</f>
        <v>0</v>
      </c>
      <c r="M24" s="39"/>
      <c r="N24" s="33" t="s">
        <v>0</v>
      </c>
      <c r="O24" s="35">
        <f t="shared" si="0"/>
        <v>1</v>
      </c>
      <c r="P24" s="43">
        <f>IF(I24=0,0,VLOOKUP(I24,'00'!$A:$F,4,0))</f>
        <v>0</v>
      </c>
      <c r="Q24" s="37">
        <f>IF(A24=0,0,VLOOKUP(A24,'00'!$A$1:$F$65536,5,0))</f>
        <v>154.5</v>
      </c>
      <c r="R24" s="37">
        <f>IF(A24=0,0,VLOOKUP(A24,'00'!$A$1:$G$65536,6,0))</f>
        <v>6</v>
      </c>
      <c r="S24" s="38">
        <f t="shared" si="1"/>
        <v>1</v>
      </c>
      <c r="T24" s="38">
        <f t="shared" si="2"/>
        <v>0</v>
      </c>
      <c r="U24" s="37">
        <f>IF(I24=0,0,VLOOKUP(I24,'00'!$A:$F,5,0))+X24</f>
        <v>0</v>
      </c>
      <c r="V24" s="37">
        <f>IF(I24=0,0,VLOOKUP(I24,'00'!$A$1:$F$65536,6,0))</f>
        <v>0</v>
      </c>
      <c r="W24" s="30"/>
      <c r="X24" s="30">
        <f t="shared" si="3"/>
        <v>0</v>
      </c>
      <c r="Y24" s="31">
        <f t="shared" si="4"/>
        <v>54</v>
      </c>
      <c r="Z24" s="71">
        <f t="shared" si="5"/>
        <v>1390.5</v>
      </c>
      <c r="AA24" s="71">
        <f t="shared" si="6"/>
        <v>1390.5</v>
      </c>
      <c r="AB24" s="71">
        <f t="shared" si="7"/>
        <v>0</v>
      </c>
      <c r="AC24" s="71">
        <f t="shared" si="9"/>
        <v>0</v>
      </c>
    </row>
    <row r="25" spans="1:29" s="31" customFormat="1" ht="13.5" thickTop="1" thickBot="1">
      <c r="A25" s="152">
        <v>270015</v>
      </c>
      <c r="B25" s="3" t="str">
        <f>IF(A25=0,0,VLOOKUP(A25,'00'!$A$1:$F$65536,2,0))</f>
        <v>DJS801(0)</v>
      </c>
      <c r="C25" s="5">
        <v>1</v>
      </c>
      <c r="D25" s="3" t="str">
        <f>IF(C25=0,0,VLOOKUP(C25,'01'!$A$2:$B$98,2,0))</f>
        <v>炼胶</v>
      </c>
      <c r="E25" s="12">
        <v>5</v>
      </c>
      <c r="F25" s="33" t="s">
        <v>1</v>
      </c>
      <c r="G25" s="34">
        <v>1000000</v>
      </c>
      <c r="H25" s="206">
        <f>IF(A25=0,0,VLOOKUP(A25,'00'!$A:$F,4,0))</f>
        <v>1082536</v>
      </c>
      <c r="I25" s="32"/>
      <c r="J25" s="34">
        <f>IF(I25=0,0,VLOOKUP(I25,'00'!$A$1:$F$65536,2,0))</f>
        <v>0</v>
      </c>
      <c r="K25" s="34"/>
      <c r="L25" s="7">
        <f>IF(K25=0,0,VLOOKUP(K25,'01'!$A$2:$B$98,2,0))</f>
        <v>0</v>
      </c>
      <c r="M25" s="39"/>
      <c r="N25" s="33" t="s">
        <v>0</v>
      </c>
      <c r="O25" s="35">
        <f t="shared" si="0"/>
        <v>1</v>
      </c>
      <c r="P25" s="43">
        <f>IF(I25=0,0,VLOOKUP(I25,'00'!$A:$F,4,0))</f>
        <v>0</v>
      </c>
      <c r="Q25" s="37">
        <f>IF(A25=0,0,VLOOKUP(A25,'00'!$A$1:$F$65536,5,0))</f>
        <v>152</v>
      </c>
      <c r="R25" s="37">
        <f>IF(A25=0,0,VLOOKUP(A25,'00'!$A$1:$G$65536,6,0))</f>
        <v>6.5</v>
      </c>
      <c r="S25" s="38">
        <f>IF(A25=270278,1,IF(RIGHT(B25,3)="(0)",1,0))</f>
        <v>1</v>
      </c>
      <c r="T25" s="38">
        <f t="shared" si="2"/>
        <v>0</v>
      </c>
      <c r="U25" s="37">
        <f>IF(I25=0,0,VLOOKUP(I25,'00'!$A:$F,5,0))+X25</f>
        <v>0</v>
      </c>
      <c r="V25" s="37">
        <f>IF(I25=0,0,VLOOKUP(I25,'00'!$A$1:$F$65536,6,0))</f>
        <v>0</v>
      </c>
      <c r="W25" s="30">
        <v>0</v>
      </c>
      <c r="X25" s="30">
        <f t="shared" si="3"/>
        <v>0</v>
      </c>
      <c r="Y25" s="31">
        <f>E25*R25</f>
        <v>32.5</v>
      </c>
      <c r="Z25" s="71">
        <f>+E25*Q25</f>
        <v>760</v>
      </c>
      <c r="AA25" s="71">
        <f t="shared" si="6"/>
        <v>760</v>
      </c>
      <c r="AB25" s="71">
        <f t="shared" si="7"/>
        <v>0</v>
      </c>
      <c r="AC25" s="71">
        <f t="shared" si="9"/>
        <v>0</v>
      </c>
    </row>
    <row r="26" spans="1:29" s="31" customFormat="1" ht="13.5" thickTop="1" thickBot="1">
      <c r="A26" s="152">
        <v>270142</v>
      </c>
      <c r="B26" s="3" t="str">
        <f>IF(A26=0,0,VLOOKUP(A26,'00'!$A$1:$F$65536,2,0))</f>
        <v>DJS702(0)</v>
      </c>
      <c r="C26" s="5">
        <v>1</v>
      </c>
      <c r="D26" s="3" t="str">
        <f>IF(C26=0,0,VLOOKUP(C26,'01'!$A$2:$B$98,2,0))</f>
        <v>炼胶</v>
      </c>
      <c r="E26" s="12">
        <v>8</v>
      </c>
      <c r="F26" s="33" t="s">
        <v>1</v>
      </c>
      <c r="G26" s="34">
        <v>1000000</v>
      </c>
      <c r="H26" s="206">
        <f>IF(A26=0,0,VLOOKUP(A26,'00'!$A:$F,4,0))</f>
        <v>1082539</v>
      </c>
      <c r="I26" s="92"/>
      <c r="J26" s="87">
        <f>IF(I26=0,0,VLOOKUP(I26,'00'!$A$1:$F$65536,2,0))</f>
        <v>0</v>
      </c>
      <c r="K26" s="87"/>
      <c r="L26" s="8">
        <f>IF(K26=0,0,VLOOKUP(K26,'01'!$A$2:$B$98,2,0))</f>
        <v>0</v>
      </c>
      <c r="M26" s="93"/>
      <c r="N26" s="89" t="s">
        <v>0</v>
      </c>
      <c r="O26" s="90">
        <f t="shared" si="0"/>
        <v>1</v>
      </c>
      <c r="P26" s="91">
        <f>IF(I26=0,0,VLOOKUP(I26,'00'!$A:$F,4,0))</f>
        <v>0</v>
      </c>
      <c r="Q26" s="37">
        <f>IF(A26=0,0,VLOOKUP(A26,'00'!$A$1:$F$65536,5,0))</f>
        <v>152</v>
      </c>
      <c r="R26" s="37">
        <f>IF(A26=0,0,VLOOKUP(A26,'00'!$A$1:$G$65536,6,0))</f>
        <v>5.2</v>
      </c>
      <c r="S26" s="38">
        <f t="shared" si="1"/>
        <v>1</v>
      </c>
      <c r="T26" s="38">
        <f t="shared" si="2"/>
        <v>0</v>
      </c>
      <c r="U26" s="37">
        <f>IF(I26=0,0,VLOOKUP(I26,'00'!$A:$F,5,0))+X26</f>
        <v>0</v>
      </c>
      <c r="V26" s="37">
        <f>IF(I26=0,0,VLOOKUP(I26,'00'!$A$1:$F$65536,6,0))</f>
        <v>0</v>
      </c>
      <c r="W26" s="30"/>
      <c r="X26" s="30">
        <f t="shared" si="3"/>
        <v>0</v>
      </c>
      <c r="Y26" s="31">
        <f t="shared" si="4"/>
        <v>41.6</v>
      </c>
      <c r="Z26" s="71">
        <f t="shared" si="5"/>
        <v>1216</v>
      </c>
      <c r="AA26" s="71">
        <f t="shared" si="6"/>
        <v>1216</v>
      </c>
      <c r="AB26" s="71">
        <f t="shared" si="7"/>
        <v>0</v>
      </c>
      <c r="AC26" s="71">
        <f t="shared" si="9"/>
        <v>0</v>
      </c>
    </row>
    <row r="27" spans="1:29" s="31" customFormat="1" ht="13.5" thickTop="1" thickBot="1">
      <c r="A27" s="152"/>
      <c r="B27" s="3">
        <f>IF(A27=0,0,VLOOKUP(A27,'00'!$A$1:$F$65536,2,0))</f>
        <v>0</v>
      </c>
      <c r="C27" s="5"/>
      <c r="D27" s="3">
        <f>IF(C27=0,0,VLOOKUP(C27,'01'!$A$2:$B$98,2,0))</f>
        <v>0</v>
      </c>
      <c r="E27" s="12"/>
      <c r="F27" s="33" t="s">
        <v>1</v>
      </c>
      <c r="G27" s="34">
        <v>1000000</v>
      </c>
      <c r="H27" s="206">
        <f>IF(A27=0,0,VLOOKUP(A27,'00'!$A:$F,4,0))</f>
        <v>0</v>
      </c>
      <c r="I27" s="9">
        <v>270098</v>
      </c>
      <c r="J27" s="52" t="str">
        <f>IF(I27=0,0,VLOOKUP(I27,'00'!$A$1:$F$65536,2,0))</f>
        <v>DJS601薄片</v>
      </c>
      <c r="K27" s="10">
        <v>20</v>
      </c>
      <c r="L27" s="129" t="str">
        <f>IF(K27=0,0,VLOOKUP(K27,'01'!$A$2:$B$98,2,0))</f>
        <v>约定</v>
      </c>
      <c r="M27" s="13" t="s">
        <v>334</v>
      </c>
      <c r="N27" s="40" t="s">
        <v>1</v>
      </c>
      <c r="O27" s="41">
        <f t="shared" si="0"/>
        <v>10000</v>
      </c>
      <c r="P27" s="42">
        <f>IF(I27=0,0,VLOOKUP(I27,'00'!$A:$F,4,0))</f>
        <v>1082522</v>
      </c>
      <c r="Q27" s="37">
        <f>IF(A27=0,0,VLOOKUP(A27,'00'!$A$1:$F$65536,5,0))</f>
        <v>0</v>
      </c>
      <c r="R27" s="37">
        <f>IF(A27=0,0,VLOOKUP(A27,'00'!$A$1:$G$65536,6,0))</f>
        <v>0</v>
      </c>
      <c r="S27" s="38">
        <f t="shared" si="1"/>
        <v>0</v>
      </c>
      <c r="T27" s="38">
        <f t="shared" si="2"/>
        <v>0</v>
      </c>
      <c r="U27" s="37">
        <f>IF(I27=0,0,VLOOKUP(I27,'00'!$A:$F,5,0))+X27</f>
        <v>0</v>
      </c>
      <c r="V27" s="37">
        <f>IF(I27=0,0,VLOOKUP(I27,'00'!$A$1:$F$65536,6,0))</f>
        <v>1.5</v>
      </c>
      <c r="W27" s="37">
        <v>123</v>
      </c>
      <c r="X27" s="30">
        <f t="shared" si="3"/>
        <v>0</v>
      </c>
      <c r="Y27" s="31">
        <f t="shared" si="4"/>
        <v>0</v>
      </c>
      <c r="Z27" s="71">
        <f t="shared" si="5"/>
        <v>0</v>
      </c>
      <c r="AA27" s="71">
        <f t="shared" si="6"/>
        <v>0</v>
      </c>
      <c r="AB27" s="71">
        <f t="shared" si="7"/>
        <v>0</v>
      </c>
      <c r="AC27" s="71"/>
    </row>
    <row r="28" spans="1:29" s="31" customFormat="1" ht="13.5" thickTop="1" thickBot="1">
      <c r="A28" s="152"/>
      <c r="B28" s="3">
        <f>IF(A28=0,0,VLOOKUP(A28,'00'!$A$1:$F$65536,2,0))</f>
        <v>0</v>
      </c>
      <c r="C28" s="5"/>
      <c r="D28" s="3">
        <f>IF(C28=0,0,VLOOKUP(C28,'01'!$A$2:$B$98,2,0))</f>
        <v>0</v>
      </c>
      <c r="E28" s="12"/>
      <c r="F28" s="33" t="s">
        <v>1</v>
      </c>
      <c r="G28" s="34">
        <v>1000000</v>
      </c>
      <c r="H28" s="206">
        <f>IF(A28=0,0,VLOOKUP(A28,'00'!$A:$F,4,0))</f>
        <v>0</v>
      </c>
      <c r="I28" s="162" t="s">
        <v>347</v>
      </c>
      <c r="J28" s="34" t="str">
        <f>IF(I28=0,0,VLOOKUP(I28,'00'!$A$1:$F$65536,2,0))</f>
        <v>DJS601(1)</v>
      </c>
      <c r="K28" s="34">
        <v>7</v>
      </c>
      <c r="L28" s="7" t="str">
        <f>IF(K28=0,0,VLOOKUP(K28,'01'!$A$2:$B$98,2,0))</f>
        <v>申翔</v>
      </c>
      <c r="M28" s="39">
        <v>1</v>
      </c>
      <c r="N28" s="33" t="s">
        <v>1</v>
      </c>
      <c r="O28" s="35">
        <f t="shared" si="0"/>
        <v>10000</v>
      </c>
      <c r="P28" s="43">
        <f>IF(I28=0,0,VLOOKUP(I28,'00'!$A:$F,4,0))</f>
        <v>1082518</v>
      </c>
      <c r="Q28" s="37">
        <f>IF(A28=0,0,VLOOKUP(A28,'00'!$A$1:$F$65536,5,0))</f>
        <v>0</v>
      </c>
      <c r="R28" s="37">
        <f>IF(A28=0,0,VLOOKUP(A28,'00'!$A$1:$G$65536,6,0))</f>
        <v>0</v>
      </c>
      <c r="S28" s="38">
        <f t="shared" si="1"/>
        <v>0</v>
      </c>
      <c r="T28" s="38">
        <f t="shared" si="2"/>
        <v>0</v>
      </c>
      <c r="U28" s="37">
        <f>IF(I28=0,0,VLOOKUP(I28,'00'!$A:$F,5,0))+X28</f>
        <v>40</v>
      </c>
      <c r="V28" s="37">
        <f>IF(I28=0,0,VLOOKUP(I28,'00'!$A$1:$F$65536,6,0))</f>
        <v>10</v>
      </c>
      <c r="W28" s="30"/>
      <c r="X28" s="30">
        <f t="shared" si="3"/>
        <v>0</v>
      </c>
      <c r="Y28" s="31">
        <f t="shared" si="4"/>
        <v>0</v>
      </c>
      <c r="Z28" s="71">
        <f t="shared" si="5"/>
        <v>0</v>
      </c>
      <c r="AA28" s="71">
        <f t="shared" si="6"/>
        <v>0</v>
      </c>
      <c r="AB28" s="71">
        <f t="shared" si="7"/>
        <v>0</v>
      </c>
      <c r="AC28" s="71">
        <f t="shared" ref="AC28:AC37" si="10">+U28*M28</f>
        <v>40</v>
      </c>
    </row>
    <row r="29" spans="1:29" s="31" customFormat="1" ht="13.5" thickTop="1" thickBot="1">
      <c r="A29" s="152"/>
      <c r="B29" s="3">
        <f>IF(A29=0,0,VLOOKUP(A29,'00'!$A$1:$F$65536,2,0))</f>
        <v>0</v>
      </c>
      <c r="C29" s="5"/>
      <c r="D29" s="3">
        <f>IF(C29=0,0,VLOOKUP(C29,'01'!$A$2:$B$98,2,0))</f>
        <v>0</v>
      </c>
      <c r="E29" s="12"/>
      <c r="F29" s="33" t="s">
        <v>1</v>
      </c>
      <c r="G29" s="34">
        <v>1000000</v>
      </c>
      <c r="H29" s="206">
        <f>IF(A29=0,0,VLOOKUP(A29,'00'!$A:$F,4,0))</f>
        <v>0</v>
      </c>
      <c r="I29" s="162">
        <v>270047</v>
      </c>
      <c r="J29" s="34" t="str">
        <f>IF(I29=0,0,VLOOKUP(I29,'00'!$A$1:$F$65536,2,0))</f>
        <v>DJS801(1)</v>
      </c>
      <c r="K29" s="34">
        <v>10</v>
      </c>
      <c r="L29" s="7" t="str">
        <f>IF(K29=0,0,VLOOKUP(K29,'01'!$A$2:$B$98,2,0))</f>
        <v>申舒</v>
      </c>
      <c r="M29" s="39">
        <v>1</v>
      </c>
      <c r="N29" s="33" t="s">
        <v>1</v>
      </c>
      <c r="O29" s="35">
        <f t="shared" si="0"/>
        <v>10000</v>
      </c>
      <c r="P29" s="43">
        <f>IF(I29=0,0,VLOOKUP(I29,'00'!$A:$F,4,0))</f>
        <v>1082512</v>
      </c>
      <c r="Q29" s="37">
        <f>IF(A29=0,0,VLOOKUP(A29,'00'!$A$1:$F$65536,5,0))</f>
        <v>0</v>
      </c>
      <c r="R29" s="37">
        <f>IF(A29=0,0,VLOOKUP(A29,'00'!$A$1:$G$65536,6,0))</f>
        <v>0</v>
      </c>
      <c r="S29" s="38">
        <f t="shared" si="1"/>
        <v>0</v>
      </c>
      <c r="T29" s="38">
        <f t="shared" si="2"/>
        <v>0</v>
      </c>
      <c r="U29" s="37">
        <f>IF(I29=0,0,VLOOKUP(I29,'00'!$A:$F,5,0))+X29</f>
        <v>37</v>
      </c>
      <c r="V29" s="37">
        <f>IF(I29=0,0,VLOOKUP(I29,'00'!$A$1:$F$65536,6,0))</f>
        <v>15</v>
      </c>
      <c r="W29" s="30"/>
      <c r="X29" s="30">
        <f t="shared" si="3"/>
        <v>0</v>
      </c>
      <c r="Y29" s="31">
        <f t="shared" si="4"/>
        <v>0</v>
      </c>
      <c r="Z29" s="71">
        <f t="shared" si="5"/>
        <v>0</v>
      </c>
      <c r="AA29" s="71">
        <f t="shared" si="6"/>
        <v>0</v>
      </c>
      <c r="AB29" s="71">
        <f t="shared" si="7"/>
        <v>0</v>
      </c>
      <c r="AC29" s="71">
        <f t="shared" si="10"/>
        <v>37</v>
      </c>
    </row>
    <row r="30" spans="1:29" s="31" customFormat="1" ht="13.5" thickTop="1" thickBot="1">
      <c r="A30" s="152"/>
      <c r="B30" s="3">
        <f>IF(A30=0,0,VLOOKUP(A30,'00'!$A$1:$F$65536,2,0))</f>
        <v>0</v>
      </c>
      <c r="C30" s="5"/>
      <c r="D30" s="3">
        <f>IF(C30=0,0,VLOOKUP(C30,'01'!$A$2:$B$98,2,0))</f>
        <v>0</v>
      </c>
      <c r="E30" s="12"/>
      <c r="F30" s="33" t="s">
        <v>1</v>
      </c>
      <c r="G30" s="34">
        <v>1000000</v>
      </c>
      <c r="H30" s="206">
        <f>IF(A30=0,0,VLOOKUP(A30,'00'!$A:$F,4,0))</f>
        <v>0</v>
      </c>
      <c r="I30" s="162">
        <v>270143</v>
      </c>
      <c r="J30" s="34" t="str">
        <f>IF(I30=0,0,VLOOKUP(I30,'00'!$A$1:$F$65536,2,0))</f>
        <v>DJS702(1)</v>
      </c>
      <c r="K30" s="34">
        <v>10</v>
      </c>
      <c r="L30" s="7" t="str">
        <f>IF(K30=0,0,VLOOKUP(K30,'01'!$A$2:$B$98,2,0))</f>
        <v>申舒</v>
      </c>
      <c r="M30" s="39">
        <v>8</v>
      </c>
      <c r="N30" s="33" t="s">
        <v>1</v>
      </c>
      <c r="O30" s="35">
        <f t="shared" si="0"/>
        <v>10000</v>
      </c>
      <c r="P30" s="43">
        <f>IF(I30=0,0,VLOOKUP(I30,'00'!$A:$F,4,0))</f>
        <v>1082516</v>
      </c>
      <c r="Q30" s="37">
        <f>IF(A30=0,0,VLOOKUP(A30,'00'!$A$1:$F$65536,5,0))</f>
        <v>0</v>
      </c>
      <c r="R30" s="37">
        <f>IF(A30=0,0,VLOOKUP(A30,'00'!$A$1:$G$65536,6,0))</f>
        <v>0</v>
      </c>
      <c r="S30" s="38">
        <f t="shared" si="1"/>
        <v>0</v>
      </c>
      <c r="T30" s="38">
        <f t="shared" si="2"/>
        <v>0</v>
      </c>
      <c r="U30" s="37">
        <f>IF(I30=0,0,VLOOKUP(I30,'00'!$A:$F,5,0))+X30</f>
        <v>37</v>
      </c>
      <c r="V30" s="37">
        <f>IF(I30=0,0,VLOOKUP(I30,'00'!$A$1:$F$65536,6,0))</f>
        <v>15</v>
      </c>
      <c r="W30" s="30"/>
      <c r="X30" s="30">
        <f t="shared" si="3"/>
        <v>0</v>
      </c>
      <c r="Y30" s="31">
        <f t="shared" si="4"/>
        <v>0</v>
      </c>
      <c r="Z30" s="71">
        <f t="shared" si="5"/>
        <v>0</v>
      </c>
      <c r="AA30" s="71">
        <f t="shared" si="6"/>
        <v>0</v>
      </c>
      <c r="AB30" s="71">
        <f t="shared" si="7"/>
        <v>0</v>
      </c>
      <c r="AC30" s="71">
        <f t="shared" si="10"/>
        <v>296</v>
      </c>
    </row>
    <row r="31" spans="1:29" s="31" customFormat="1" ht="13.5" thickTop="1" thickBot="1">
      <c r="A31" s="152"/>
      <c r="B31" s="3">
        <f>IF(A31=0,0,VLOOKUP(A31,'00'!$A$1:$F$65536,2,0))</f>
        <v>0</v>
      </c>
      <c r="C31" s="5"/>
      <c r="D31" s="3">
        <f>IF(C31=0,0,VLOOKUP(C31,'01'!$A$2:$B$98,2,0))</f>
        <v>0</v>
      </c>
      <c r="E31" s="12"/>
      <c r="F31" s="33" t="s">
        <v>1</v>
      </c>
      <c r="G31" s="34">
        <v>1000000</v>
      </c>
      <c r="H31" s="206">
        <f>IF(A31=0,0,VLOOKUP(A31,'00'!$A:$F,4,0))</f>
        <v>0</v>
      </c>
      <c r="I31" s="162">
        <v>270143</v>
      </c>
      <c r="J31" s="34" t="str">
        <f>IF(I31=0,0,VLOOKUP(I31,'00'!$A$1:$F$65536,2,0))</f>
        <v>DJS702(1)</v>
      </c>
      <c r="K31" s="34">
        <v>23</v>
      </c>
      <c r="L31" s="7" t="str">
        <f>IF(K31=0,0,VLOOKUP(K31,'01'!$A$2:$B$98,2,0))</f>
        <v>三区</v>
      </c>
      <c r="M31" s="39">
        <v>2</v>
      </c>
      <c r="N31" s="33" t="s">
        <v>1</v>
      </c>
      <c r="O31" s="35">
        <f t="shared" si="0"/>
        <v>10000</v>
      </c>
      <c r="P31" s="43">
        <f>IF(I31=0,0,VLOOKUP(I31,'00'!$A:$F,4,0))</f>
        <v>1082516</v>
      </c>
      <c r="Q31" s="37">
        <f>IF(A31=0,0,VLOOKUP(A31,'00'!$A$1:$F$65536,5,0))</f>
        <v>0</v>
      </c>
      <c r="R31" s="37">
        <f>IF(A31=0,0,VLOOKUP(A31,'00'!$A$1:$G$65536,6,0))</f>
        <v>0</v>
      </c>
      <c r="S31" s="38">
        <f t="shared" si="1"/>
        <v>0</v>
      </c>
      <c r="T31" s="38">
        <f t="shared" si="2"/>
        <v>0</v>
      </c>
      <c r="U31" s="37">
        <f>IF(I31=0,0,VLOOKUP(I31,'00'!$A:$F,5,0))+X31</f>
        <v>37</v>
      </c>
      <c r="V31" s="37">
        <f>IF(I31=0,0,VLOOKUP(I31,'00'!$A$1:$F$65536,6,0))</f>
        <v>15</v>
      </c>
      <c r="W31" s="30"/>
      <c r="X31" s="30">
        <f t="shared" si="3"/>
        <v>0</v>
      </c>
      <c r="Y31" s="31">
        <f t="shared" si="4"/>
        <v>0</v>
      </c>
      <c r="Z31" s="71">
        <f t="shared" si="5"/>
        <v>0</v>
      </c>
      <c r="AA31" s="71">
        <f t="shared" si="6"/>
        <v>0</v>
      </c>
      <c r="AB31" s="71">
        <f t="shared" si="7"/>
        <v>0</v>
      </c>
      <c r="AC31" s="71">
        <f t="shared" si="10"/>
        <v>74</v>
      </c>
    </row>
    <row r="32" spans="1:29" s="31" customFormat="1" ht="13.5" thickTop="1" thickBot="1">
      <c r="A32" s="152"/>
      <c r="B32" s="3">
        <f>IF(A32=0,0,VLOOKUP(A32,'00'!$A$1:$F$65536,2,0))</f>
        <v>0</v>
      </c>
      <c r="C32" s="5"/>
      <c r="D32" s="3">
        <f>IF(C32=0,0,VLOOKUP(C32,'01'!$A$2:$B$98,2,0))</f>
        <v>0</v>
      </c>
      <c r="E32" s="12"/>
      <c r="F32" s="33" t="s">
        <v>1</v>
      </c>
      <c r="G32" s="34">
        <v>1000000</v>
      </c>
      <c r="H32" s="206">
        <f>IF(A32=0,0,VLOOKUP(A32,'00'!$A:$F,4,0))</f>
        <v>0</v>
      </c>
      <c r="I32" s="162"/>
      <c r="J32" s="34">
        <f>IF(I32=0,0,VLOOKUP(I32,'00'!$A$1:$F$65536,2,0))</f>
        <v>0</v>
      </c>
      <c r="K32" s="34"/>
      <c r="L32" s="7">
        <f>IF(K32=0,0,VLOOKUP(K32,'01'!$A$2:$B$98,2,0))</f>
        <v>0</v>
      </c>
      <c r="M32" s="39"/>
      <c r="N32" s="33" t="s">
        <v>1</v>
      </c>
      <c r="O32" s="35">
        <f t="shared" si="0"/>
        <v>10000</v>
      </c>
      <c r="P32" s="43">
        <f>IF(I32=0,0,VLOOKUP(I32,'00'!$A:$F,4,0))</f>
        <v>0</v>
      </c>
      <c r="Q32" s="37">
        <f>IF(A32=0,0,VLOOKUP(A32,'00'!$A$1:$F$65536,5,0))</f>
        <v>0</v>
      </c>
      <c r="R32" s="37">
        <f>IF(A32=0,0,VLOOKUP(A32,'00'!$A$1:$G$65536,6,0))</f>
        <v>0</v>
      </c>
      <c r="S32" s="38">
        <f t="shared" si="1"/>
        <v>0</v>
      </c>
      <c r="T32" s="38">
        <f t="shared" si="2"/>
        <v>0</v>
      </c>
      <c r="U32" s="37">
        <f>IF(I32=0,0,VLOOKUP(I32,'00'!$A:$F,5,0))+X32</f>
        <v>0</v>
      </c>
      <c r="V32" s="37">
        <f>IF(I32=0,0,VLOOKUP(I32,'00'!$A$1:$F$65536,6,0))</f>
        <v>0</v>
      </c>
      <c r="W32" s="30"/>
      <c r="X32" s="30">
        <f t="shared" si="3"/>
        <v>0</v>
      </c>
      <c r="Y32" s="31">
        <f t="shared" si="4"/>
        <v>0</v>
      </c>
      <c r="Z32" s="71">
        <f t="shared" si="5"/>
        <v>0</v>
      </c>
      <c r="AA32" s="71">
        <f t="shared" si="6"/>
        <v>0</v>
      </c>
      <c r="AB32" s="71">
        <f t="shared" si="7"/>
        <v>0</v>
      </c>
      <c r="AC32" s="71">
        <f t="shared" si="10"/>
        <v>0</v>
      </c>
    </row>
    <row r="33" spans="1:29" s="31" customFormat="1" ht="13.5" thickTop="1" thickBot="1">
      <c r="A33" s="152"/>
      <c r="B33" s="3">
        <f>IF(A33=0,0,VLOOKUP(A33,'00'!$A$1:$F$65536,2,0))</f>
        <v>0</v>
      </c>
      <c r="C33" s="5"/>
      <c r="D33" s="3">
        <f>IF(C33=0,0,VLOOKUP(C33,'01'!$A$2:$B$98,2,0))</f>
        <v>0</v>
      </c>
      <c r="E33" s="12"/>
      <c r="F33" s="33" t="s">
        <v>1</v>
      </c>
      <c r="G33" s="34">
        <v>1000000</v>
      </c>
      <c r="H33" s="206">
        <f>IF(A33=0,0,VLOOKUP(A33,'00'!$A:$F,4,0))</f>
        <v>0</v>
      </c>
      <c r="I33" s="162"/>
      <c r="J33" s="34">
        <f>IF(I33=0,0,VLOOKUP(I33,'00'!$A$1:$F$65536,2,0))</f>
        <v>0</v>
      </c>
      <c r="K33" s="34"/>
      <c r="L33" s="7">
        <f>IF(K33=0,0,VLOOKUP(K33,'01'!$A$2:$B$98,2,0))</f>
        <v>0</v>
      </c>
      <c r="M33" s="39"/>
      <c r="N33" s="33" t="s">
        <v>1</v>
      </c>
      <c r="O33" s="35">
        <f t="shared" si="0"/>
        <v>10000</v>
      </c>
      <c r="P33" s="43">
        <f>IF(I33=0,0,VLOOKUP(I33,'00'!$A:$F,4,0))</f>
        <v>0</v>
      </c>
      <c r="Q33" s="37">
        <f>IF(A33=0,0,VLOOKUP(A33,'00'!$A$1:$F$65536,5,0))</f>
        <v>0</v>
      </c>
      <c r="R33" s="37">
        <f>IF(A33=0,0,VLOOKUP(A33,'00'!$A$1:$G$65536,6,0))</f>
        <v>0</v>
      </c>
      <c r="S33" s="38">
        <f t="shared" si="1"/>
        <v>0</v>
      </c>
      <c r="T33" s="38">
        <f t="shared" si="2"/>
        <v>0</v>
      </c>
      <c r="U33" s="37">
        <f>IF(I33=0,0,VLOOKUP(I33,'00'!$A:$F,5,0))+X33</f>
        <v>0</v>
      </c>
      <c r="V33" s="37">
        <f>IF(I33=0,0,VLOOKUP(I33,'00'!$A$1:$F$65536,6,0))</f>
        <v>0</v>
      </c>
      <c r="W33" s="30"/>
      <c r="X33" s="30">
        <f t="shared" si="3"/>
        <v>0</v>
      </c>
      <c r="Y33" s="31">
        <f t="shared" si="4"/>
        <v>0</v>
      </c>
      <c r="Z33" s="71">
        <f t="shared" si="5"/>
        <v>0</v>
      </c>
      <c r="AA33" s="71">
        <f t="shared" si="6"/>
        <v>0</v>
      </c>
      <c r="AB33" s="71">
        <f t="shared" si="7"/>
        <v>0</v>
      </c>
      <c r="AC33" s="71">
        <f t="shared" si="10"/>
        <v>0</v>
      </c>
    </row>
    <row r="34" spans="1:29" s="31" customFormat="1" ht="13.5" thickTop="1" thickBot="1">
      <c r="A34" s="32"/>
      <c r="B34" s="3">
        <f>IF(A34=0,0,VLOOKUP(A34,'00'!$A$1:$F$65536,2,0))</f>
        <v>0</v>
      </c>
      <c r="C34" s="5"/>
      <c r="D34" s="3">
        <f>IF(C34=0,0,VLOOKUP(C34,'01'!$A$2:$B$98,2,0))</f>
        <v>0</v>
      </c>
      <c r="E34" s="12"/>
      <c r="F34" s="33" t="s">
        <v>1</v>
      </c>
      <c r="G34" s="34">
        <v>1000000</v>
      </c>
      <c r="H34" s="206">
        <f>IF(A34=0,0,VLOOKUP(A34,'00'!$A:$F,4,0))</f>
        <v>0</v>
      </c>
      <c r="I34" s="162"/>
      <c r="J34" s="34">
        <f>IF(I34=0,0,VLOOKUP(I34,'00'!$A$1:$F$65536,2,0))</f>
        <v>0</v>
      </c>
      <c r="K34" s="34"/>
      <c r="L34" s="7">
        <f>IF(K34=0,0,VLOOKUP(K34,'01'!$A$2:$B$98,2,0))</f>
        <v>0</v>
      </c>
      <c r="M34" s="39"/>
      <c r="N34" s="78" t="s">
        <v>1</v>
      </c>
      <c r="O34" s="47">
        <f t="shared" si="0"/>
        <v>10000</v>
      </c>
      <c r="P34" s="79">
        <f>IF(I34=0,0,VLOOKUP(I34,'00'!$A:$F,4,0))</f>
        <v>0</v>
      </c>
      <c r="Q34" s="37">
        <f>IF(A34=0,0,VLOOKUP(A34,'00'!$A$1:$F$65536,5,0))</f>
        <v>0</v>
      </c>
      <c r="R34" s="37">
        <f>IF(A34=0,0,VLOOKUP(A34,'00'!$A$1:$G$65536,6,0))</f>
        <v>0</v>
      </c>
      <c r="S34" s="38">
        <f t="shared" si="1"/>
        <v>0</v>
      </c>
      <c r="T34" s="38">
        <f t="shared" si="2"/>
        <v>0</v>
      </c>
      <c r="U34" s="37">
        <f>IF(I34=0,0,VLOOKUP(I34,'00'!$A:$F,5,0))+X34</f>
        <v>0</v>
      </c>
      <c r="V34" s="37">
        <f>IF(I34=0,0,VLOOKUP(I34,'00'!$A$1:$F$65536,6,0))</f>
        <v>0</v>
      </c>
      <c r="W34" s="30"/>
      <c r="X34" s="30">
        <f t="shared" si="3"/>
        <v>0</v>
      </c>
      <c r="Y34" s="31">
        <f t="shared" si="4"/>
        <v>0</v>
      </c>
      <c r="Z34" s="71">
        <f t="shared" si="5"/>
        <v>0</v>
      </c>
      <c r="AA34" s="71">
        <f t="shared" si="6"/>
        <v>0</v>
      </c>
      <c r="AB34" s="71">
        <f t="shared" si="7"/>
        <v>0</v>
      </c>
      <c r="AC34" s="71">
        <f t="shared" si="10"/>
        <v>0</v>
      </c>
    </row>
    <row r="35" spans="1:29" s="31" customFormat="1" ht="13.5" thickTop="1" thickBot="1">
      <c r="A35" s="32"/>
      <c r="B35" s="3">
        <f>IF(A35=0,0,VLOOKUP(A35,'00'!$A$1:$F$65536,2,0))</f>
        <v>0</v>
      </c>
      <c r="C35" s="5"/>
      <c r="D35" s="3">
        <f>IF(C35=0,0,VLOOKUP(C35,'01'!$A$2:$B$98,2,0))</f>
        <v>0</v>
      </c>
      <c r="E35" s="12"/>
      <c r="F35" s="33" t="s">
        <v>1</v>
      </c>
      <c r="G35" s="34">
        <f>IF(F35="中",1,IF(F35="夜",1000000,IF(F35="早",1000000000000,0)))</f>
        <v>1000000</v>
      </c>
      <c r="H35" s="206">
        <f>IF(A35=0,0,VLOOKUP(A35,'00'!$A:$F,4,0))</f>
        <v>0</v>
      </c>
      <c r="I35" s="32"/>
      <c r="J35" s="34">
        <f>IF(I35=0,0,VLOOKUP(I35,'00'!$A$1:$F$65536,2,0))</f>
        <v>0</v>
      </c>
      <c r="K35" s="34"/>
      <c r="L35" s="7">
        <f>IF(K35=0,0,VLOOKUP(K35,'01'!$A$2:$B$98,2,0))</f>
        <v>0</v>
      </c>
      <c r="M35" s="39"/>
      <c r="N35" s="33" t="s">
        <v>1</v>
      </c>
      <c r="O35" s="35">
        <f t="shared" si="0"/>
        <v>10000</v>
      </c>
      <c r="P35" s="43">
        <f>IF(I35=0,0,VLOOKUP(I35,'00'!$A:$F,4,0))</f>
        <v>0</v>
      </c>
      <c r="Q35" s="37">
        <f>IF(A35=0,0,VLOOKUP(A35,'00'!$A$1:$F$65536,5,0))</f>
        <v>0</v>
      </c>
      <c r="R35" s="37">
        <f>IF(A35=0,0,VLOOKUP(A35,'00'!$A$1:$G$65536,6,0))</f>
        <v>0</v>
      </c>
      <c r="S35" s="38">
        <f t="shared" si="1"/>
        <v>0</v>
      </c>
      <c r="T35" s="38">
        <f t="shared" si="2"/>
        <v>0</v>
      </c>
      <c r="U35" s="37">
        <f>IF(I35=0,0,VLOOKUP(I35,'00'!$A:$F,5,0))+X35</f>
        <v>0</v>
      </c>
      <c r="V35" s="37">
        <f>IF(I35=0,0,VLOOKUP(I35,'00'!$A$1:$F$65536,6,0))</f>
        <v>0</v>
      </c>
      <c r="W35" s="30"/>
      <c r="X35" s="30">
        <f t="shared" si="3"/>
        <v>0</v>
      </c>
      <c r="Y35" s="31">
        <f t="shared" si="4"/>
        <v>0</v>
      </c>
      <c r="Z35" s="71">
        <f t="shared" si="5"/>
        <v>0</v>
      </c>
      <c r="AA35" s="71">
        <f t="shared" si="6"/>
        <v>0</v>
      </c>
      <c r="AB35" s="71">
        <f t="shared" si="7"/>
        <v>0</v>
      </c>
      <c r="AC35" s="71">
        <f t="shared" si="10"/>
        <v>0</v>
      </c>
    </row>
    <row r="36" spans="1:29" s="31" customFormat="1" ht="13.5" thickTop="1" thickBot="1">
      <c r="A36" s="32"/>
      <c r="B36" s="3">
        <f>IF(A36=0,0,VLOOKUP(A36,'00'!$A$1:$F$65536,2,0))</f>
        <v>0</v>
      </c>
      <c r="C36" s="5"/>
      <c r="D36" s="3">
        <f>IF(C36=0,0,VLOOKUP(C36,'01'!$A$2:$B$98,2,0))</f>
        <v>0</v>
      </c>
      <c r="E36" s="12"/>
      <c r="F36" s="33" t="s">
        <v>1</v>
      </c>
      <c r="G36" s="34">
        <f>IF(F36="中",1,IF(F36="夜",1000000,IF(F36="早",1000000000000,0)))</f>
        <v>1000000</v>
      </c>
      <c r="H36" s="206">
        <f>IF(A36=0,0,VLOOKUP(A36,'00'!$A:$F,4,0))</f>
        <v>0</v>
      </c>
      <c r="I36" s="32"/>
      <c r="J36" s="34">
        <f>IF(I36=0,0,VLOOKUP(I36,'00'!$A$1:$F$65536,2,0))</f>
        <v>0</v>
      </c>
      <c r="K36" s="34"/>
      <c r="L36" s="7">
        <f>IF(K36=0,0,VLOOKUP(K36,'01'!$A$2:$B$98,2,0))</f>
        <v>0</v>
      </c>
      <c r="M36" s="39"/>
      <c r="N36" s="33" t="s">
        <v>1</v>
      </c>
      <c r="O36" s="35">
        <f t="shared" si="0"/>
        <v>10000</v>
      </c>
      <c r="P36" s="43">
        <f>IF(I36=0,0,VLOOKUP(I36,'00'!$A:$F,4,0))</f>
        <v>0</v>
      </c>
      <c r="Q36" s="37">
        <f>IF(A36=0,0,VLOOKUP(A36,'00'!$A$1:$F$65536,5,0))</f>
        <v>0</v>
      </c>
      <c r="R36" s="37">
        <f>IF(A36=0,0,VLOOKUP(A36,'00'!$A$1:$G$65536,6,0))</f>
        <v>0</v>
      </c>
      <c r="S36" s="38">
        <f t="shared" si="1"/>
        <v>0</v>
      </c>
      <c r="T36" s="38">
        <f t="shared" si="2"/>
        <v>0</v>
      </c>
      <c r="U36" s="37">
        <f>IF(I36=0,0,VLOOKUP(I36,'00'!$A:$F,5,0))+X36</f>
        <v>0</v>
      </c>
      <c r="V36" s="37">
        <f>IF(I36=0,0,VLOOKUP(I36,'00'!$A$1:$F$65536,6,0))</f>
        <v>0</v>
      </c>
      <c r="W36" s="30"/>
      <c r="X36" s="30">
        <f t="shared" si="3"/>
        <v>0</v>
      </c>
      <c r="Y36" s="31">
        <f t="shared" si="4"/>
        <v>0</v>
      </c>
      <c r="Z36" s="71">
        <f t="shared" si="5"/>
        <v>0</v>
      </c>
      <c r="AA36" s="71">
        <f t="shared" si="6"/>
        <v>0</v>
      </c>
      <c r="AB36" s="71">
        <f t="shared" si="7"/>
        <v>0</v>
      </c>
      <c r="AC36" s="71">
        <f t="shared" si="10"/>
        <v>0</v>
      </c>
    </row>
    <row r="37" spans="1:29" s="31" customFormat="1" ht="13.5" thickTop="1" thickBot="1">
      <c r="A37" s="32"/>
      <c r="B37" s="108">
        <f>IF(A37=0,0,VLOOKUP(A37,'00'!$A$1:$F$65536,2,0))</f>
        <v>0</v>
      </c>
      <c r="C37" s="109"/>
      <c r="D37" s="108">
        <f>IF(C37=0,0,VLOOKUP(C37,'01'!$A$2:$B$98,2,0))</f>
        <v>0</v>
      </c>
      <c r="E37" s="110"/>
      <c r="F37" s="78" t="s">
        <v>298</v>
      </c>
      <c r="G37" s="56">
        <f>IF(F37="中",1,IF(F37="夜",1000000,IF(F37="早",1000000000000,0)))</f>
        <v>0</v>
      </c>
      <c r="H37" s="60">
        <f>IF(A37=0,0,VLOOKUP(A37,'00'!$A:$F,4,0))</f>
        <v>0</v>
      </c>
      <c r="I37" s="80"/>
      <c r="J37" s="81">
        <f>IF(I37=0,0,VLOOKUP(I37,'00'!$A$1:$F$65536,2,0))</f>
        <v>0</v>
      </c>
      <c r="K37" s="81"/>
      <c r="L37" s="82">
        <f>IF(K37=0,0,VLOOKUP(K37,'01'!$A$2:$B$98,2,0))</f>
        <v>0</v>
      </c>
      <c r="M37" s="83"/>
      <c r="N37" s="84" t="s">
        <v>1</v>
      </c>
      <c r="O37" s="85">
        <f t="shared" si="0"/>
        <v>10000</v>
      </c>
      <c r="P37" s="86">
        <f>IF(I37=0,0,VLOOKUP(I37,'00'!$A:$F,4,0))</f>
        <v>0</v>
      </c>
      <c r="Q37" s="37">
        <f>IF(A37=0,0,VLOOKUP(A37,'00'!$A$1:$F$65536,5,0))</f>
        <v>0</v>
      </c>
      <c r="R37" s="37">
        <f>IF(A37=0,0,VLOOKUP(A37,'00'!$A$1:$G$65536,6,0))</f>
        <v>0</v>
      </c>
      <c r="S37" s="38">
        <f t="shared" si="1"/>
        <v>0</v>
      </c>
      <c r="T37" s="38">
        <f t="shared" si="2"/>
        <v>1</v>
      </c>
      <c r="U37" s="37">
        <f>IF(I37=0,0,VLOOKUP(I37,'00'!$A:$F,5,0))+X37</f>
        <v>0</v>
      </c>
      <c r="V37" s="37">
        <f>IF(I37=0,0,VLOOKUP(I37,'00'!$A$1:$F$65536,6,0))</f>
        <v>0</v>
      </c>
      <c r="W37" s="30"/>
      <c r="X37" s="30">
        <f t="shared" si="3"/>
        <v>0</v>
      </c>
      <c r="Y37" s="31">
        <f t="shared" si="4"/>
        <v>0</v>
      </c>
      <c r="Z37" s="71">
        <f t="shared" si="5"/>
        <v>0</v>
      </c>
      <c r="AA37" s="71">
        <f t="shared" si="6"/>
        <v>0</v>
      </c>
      <c r="AB37" s="71">
        <f t="shared" si="7"/>
        <v>0</v>
      </c>
      <c r="AC37" s="71">
        <f t="shared" si="10"/>
        <v>0</v>
      </c>
    </row>
    <row r="38" spans="1:29" s="31" customFormat="1" ht="13.5" thickTop="1" thickBot="1">
      <c r="A38" s="57" t="s">
        <v>303</v>
      </c>
      <c r="B38" s="223" t="s">
        <v>328</v>
      </c>
      <c r="C38" s="223"/>
      <c r="D38" s="223"/>
      <c r="E38" s="223"/>
      <c r="F38" s="209"/>
      <c r="G38" s="209"/>
      <c r="H38" s="237"/>
      <c r="I38" s="238"/>
      <c r="J38" s="236"/>
      <c r="K38" s="236"/>
      <c r="L38" s="236" t="s">
        <v>305</v>
      </c>
      <c r="M38" s="236"/>
      <c r="N38" s="236"/>
      <c r="O38" s="236"/>
      <c r="P38" s="237"/>
      <c r="Q38" s="37"/>
      <c r="R38" s="37"/>
      <c r="S38" s="38"/>
      <c r="T38" s="38"/>
      <c r="U38" s="54"/>
      <c r="V38" s="54"/>
      <c r="W38" s="30"/>
      <c r="X38" s="30"/>
      <c r="Z38" s="71"/>
      <c r="AA38" s="71"/>
      <c r="AB38" s="71"/>
      <c r="AC38" s="71"/>
    </row>
    <row r="39" spans="1:29" s="31" customFormat="1" ht="13.5" thickTop="1" thickBot="1">
      <c r="A39" s="58" t="s">
        <v>306</v>
      </c>
      <c r="B39" s="241" t="s">
        <v>348</v>
      </c>
      <c r="C39" s="212"/>
      <c r="D39" s="212"/>
      <c r="E39" s="212"/>
      <c r="F39" s="212"/>
      <c r="G39" s="212"/>
      <c r="H39" s="213"/>
      <c r="I39" s="240"/>
      <c r="J39" s="241"/>
      <c r="K39" s="241"/>
      <c r="L39" s="241"/>
      <c r="M39" s="241"/>
      <c r="N39" s="241"/>
      <c r="O39" s="241"/>
      <c r="P39" s="242"/>
      <c r="Q39" s="37"/>
      <c r="R39" s="37"/>
      <c r="S39" s="38"/>
      <c r="T39" s="38"/>
      <c r="U39" s="54"/>
      <c r="V39" s="54"/>
      <c r="W39" s="30"/>
      <c r="X39" s="30"/>
      <c r="Z39" s="71"/>
      <c r="AA39" s="71"/>
      <c r="AB39" s="71"/>
      <c r="AC39" s="71"/>
    </row>
    <row r="40" spans="1:29" s="31" customFormat="1" ht="13.5" thickTop="1" thickBot="1">
      <c r="A40" s="58" t="s">
        <v>40</v>
      </c>
      <c r="B40" s="212" t="s">
        <v>349</v>
      </c>
      <c r="C40" s="212"/>
      <c r="D40" s="212"/>
      <c r="E40" s="212"/>
      <c r="F40" s="212"/>
      <c r="G40" s="212"/>
      <c r="H40" s="213"/>
      <c r="I40" s="240"/>
      <c r="J40" s="241"/>
      <c r="K40" s="241"/>
      <c r="L40" s="241"/>
      <c r="M40" s="241"/>
      <c r="N40" s="241"/>
      <c r="O40" s="241"/>
      <c r="P40" s="242"/>
      <c r="Q40" s="37"/>
      <c r="R40" s="37"/>
      <c r="S40" s="38"/>
      <c r="T40" s="38"/>
      <c r="U40" s="54"/>
      <c r="V40" s="54"/>
      <c r="W40" s="30"/>
      <c r="X40" s="30"/>
      <c r="Z40" s="71"/>
      <c r="AA40" s="71"/>
      <c r="AB40" s="71"/>
      <c r="AC40" s="71"/>
    </row>
    <row r="41" spans="1:29" s="31" customFormat="1" ht="13.5" thickTop="1" thickBot="1">
      <c r="A41" s="58" t="s">
        <v>41</v>
      </c>
      <c r="B41" s="225"/>
      <c r="C41" s="219"/>
      <c r="D41" s="219"/>
      <c r="E41" s="219"/>
      <c r="F41" s="219"/>
      <c r="G41" s="219"/>
      <c r="H41" s="222"/>
      <c r="I41" s="240"/>
      <c r="J41" s="241"/>
      <c r="K41" s="241"/>
      <c r="L41" s="241"/>
      <c r="M41" s="241"/>
      <c r="N41" s="241"/>
      <c r="O41" s="241"/>
      <c r="P41" s="242"/>
      <c r="Q41" s="37"/>
      <c r="R41" s="37"/>
      <c r="S41" s="38"/>
      <c r="T41" s="38"/>
      <c r="U41" s="54"/>
      <c r="V41" s="54"/>
      <c r="W41" s="30"/>
      <c r="X41" s="30"/>
      <c r="Z41" s="71"/>
      <c r="AA41" s="71"/>
      <c r="AB41" s="71"/>
      <c r="AC41" s="71"/>
    </row>
    <row r="42" spans="1:29" s="31" customFormat="1" ht="13.5" thickTop="1" thickBot="1">
      <c r="A42" s="58" t="s">
        <v>42</v>
      </c>
      <c r="B42" s="219"/>
      <c r="C42" s="219"/>
      <c r="D42" s="219"/>
      <c r="E42" s="219"/>
      <c r="F42" s="219"/>
      <c r="G42" s="219"/>
      <c r="H42" s="222"/>
      <c r="I42" s="240"/>
      <c r="J42" s="241"/>
      <c r="K42" s="241"/>
      <c r="L42" s="241"/>
      <c r="M42" s="241"/>
      <c r="N42" s="241"/>
      <c r="O42" s="241"/>
      <c r="P42" s="242"/>
      <c r="Q42" s="37"/>
      <c r="R42" s="37"/>
      <c r="S42" s="38"/>
      <c r="T42" s="38"/>
      <c r="U42" s="54"/>
      <c r="V42" s="54"/>
      <c r="W42" s="30"/>
      <c r="X42" s="30"/>
      <c r="Z42" s="71"/>
      <c r="AA42" s="71"/>
      <c r="AB42" s="71"/>
      <c r="AC42" s="71"/>
    </row>
    <row r="43" spans="1:29" s="31" customFormat="1" ht="13.5" thickTop="1" thickBot="1">
      <c r="A43" s="98" t="s">
        <v>43</v>
      </c>
      <c r="B43" s="219"/>
      <c r="C43" s="220"/>
      <c r="D43" s="220"/>
      <c r="E43" s="220"/>
      <c r="F43" s="220"/>
      <c r="G43" s="220"/>
      <c r="H43" s="221"/>
      <c r="I43" s="251"/>
      <c r="J43" s="252"/>
      <c r="K43" s="252"/>
      <c r="L43" s="252"/>
      <c r="M43" s="252"/>
      <c r="N43" s="252"/>
      <c r="O43" s="252"/>
      <c r="P43" s="253"/>
      <c r="Q43" s="37"/>
      <c r="R43" s="37"/>
      <c r="S43" s="38"/>
      <c r="T43" s="38"/>
      <c r="U43" s="54"/>
      <c r="V43" s="54"/>
      <c r="W43" s="30"/>
      <c r="X43" s="30"/>
      <c r="Z43" s="71"/>
      <c r="AA43" s="71"/>
      <c r="AB43" s="71"/>
      <c r="AC43" s="71"/>
    </row>
    <row r="44" spans="1:29" s="31" customFormat="1" ht="13.5" thickTop="1" thickBot="1">
      <c r="A44" s="314" t="s">
        <v>313</v>
      </c>
      <c r="B44" s="53" t="s">
        <v>67</v>
      </c>
      <c r="C44" s="305" t="s">
        <v>314</v>
      </c>
      <c r="D44" s="306"/>
      <c r="E44" s="307"/>
      <c r="F44" s="274" t="s">
        <v>68</v>
      </c>
      <c r="G44" s="275"/>
      <c r="H44" s="276"/>
      <c r="I44" s="282" t="s">
        <v>315</v>
      </c>
      <c r="J44" s="53" t="s">
        <v>67</v>
      </c>
      <c r="K44" s="305" t="s">
        <v>314</v>
      </c>
      <c r="L44" s="306"/>
      <c r="M44" s="307"/>
      <c r="N44" s="274" t="s">
        <v>68</v>
      </c>
      <c r="O44" s="275"/>
      <c r="P44" s="276"/>
      <c r="Q44" s="37"/>
      <c r="R44" s="37"/>
      <c r="S44" s="38"/>
      <c r="T44" s="38"/>
      <c r="U44" s="54"/>
      <c r="V44" s="54"/>
      <c r="W44" s="30"/>
      <c r="X44" s="30"/>
      <c r="Z44" s="71"/>
      <c r="AA44" s="71"/>
      <c r="AB44" s="71"/>
      <c r="AC44" s="71"/>
    </row>
    <row r="45" spans="1:29" s="31" customFormat="1" ht="13.5" thickTop="1" thickBot="1">
      <c r="A45" s="315" t="s">
        <v>286</v>
      </c>
      <c r="B45" s="34" t="s">
        <v>299</v>
      </c>
      <c r="C45" s="285">
        <f>+SUMIF(F:F,B45,Y:Y)*Q48</f>
        <v>0</v>
      </c>
      <c r="D45" s="286"/>
      <c r="E45" s="288"/>
      <c r="F45" s="285">
        <f>(SUMPRODUCT(M5:M15,V5:V15)+W5*V5)*Q48</f>
        <v>0</v>
      </c>
      <c r="G45" s="286"/>
      <c r="H45" s="287"/>
      <c r="I45" s="283" t="s">
        <v>286</v>
      </c>
      <c r="J45" s="34" t="s">
        <v>350</v>
      </c>
      <c r="K45" s="317"/>
      <c r="L45" s="318"/>
      <c r="M45" s="124">
        <f>IF(K45=0,0,K50/K45*1000)</f>
        <v>0</v>
      </c>
      <c r="N45" s="124"/>
      <c r="O45" s="215"/>
      <c r="P45" s="216"/>
      <c r="Q45" s="37"/>
      <c r="R45" s="37"/>
      <c r="S45" s="38"/>
      <c r="T45" s="38"/>
      <c r="U45" s="54"/>
      <c r="V45" s="54"/>
      <c r="W45" s="30"/>
      <c r="X45" s="30"/>
      <c r="Z45" s="71"/>
      <c r="AA45" s="71"/>
      <c r="AB45" s="71"/>
      <c r="AC45" s="71"/>
    </row>
    <row r="46" spans="1:29" s="31" customFormat="1" ht="13.5" thickTop="1" thickBot="1">
      <c r="A46" s="315">
        <v>270172</v>
      </c>
      <c r="B46" s="34" t="s">
        <v>301</v>
      </c>
      <c r="C46" s="285">
        <f>+SUMIF(F:F,B46,Y:Y)*Q48</f>
        <v>0</v>
      </c>
      <c r="D46" s="286"/>
      <c r="E46" s="288"/>
      <c r="F46" s="285">
        <f>(SUMPRODUCT(M16:M26,V16:V26)+W16*V16)*Q48</f>
        <v>0</v>
      </c>
      <c r="G46" s="286"/>
      <c r="H46" s="287"/>
      <c r="I46" s="283">
        <v>270172</v>
      </c>
      <c r="J46" s="34" t="s">
        <v>351</v>
      </c>
      <c r="K46" s="317"/>
      <c r="L46" s="318"/>
      <c r="M46" s="124">
        <f>IF(K46=0,0,K51/K46*1000)</f>
        <v>0</v>
      </c>
      <c r="N46" s="124"/>
      <c r="O46" s="215"/>
      <c r="P46" s="216"/>
      <c r="Q46" s="37"/>
      <c r="R46" s="37"/>
      <c r="S46" s="38"/>
      <c r="T46" s="38"/>
      <c r="U46" s="54"/>
      <c r="V46" s="54"/>
      <c r="W46" s="30"/>
      <c r="X46" s="30"/>
      <c r="Z46" s="71"/>
      <c r="AA46" s="71"/>
      <c r="AB46" s="71"/>
      <c r="AC46" s="71"/>
    </row>
    <row r="47" spans="1:29" s="31" customFormat="1" ht="13.5" thickTop="1" thickBot="1">
      <c r="A47" s="315">
        <v>270127</v>
      </c>
      <c r="B47" s="34" t="s">
        <v>302</v>
      </c>
      <c r="C47" s="285">
        <f>+SUMIF(F:F,B47,Y:Y)*Q48</f>
        <v>0</v>
      </c>
      <c r="D47" s="286"/>
      <c r="E47" s="288"/>
      <c r="F47" s="285">
        <f>(SUMPRODUCT(M27:M37,V27:V37)+W27*V27)*Q48</f>
        <v>0</v>
      </c>
      <c r="G47" s="286"/>
      <c r="H47" s="287"/>
      <c r="I47" s="283">
        <v>270127</v>
      </c>
      <c r="J47" s="34" t="s">
        <v>352</v>
      </c>
      <c r="K47" s="317"/>
      <c r="L47" s="318"/>
      <c r="M47" s="124">
        <f>IF(K47=0,0,K52/K47*1000)</f>
        <v>0</v>
      </c>
      <c r="N47" s="124"/>
      <c r="O47" s="215"/>
      <c r="P47" s="216"/>
      <c r="Q47" s="37"/>
      <c r="R47" s="37"/>
      <c r="S47" s="38"/>
      <c r="T47" s="38"/>
      <c r="U47" s="54"/>
      <c r="V47" s="54"/>
      <c r="W47" s="30"/>
      <c r="X47" s="30"/>
      <c r="Z47" s="71"/>
      <c r="AA47" s="71"/>
      <c r="AB47" s="71"/>
      <c r="AC47" s="71"/>
    </row>
    <row r="48" spans="1:29" s="31" customFormat="1" ht="13.5" thickTop="1" thickBot="1">
      <c r="A48" s="316">
        <v>270127</v>
      </c>
      <c r="B48" s="107" t="s">
        <v>319</v>
      </c>
      <c r="C48" s="289">
        <f>SUM(C45:E47)</f>
        <v>0</v>
      </c>
      <c r="D48" s="290"/>
      <c r="E48" s="291"/>
      <c r="F48" s="289">
        <f>SUM(F45:H47)</f>
        <v>0</v>
      </c>
      <c r="G48" s="290"/>
      <c r="H48" s="300"/>
      <c r="I48" s="284">
        <v>270127</v>
      </c>
      <c r="J48" s="107" t="s">
        <v>319</v>
      </c>
      <c r="K48" s="301">
        <f>SUM(K45:L47)</f>
        <v>0</v>
      </c>
      <c r="L48" s="302"/>
      <c r="M48" s="120">
        <f>IF(K48=0,0,K53/K48*1000)</f>
        <v>0</v>
      </c>
      <c r="N48" s="121"/>
      <c r="O48" s="210">
        <f>SUM(O45:P47)</f>
        <v>0</v>
      </c>
      <c r="P48" s="211"/>
      <c r="Q48" s="294"/>
      <c r="R48" s="295"/>
      <c r="S48" s="38"/>
      <c r="T48" s="38"/>
      <c r="U48" s="54"/>
      <c r="V48" s="54"/>
      <c r="W48" s="30"/>
      <c r="X48" s="30"/>
      <c r="Z48" s="71"/>
      <c r="AA48" s="71"/>
      <c r="AB48" s="71"/>
      <c r="AC48" s="71"/>
    </row>
    <row r="49" spans="1:29" s="31" customFormat="1" ht="13.5" thickTop="1" thickBot="1">
      <c r="A49" s="315" t="s">
        <v>320</v>
      </c>
      <c r="B49" s="99" t="s">
        <v>291</v>
      </c>
      <c r="C49" s="296" t="s">
        <v>321</v>
      </c>
      <c r="D49" s="325"/>
      <c r="E49" s="100" t="s">
        <v>322</v>
      </c>
      <c r="F49" s="101" t="s">
        <v>323</v>
      </c>
      <c r="G49" s="101"/>
      <c r="H49" s="102" t="s">
        <v>319</v>
      </c>
      <c r="I49" s="315" t="s">
        <v>324</v>
      </c>
      <c r="J49" s="99" t="s">
        <v>291</v>
      </c>
      <c r="K49" s="296" t="s">
        <v>319</v>
      </c>
      <c r="L49" s="297"/>
      <c r="M49" s="103" t="s">
        <v>322</v>
      </c>
      <c r="N49" s="104" t="s">
        <v>323</v>
      </c>
      <c r="O49" s="105"/>
      <c r="P49" s="106" t="s">
        <v>321</v>
      </c>
      <c r="Q49" s="292" t="s">
        <v>325</v>
      </c>
      <c r="R49" s="293"/>
      <c r="S49" s="38"/>
      <c r="T49" s="38"/>
      <c r="U49" s="54"/>
      <c r="V49" s="54"/>
      <c r="W49" s="30"/>
      <c r="X49" s="30"/>
      <c r="Z49" s="71"/>
      <c r="AA49" s="71"/>
      <c r="AB49" s="71"/>
      <c r="AC49" s="71"/>
    </row>
    <row r="50" spans="1:29" s="31" customFormat="1" ht="13.5" thickTop="1" thickBot="1">
      <c r="A50" s="315"/>
      <c r="B50" s="34" t="s">
        <v>299</v>
      </c>
      <c r="C50" s="321">
        <f>SUMIF($N$5:$N$37,B50,$AC$5:$AC$37)/1000</f>
        <v>0</v>
      </c>
      <c r="D50" s="322"/>
      <c r="E50" s="191">
        <f>SUMIF($F$5:$F$37,B50,$AA$5:$AA$37)/1000</f>
        <v>0</v>
      </c>
      <c r="F50" s="192">
        <f>SUMIF($F$5:$F$37,B50,$AB$5:$AB$37)/1000</f>
        <v>14.26451</v>
      </c>
      <c r="G50" s="192"/>
      <c r="H50" s="207">
        <f>+E50+F50</f>
        <v>14.26451</v>
      </c>
      <c r="I50" s="315"/>
      <c r="J50" s="34" t="s">
        <v>299</v>
      </c>
      <c r="K50" s="298">
        <f>SUM(M50:N50)</f>
        <v>0</v>
      </c>
      <c r="L50" s="299"/>
      <c r="M50" s="111"/>
      <c r="N50" s="112"/>
      <c r="O50" s="59"/>
      <c r="P50" s="116"/>
      <c r="Q50" s="145">
        <f>+Q51+Q52</f>
        <v>40.513009999999994</v>
      </c>
      <c r="R50" s="144">
        <f>+FLOOR(SUM(SUMPRODUCT(E5:E37,G5:G37,R5:R37))/100000000000,1)/10</f>
        <v>446.2</v>
      </c>
      <c r="S50" s="38"/>
      <c r="T50" s="38"/>
      <c r="U50" s="54"/>
      <c r="V50" s="54"/>
      <c r="W50" s="30"/>
      <c r="X50" s="30"/>
      <c r="Z50" s="71"/>
      <c r="AA50" s="71"/>
      <c r="AB50" s="71"/>
      <c r="AC50" s="71"/>
    </row>
    <row r="51" spans="1:29" s="31" customFormat="1" ht="15.75" thickTop="1" thickBot="1">
      <c r="A51" s="315"/>
      <c r="B51" s="34" t="s">
        <v>301</v>
      </c>
      <c r="C51" s="321">
        <f>SUMIF($N$5:$N$37,B51,$AC$5:$AC$37)/1000</f>
        <v>0.88800000000000001</v>
      </c>
      <c r="D51" s="322"/>
      <c r="E51" s="191">
        <f>SUMIF($F$5:$F$37,B51,$AA$5:$AA$37)/1000</f>
        <v>0</v>
      </c>
      <c r="F51" s="192">
        <f>SUMIF($F$5:$F$37,B51,$AB$5:$AB$37)/1000</f>
        <v>14.474</v>
      </c>
      <c r="G51" s="192"/>
      <c r="H51" s="207">
        <f>+E51+F51</f>
        <v>14.474</v>
      </c>
      <c r="I51" s="315"/>
      <c r="J51" s="206" t="s">
        <v>301</v>
      </c>
      <c r="K51" s="298">
        <f>SUM(M51:N51)</f>
        <v>0</v>
      </c>
      <c r="L51" s="299"/>
      <c r="M51" s="111"/>
      <c r="N51" s="112"/>
      <c r="O51" s="59"/>
      <c r="P51" s="116"/>
      <c r="Q51" s="145">
        <f>+H53</f>
        <v>40.513009999999994</v>
      </c>
      <c r="R51" s="144">
        <f>+SUMPRODUCT(E5:E37,G5:G37,R5:R37)-R50*1000000000000-R52*1000000</f>
        <v>425.375</v>
      </c>
      <c r="S51" s="38"/>
      <c r="T51" s="38"/>
      <c r="U51" s="17"/>
      <c r="V51" s="17"/>
      <c r="W51" s="30"/>
      <c r="X51" s="30"/>
      <c r="Z51" s="71"/>
      <c r="AA51" s="71"/>
      <c r="AB51" s="71"/>
      <c r="AC51" s="71"/>
    </row>
    <row r="52" spans="1:29" s="31" customFormat="1" ht="15.75" thickTop="1" thickBot="1">
      <c r="A52" s="315"/>
      <c r="B52" s="34" t="s">
        <v>302</v>
      </c>
      <c r="C52" s="321">
        <f>SUMIF($N$5:$N$37,B52,$AC$5:$AC$37)/1000</f>
        <v>0.44700000000000001</v>
      </c>
      <c r="D52" s="322"/>
      <c r="E52" s="191">
        <f>SUMIF($F$5:$F$37,B52,$AA$5:$AA$37)/1000</f>
        <v>10.734500000000001</v>
      </c>
      <c r="F52" s="192">
        <f>SUMIF($F$5:$F$37,B52,$AB$5:$AB$37)/1000</f>
        <v>1.04</v>
      </c>
      <c r="G52" s="192"/>
      <c r="H52" s="207">
        <f>+E52+F52</f>
        <v>11.7745</v>
      </c>
      <c r="I52" s="315"/>
      <c r="J52" s="60" t="s">
        <v>302</v>
      </c>
      <c r="K52" s="298">
        <f>SUM(M52:N52)</f>
        <v>0</v>
      </c>
      <c r="L52" s="299"/>
      <c r="M52" s="111"/>
      <c r="N52" s="113"/>
      <c r="O52" s="61"/>
      <c r="P52" s="116"/>
      <c r="Q52" s="145">
        <f>SUMPRODUCT(E5:E37,T5:T37,Q5:Q37)/1000</f>
        <v>0</v>
      </c>
      <c r="R52" s="144">
        <f>+FLOOR(MOD(SUMPRODUCT(E5:E37,G5:G37,R5:R37),100000000000)/100000,1)/10</f>
        <v>408.1</v>
      </c>
      <c r="S52" s="38"/>
      <c r="T52" s="38"/>
      <c r="U52" s="17"/>
      <c r="V52" s="17"/>
      <c r="W52" s="30"/>
      <c r="X52" s="30"/>
      <c r="Z52" s="71"/>
      <c r="AA52" s="71"/>
      <c r="AB52" s="71"/>
      <c r="AC52" s="71"/>
    </row>
    <row r="53" spans="1:29" s="31" customFormat="1" ht="15.75" thickTop="1" thickBot="1">
      <c r="A53" s="320"/>
      <c r="B53" s="62" t="s">
        <v>319</v>
      </c>
      <c r="C53" s="323">
        <f>SUM(C50:C52)</f>
        <v>1.335</v>
      </c>
      <c r="D53" s="324"/>
      <c r="E53" s="149">
        <f>SUM(E50:E52)</f>
        <v>10.734500000000001</v>
      </c>
      <c r="F53" s="147">
        <f>SUM(F50:F52)</f>
        <v>29.778509999999997</v>
      </c>
      <c r="G53" s="147"/>
      <c r="H53" s="148">
        <f>SUM(H50:H52)</f>
        <v>40.513009999999994</v>
      </c>
      <c r="I53" s="320"/>
      <c r="J53" s="63" t="s">
        <v>319</v>
      </c>
      <c r="K53" s="326">
        <f>+M53+N53</f>
        <v>0</v>
      </c>
      <c r="L53" s="327"/>
      <c r="M53" s="114">
        <f>SUM(M50:M52)</f>
        <v>0</v>
      </c>
      <c r="N53" s="115">
        <f>SUM(N50:N52)</f>
        <v>0</v>
      </c>
      <c r="O53" s="64">
        <f>SUM(O50:O52)</f>
        <v>0</v>
      </c>
      <c r="P53" s="117">
        <f>SUM(P50:P52)</f>
        <v>0</v>
      </c>
      <c r="Q53" s="145">
        <f>SUMPRODUCT(Q5:Q28,E5:E28)/1000</f>
        <v>40.513010000000001</v>
      </c>
      <c r="R53" s="144">
        <f>SUM(R50:R52)</f>
        <v>1279.6750000000002</v>
      </c>
      <c r="S53" s="38">
        <v>0</v>
      </c>
      <c r="T53" s="38"/>
      <c r="U53" s="17"/>
      <c r="V53" s="17"/>
      <c r="W53" s="30"/>
      <c r="X53" s="30"/>
      <c r="Z53" s="71"/>
      <c r="AA53" s="71"/>
      <c r="AB53" s="71"/>
      <c r="AC53" s="71"/>
    </row>
    <row r="54" spans="1:29" s="66" customFormat="1" ht="25.5">
      <c r="A54" s="319" t="s">
        <v>326</v>
      </c>
      <c r="B54" s="319"/>
      <c r="C54" s="319"/>
      <c r="D54" s="319"/>
      <c r="E54" s="319"/>
      <c r="F54" s="319"/>
      <c r="G54" s="319"/>
      <c r="H54" s="319"/>
      <c r="I54" s="319" t="s">
        <v>327</v>
      </c>
      <c r="J54" s="319"/>
      <c r="K54" s="319"/>
      <c r="L54" s="319"/>
      <c r="M54" s="319"/>
      <c r="N54" s="319"/>
      <c r="O54" s="319"/>
      <c r="P54" s="319"/>
      <c r="Q54" s="14"/>
      <c r="R54" s="15">
        <v>0</v>
      </c>
      <c r="S54" s="16"/>
      <c r="T54" s="16"/>
      <c r="U54" s="17"/>
      <c r="V54" s="17"/>
      <c r="W54" s="65"/>
      <c r="X54" s="65"/>
      <c r="Z54" s="69"/>
      <c r="AA54" s="69"/>
      <c r="AB54" s="69"/>
      <c r="AC54" s="69"/>
    </row>
    <row r="55" spans="1:29" s="66" customFormat="1">
      <c r="A55" s="67"/>
      <c r="B55" s="67"/>
      <c r="C55" s="67"/>
      <c r="D55" s="67"/>
      <c r="E55" s="67"/>
      <c r="F55" s="77"/>
      <c r="G55" s="68"/>
      <c r="H55" s="67"/>
      <c r="I55" s="67"/>
      <c r="J55" s="69"/>
      <c r="K55" s="69"/>
      <c r="L55" s="69"/>
      <c r="M55" s="69"/>
      <c r="N55" s="67"/>
      <c r="O55" s="70"/>
      <c r="P55" s="69"/>
      <c r="Q55" s="14">
        <v>0</v>
      </c>
      <c r="R55" s="15">
        <v>0</v>
      </c>
      <c r="S55" s="16"/>
      <c r="T55" s="16"/>
      <c r="U55" s="17"/>
      <c r="V55" s="17"/>
      <c r="W55" s="65"/>
      <c r="X55" s="65"/>
      <c r="Z55" s="69"/>
      <c r="AA55" s="69"/>
      <c r="AB55" s="69"/>
      <c r="AC55" s="69"/>
    </row>
    <row r="56" spans="1:29" s="66" customFormat="1">
      <c r="A56" s="67"/>
      <c r="B56" s="67"/>
      <c r="C56" s="67"/>
      <c r="D56" s="67"/>
      <c r="E56" s="67"/>
      <c r="F56" s="69"/>
      <c r="G56" s="68"/>
      <c r="H56" s="67"/>
      <c r="I56" s="67"/>
      <c r="J56" s="69"/>
      <c r="K56" s="69"/>
      <c r="L56" s="69"/>
      <c r="M56" s="71"/>
      <c r="N56" s="72"/>
      <c r="O56" s="70"/>
      <c r="P56" s="69"/>
      <c r="Q56" s="14">
        <v>0</v>
      </c>
      <c r="R56" s="15"/>
      <c r="S56" s="16"/>
      <c r="T56" s="16"/>
      <c r="U56" s="17"/>
      <c r="V56" s="17"/>
      <c r="W56" s="65"/>
      <c r="X56" s="65"/>
      <c r="Z56" s="69"/>
      <c r="AA56" s="69"/>
      <c r="AB56" s="69"/>
      <c r="AC56" s="69"/>
    </row>
    <row r="57" spans="1:29" s="66" customFormat="1">
      <c r="A57" s="67"/>
      <c r="B57" s="67"/>
      <c r="C57" s="67"/>
      <c r="D57" s="67"/>
      <c r="E57" s="67"/>
      <c r="F57" s="67"/>
      <c r="G57" s="68"/>
      <c r="H57" s="67"/>
      <c r="I57" s="69"/>
      <c r="J57" s="73"/>
      <c r="K57" s="73"/>
      <c r="L57" s="73"/>
      <c r="M57" s="69"/>
      <c r="N57" s="67"/>
      <c r="O57" s="70"/>
      <c r="P57" s="69"/>
      <c r="Q57" s="14"/>
      <c r="R57" s="15"/>
      <c r="S57" s="16"/>
      <c r="T57" s="16"/>
      <c r="U57" s="17"/>
      <c r="V57" s="17"/>
      <c r="W57" s="65"/>
      <c r="X57" s="65"/>
      <c r="Z57" s="69"/>
      <c r="AA57" s="69"/>
      <c r="AB57" s="69"/>
      <c r="AC57" s="69"/>
    </row>
    <row r="58" spans="1:29" s="66" customFormat="1">
      <c r="A58" s="67"/>
      <c r="B58" s="67"/>
      <c r="C58" s="67"/>
      <c r="D58" s="67"/>
      <c r="E58" s="67"/>
      <c r="F58" s="67"/>
      <c r="G58" s="68"/>
      <c r="H58" s="67"/>
      <c r="I58" s="67"/>
      <c r="J58" s="69"/>
      <c r="K58" s="69"/>
      <c r="L58" s="69"/>
      <c r="M58" s="69"/>
      <c r="N58" s="67"/>
      <c r="O58" s="70"/>
      <c r="P58" s="69"/>
      <c r="Q58" s="14"/>
      <c r="R58" s="15"/>
      <c r="S58" s="16"/>
      <c r="T58" s="16"/>
      <c r="U58" s="17"/>
      <c r="V58" s="17"/>
      <c r="W58" s="65"/>
      <c r="X58" s="65"/>
      <c r="Z58" s="69"/>
      <c r="AA58" s="69"/>
      <c r="AB58" s="69"/>
      <c r="AC58" s="69"/>
    </row>
    <row r="59" spans="1:29" s="66" customFormat="1">
      <c r="A59" s="67"/>
      <c r="B59" s="67"/>
      <c r="C59" s="67"/>
      <c r="D59" s="67"/>
      <c r="E59" s="67"/>
      <c r="F59" s="67"/>
      <c r="G59" s="68"/>
      <c r="H59" s="67"/>
      <c r="I59" s="67"/>
      <c r="J59" s="69"/>
      <c r="K59" s="69"/>
      <c r="L59" s="69"/>
      <c r="M59" s="69"/>
      <c r="N59" s="67"/>
      <c r="O59" s="70"/>
      <c r="P59" s="69"/>
      <c r="Q59" s="14"/>
      <c r="R59" s="15"/>
      <c r="S59" s="16"/>
      <c r="T59" s="16"/>
      <c r="U59" s="17"/>
      <c r="V59" s="17"/>
      <c r="W59" s="65"/>
      <c r="X59" s="65"/>
      <c r="Z59" s="69"/>
      <c r="AA59" s="69"/>
      <c r="AB59" s="69"/>
      <c r="AC59" s="69"/>
    </row>
    <row r="60" spans="1:29" s="66" customFormat="1">
      <c r="A60" s="67"/>
      <c r="B60" s="67"/>
      <c r="C60" s="67"/>
      <c r="D60" s="67"/>
      <c r="E60" s="67"/>
      <c r="F60" s="67"/>
      <c r="G60" s="68"/>
      <c r="H60" s="67"/>
      <c r="I60" s="67"/>
      <c r="J60" s="69"/>
      <c r="K60" s="69"/>
      <c r="L60" s="69"/>
      <c r="M60" s="69"/>
      <c r="N60" s="67"/>
      <c r="O60" s="70"/>
      <c r="P60" s="69"/>
      <c r="Q60" s="14"/>
      <c r="R60" s="15"/>
      <c r="S60" s="16"/>
      <c r="T60" s="16"/>
      <c r="U60" s="17"/>
      <c r="V60" s="17"/>
      <c r="W60" s="65"/>
      <c r="X60" s="65"/>
      <c r="Z60" s="69"/>
      <c r="AA60" s="69"/>
      <c r="AB60" s="69"/>
      <c r="AC60" s="69"/>
    </row>
    <row r="61" spans="1:29" s="66" customFormat="1">
      <c r="A61" s="67"/>
      <c r="B61" s="67"/>
      <c r="C61" s="67"/>
      <c r="D61" s="67"/>
      <c r="E61" s="67"/>
      <c r="F61" s="67"/>
      <c r="G61" s="68"/>
      <c r="H61" s="67"/>
      <c r="I61" s="67"/>
      <c r="J61" s="69"/>
      <c r="K61" s="69"/>
      <c r="L61" s="69"/>
      <c r="M61" s="69"/>
      <c r="N61" s="67"/>
      <c r="O61" s="70"/>
      <c r="P61" s="69"/>
      <c r="Q61" s="14"/>
      <c r="R61" s="15"/>
      <c r="S61" s="16"/>
      <c r="T61" s="16"/>
      <c r="U61" s="17"/>
      <c r="V61" s="17"/>
      <c r="W61" s="65"/>
      <c r="X61" s="65"/>
      <c r="Z61" s="69"/>
      <c r="AA61" s="69"/>
      <c r="AB61" s="69"/>
      <c r="AC61" s="69"/>
    </row>
    <row r="62" spans="1:29" s="66" customFormat="1">
      <c r="A62" s="67"/>
      <c r="B62" s="67"/>
      <c r="C62" s="67"/>
      <c r="D62" s="67"/>
      <c r="E62" s="67"/>
      <c r="F62" s="67"/>
      <c r="G62" s="68"/>
      <c r="H62" s="67"/>
      <c r="I62" s="67"/>
      <c r="J62" s="69"/>
      <c r="K62" s="69"/>
      <c r="L62" s="69"/>
      <c r="M62" s="69"/>
      <c r="N62" s="67"/>
      <c r="O62" s="70"/>
      <c r="P62" s="69"/>
      <c r="Q62" s="14"/>
      <c r="R62" s="15"/>
      <c r="S62" s="16"/>
      <c r="T62" s="16"/>
      <c r="U62" s="17"/>
      <c r="V62" s="17"/>
      <c r="W62" s="65"/>
      <c r="X62" s="65"/>
      <c r="Z62" s="69"/>
      <c r="AA62" s="69"/>
      <c r="AB62" s="69"/>
      <c r="AC62" s="69"/>
    </row>
    <row r="63" spans="1:29" s="66" customFormat="1">
      <c r="A63" s="67"/>
      <c r="B63" s="67"/>
      <c r="C63" s="67"/>
      <c r="D63" s="67"/>
      <c r="E63" s="67"/>
      <c r="F63" s="67"/>
      <c r="G63" s="68"/>
      <c r="H63" s="67"/>
      <c r="I63" s="67"/>
      <c r="J63" s="69"/>
      <c r="K63" s="69"/>
      <c r="L63" s="69"/>
      <c r="M63" s="69"/>
      <c r="N63" s="67"/>
      <c r="O63" s="70"/>
      <c r="P63" s="69"/>
      <c r="Q63" s="14"/>
      <c r="R63" s="15"/>
      <c r="S63" s="16"/>
      <c r="T63" s="16"/>
      <c r="U63" s="17"/>
      <c r="V63" s="17"/>
      <c r="W63" s="65"/>
      <c r="X63" s="65"/>
      <c r="Z63" s="69"/>
      <c r="AA63" s="69"/>
      <c r="AB63" s="69"/>
      <c r="AC63" s="69"/>
    </row>
    <row r="64" spans="1:29" s="66" customFormat="1">
      <c r="A64" s="67"/>
      <c r="B64" s="67"/>
      <c r="C64" s="67"/>
      <c r="D64" s="67"/>
      <c r="E64" s="67"/>
      <c r="F64" s="67"/>
      <c r="G64" s="68"/>
      <c r="H64" s="67"/>
      <c r="I64" s="67"/>
      <c r="J64" s="69"/>
      <c r="K64" s="69"/>
      <c r="L64" s="69"/>
      <c r="M64" s="69"/>
      <c r="N64" s="67"/>
      <c r="O64" s="70"/>
      <c r="P64" s="69"/>
      <c r="Q64" s="14"/>
      <c r="R64" s="15"/>
      <c r="S64" s="16"/>
      <c r="T64" s="16"/>
      <c r="U64" s="17"/>
      <c r="V64" s="17"/>
      <c r="W64" s="65"/>
      <c r="X64" s="65"/>
      <c r="Z64" s="69"/>
      <c r="AA64" s="69"/>
      <c r="AB64" s="69"/>
      <c r="AC64" s="69"/>
    </row>
    <row r="65" spans="1:29" s="66" customFormat="1">
      <c r="A65" s="67"/>
      <c r="B65" s="67"/>
      <c r="C65" s="67"/>
      <c r="D65" s="67"/>
      <c r="E65" s="67"/>
      <c r="F65" s="67"/>
      <c r="G65" s="68"/>
      <c r="H65" s="67"/>
      <c r="I65" s="67"/>
      <c r="J65" s="69"/>
      <c r="K65" s="69"/>
      <c r="L65" s="69"/>
      <c r="M65" s="69"/>
      <c r="N65" s="67"/>
      <c r="O65" s="70"/>
      <c r="P65" s="69"/>
      <c r="Q65" s="14"/>
      <c r="R65" s="15"/>
      <c r="S65" s="16"/>
      <c r="T65" s="16"/>
      <c r="U65" s="17"/>
      <c r="V65" s="17"/>
      <c r="W65" s="65"/>
      <c r="X65" s="65"/>
      <c r="Z65" s="69"/>
      <c r="AA65" s="69"/>
      <c r="AB65" s="69"/>
      <c r="AC65" s="69"/>
    </row>
    <row r="66" spans="1:29" s="66" customFormat="1">
      <c r="A66" s="67"/>
      <c r="B66" s="67"/>
      <c r="C66" s="67"/>
      <c r="D66" s="67"/>
      <c r="E66" s="67"/>
      <c r="F66" s="67"/>
      <c r="G66" s="68"/>
      <c r="H66" s="67"/>
      <c r="I66" s="67"/>
      <c r="J66" s="69"/>
      <c r="K66" s="69"/>
      <c r="L66" s="69"/>
      <c r="M66" s="69"/>
      <c r="N66" s="67"/>
      <c r="O66" s="70"/>
      <c r="P66" s="69"/>
      <c r="Q66" s="14"/>
      <c r="R66" s="15"/>
      <c r="S66" s="16"/>
      <c r="T66" s="16"/>
      <c r="U66" s="17"/>
      <c r="V66" s="17"/>
      <c r="W66" s="65"/>
      <c r="X66" s="65"/>
      <c r="Z66" s="69"/>
      <c r="AA66" s="69"/>
      <c r="AB66" s="69"/>
      <c r="AC66" s="69"/>
    </row>
    <row r="67" spans="1:29" s="66" customFormat="1">
      <c r="A67" s="67"/>
      <c r="B67" s="67"/>
      <c r="C67" s="67"/>
      <c r="D67" s="67"/>
      <c r="E67" s="67"/>
      <c r="F67" s="67"/>
      <c r="G67" s="68"/>
      <c r="H67" s="67"/>
      <c r="I67" s="67"/>
      <c r="J67" s="69"/>
      <c r="K67" s="69"/>
      <c r="L67" s="69"/>
      <c r="M67" s="69"/>
      <c r="N67" s="67"/>
      <c r="O67" s="70"/>
      <c r="P67" s="69"/>
      <c r="Q67" s="14"/>
      <c r="R67" s="15"/>
      <c r="S67" s="16"/>
      <c r="T67" s="16"/>
      <c r="U67" s="17"/>
      <c r="V67" s="17"/>
      <c r="W67" s="65"/>
      <c r="X67" s="65"/>
      <c r="Z67" s="69"/>
      <c r="AA67" s="69"/>
      <c r="AB67" s="69"/>
      <c r="AC67" s="69"/>
    </row>
    <row r="68" spans="1:29" s="66" customFormat="1">
      <c r="A68" s="67"/>
      <c r="B68" s="67"/>
      <c r="C68" s="67"/>
      <c r="D68" s="67"/>
      <c r="E68" s="67"/>
      <c r="F68" s="67"/>
      <c r="G68" s="68"/>
      <c r="H68" s="67"/>
      <c r="I68" s="67"/>
      <c r="J68" s="69"/>
      <c r="K68" s="69"/>
      <c r="L68" s="69"/>
      <c r="M68" s="69"/>
      <c r="N68" s="67"/>
      <c r="O68" s="70"/>
      <c r="P68" s="69"/>
      <c r="Q68" s="14"/>
      <c r="R68" s="15"/>
      <c r="S68" s="16"/>
      <c r="T68" s="16"/>
      <c r="U68" s="17"/>
      <c r="V68" s="17"/>
      <c r="W68" s="65"/>
      <c r="X68" s="65"/>
      <c r="Z68" s="69"/>
      <c r="AA68" s="69"/>
      <c r="AB68" s="69"/>
      <c r="AC68" s="69"/>
    </row>
    <row r="69" spans="1:29" s="66" customFormat="1">
      <c r="A69" s="67"/>
      <c r="B69" s="67"/>
      <c r="C69" s="67"/>
      <c r="D69" s="67"/>
      <c r="E69" s="67"/>
      <c r="F69" s="67"/>
      <c r="G69" s="68"/>
      <c r="H69" s="67"/>
      <c r="I69" s="67"/>
      <c r="J69" s="69"/>
      <c r="K69" s="69"/>
      <c r="L69" s="69"/>
      <c r="M69" s="69"/>
      <c r="N69" s="67"/>
      <c r="O69" s="70"/>
      <c r="P69" s="69"/>
      <c r="Q69" s="14"/>
      <c r="R69" s="15"/>
      <c r="S69" s="16"/>
      <c r="T69" s="16"/>
      <c r="U69" s="17"/>
      <c r="V69" s="17"/>
      <c r="W69" s="65"/>
      <c r="X69" s="65"/>
      <c r="Z69" s="69"/>
      <c r="AA69" s="69"/>
      <c r="AB69" s="69"/>
      <c r="AC69" s="69"/>
    </row>
    <row r="70" spans="1:29" s="66" customFormat="1">
      <c r="A70" s="67"/>
      <c r="B70" s="67"/>
      <c r="C70" s="67"/>
      <c r="D70" s="67"/>
      <c r="E70" s="67"/>
      <c r="F70" s="67"/>
      <c r="G70" s="68"/>
      <c r="H70" s="67"/>
      <c r="I70" s="67"/>
      <c r="J70" s="69"/>
      <c r="K70" s="69"/>
      <c r="L70" s="69"/>
      <c r="M70" s="69"/>
      <c r="N70" s="67"/>
      <c r="O70" s="70"/>
      <c r="P70" s="69"/>
      <c r="Q70" s="14"/>
      <c r="R70" s="15"/>
      <c r="S70" s="16"/>
      <c r="T70" s="16"/>
      <c r="U70" s="17"/>
      <c r="V70" s="17"/>
      <c r="W70" s="65"/>
      <c r="X70" s="65"/>
      <c r="Z70" s="69"/>
      <c r="AA70" s="69"/>
      <c r="AB70" s="69"/>
      <c r="AC70" s="69"/>
    </row>
    <row r="71" spans="1:29" s="66" customFormat="1">
      <c r="A71" s="67"/>
      <c r="B71" s="67"/>
      <c r="C71" s="67"/>
      <c r="D71" s="67"/>
      <c r="E71" s="67"/>
      <c r="F71" s="67"/>
      <c r="G71" s="68"/>
      <c r="H71" s="67"/>
      <c r="I71" s="67"/>
      <c r="J71" s="69"/>
      <c r="K71" s="69"/>
      <c r="L71" s="69"/>
      <c r="M71" s="69"/>
      <c r="N71" s="67"/>
      <c r="O71" s="70"/>
      <c r="P71" s="69"/>
      <c r="Q71" s="14"/>
      <c r="R71" s="15"/>
      <c r="S71" s="16"/>
      <c r="T71" s="16"/>
      <c r="U71" s="17"/>
      <c r="V71" s="17"/>
      <c r="W71" s="65"/>
      <c r="X71" s="65"/>
      <c r="Z71" s="69"/>
      <c r="AA71" s="69"/>
      <c r="AB71" s="69"/>
      <c r="AC71" s="69"/>
    </row>
    <row r="72" spans="1:29" s="66" customFormat="1">
      <c r="A72" s="67"/>
      <c r="B72" s="67"/>
      <c r="C72" s="67"/>
      <c r="D72" s="67"/>
      <c r="E72" s="67"/>
      <c r="F72" s="67"/>
      <c r="G72" s="68"/>
      <c r="H72" s="67"/>
      <c r="I72" s="67"/>
      <c r="J72" s="69"/>
      <c r="K72" s="69"/>
      <c r="L72" s="69"/>
      <c r="M72" s="69"/>
      <c r="N72" s="67"/>
      <c r="O72" s="70"/>
      <c r="P72" s="69"/>
      <c r="Q72" s="14"/>
      <c r="R72" s="15"/>
      <c r="S72" s="16"/>
      <c r="T72" s="16"/>
      <c r="U72" s="17"/>
      <c r="V72" s="17"/>
      <c r="W72" s="65"/>
      <c r="X72" s="65"/>
      <c r="Z72" s="69"/>
      <c r="AA72" s="69"/>
      <c r="AB72" s="69"/>
      <c r="AC72" s="69"/>
    </row>
    <row r="73" spans="1:29" s="66" customFormat="1">
      <c r="A73" s="67"/>
      <c r="B73" s="67"/>
      <c r="C73" s="67"/>
      <c r="D73" s="67"/>
      <c r="E73" s="67"/>
      <c r="F73" s="67"/>
      <c r="G73" s="68"/>
      <c r="H73" s="67"/>
      <c r="I73" s="67"/>
      <c r="J73" s="69"/>
      <c r="K73" s="69"/>
      <c r="L73" s="69"/>
      <c r="M73" s="69"/>
      <c r="N73" s="67"/>
      <c r="O73" s="70"/>
      <c r="P73" s="69"/>
      <c r="Q73" s="14"/>
      <c r="R73" s="15"/>
      <c r="S73" s="16"/>
      <c r="T73" s="16"/>
      <c r="U73" s="17"/>
      <c r="V73" s="17"/>
      <c r="W73" s="65"/>
      <c r="X73" s="65"/>
      <c r="Z73" s="69"/>
      <c r="AA73" s="69"/>
      <c r="AB73" s="69"/>
      <c r="AC73" s="69"/>
    </row>
    <row r="74" spans="1:29" s="66" customFormat="1">
      <c r="A74" s="67"/>
      <c r="B74" s="67"/>
      <c r="C74" s="67"/>
      <c r="D74" s="67"/>
      <c r="E74" s="67"/>
      <c r="F74" s="67"/>
      <c r="G74" s="68"/>
      <c r="H74" s="67"/>
      <c r="I74" s="67"/>
      <c r="J74" s="69"/>
      <c r="K74" s="69"/>
      <c r="L74" s="69"/>
      <c r="M74" s="69"/>
      <c r="N74" s="67"/>
      <c r="O74" s="70"/>
      <c r="P74" s="69"/>
      <c r="Q74" s="14"/>
      <c r="R74" s="15"/>
      <c r="S74" s="16"/>
      <c r="T74" s="16"/>
      <c r="U74" s="17"/>
      <c r="V74" s="17"/>
      <c r="W74" s="65"/>
      <c r="X74" s="65"/>
      <c r="Z74" s="69"/>
      <c r="AA74" s="69"/>
      <c r="AB74" s="69"/>
      <c r="AC74" s="69"/>
    </row>
    <row r="75" spans="1:29" s="66" customFormat="1">
      <c r="A75" s="67"/>
      <c r="B75" s="67"/>
      <c r="C75" s="67"/>
      <c r="D75" s="67"/>
      <c r="E75" s="67"/>
      <c r="F75" s="67"/>
      <c r="G75" s="68"/>
      <c r="H75" s="67"/>
      <c r="I75" s="67"/>
      <c r="J75" s="69"/>
      <c r="K75" s="69"/>
      <c r="L75" s="69"/>
      <c r="M75" s="69"/>
      <c r="N75" s="67"/>
      <c r="O75" s="70"/>
      <c r="P75" s="69"/>
      <c r="Q75" s="14"/>
      <c r="R75" s="15"/>
      <c r="S75" s="16"/>
      <c r="T75" s="16"/>
      <c r="U75" s="17"/>
      <c r="V75" s="17"/>
      <c r="W75" s="65"/>
      <c r="X75" s="65"/>
      <c r="Z75" s="69"/>
      <c r="AA75" s="69"/>
      <c r="AB75" s="69"/>
      <c r="AC75" s="69"/>
    </row>
    <row r="76" spans="1:29" s="66" customFormat="1">
      <c r="A76" s="67"/>
      <c r="B76" s="67"/>
      <c r="C76" s="67"/>
      <c r="D76" s="67"/>
      <c r="E76" s="67"/>
      <c r="F76" s="67"/>
      <c r="G76" s="68"/>
      <c r="H76" s="67"/>
      <c r="I76" s="67"/>
      <c r="J76" s="69"/>
      <c r="K76" s="69"/>
      <c r="L76" s="69"/>
      <c r="M76" s="69"/>
      <c r="N76" s="67"/>
      <c r="O76" s="70"/>
      <c r="P76" s="69"/>
      <c r="Q76" s="14"/>
      <c r="R76" s="15"/>
      <c r="S76" s="16"/>
      <c r="T76" s="16"/>
      <c r="U76" s="17"/>
      <c r="V76" s="17"/>
      <c r="W76" s="65"/>
      <c r="X76" s="65"/>
      <c r="Z76" s="69"/>
      <c r="AA76" s="69"/>
      <c r="AB76" s="69"/>
      <c r="AC76" s="69"/>
    </row>
    <row r="77" spans="1:29" s="66" customFormat="1">
      <c r="A77" s="67"/>
      <c r="B77" s="67"/>
      <c r="C77" s="67"/>
      <c r="D77" s="67"/>
      <c r="E77" s="67"/>
      <c r="F77" s="67"/>
      <c r="G77" s="68"/>
      <c r="H77" s="67"/>
      <c r="I77" s="67"/>
      <c r="J77" s="69"/>
      <c r="K77" s="69"/>
      <c r="L77" s="69"/>
      <c r="M77" s="69"/>
      <c r="N77" s="67"/>
      <c r="O77" s="70"/>
      <c r="P77" s="69"/>
      <c r="Q77" s="14"/>
      <c r="R77" s="15"/>
      <c r="S77" s="16"/>
      <c r="T77" s="16"/>
      <c r="U77" s="17"/>
      <c r="V77" s="17"/>
      <c r="W77" s="65"/>
      <c r="X77" s="65"/>
      <c r="Z77" s="69"/>
      <c r="AA77" s="69"/>
      <c r="AB77" s="69"/>
      <c r="AC77" s="69"/>
    </row>
    <row r="78" spans="1:29" s="66" customFormat="1">
      <c r="A78" s="67"/>
      <c r="B78" s="67"/>
      <c r="C78" s="67"/>
      <c r="D78" s="67"/>
      <c r="E78" s="67"/>
      <c r="F78" s="67"/>
      <c r="G78" s="68"/>
      <c r="H78" s="67"/>
      <c r="I78" s="67"/>
      <c r="J78" s="69"/>
      <c r="K78" s="69"/>
      <c r="L78" s="69"/>
      <c r="M78" s="69"/>
      <c r="N78" s="67"/>
      <c r="O78" s="70"/>
      <c r="P78" s="69"/>
      <c r="Q78" s="14"/>
      <c r="R78" s="15"/>
      <c r="S78" s="16"/>
      <c r="T78" s="16"/>
      <c r="U78" s="17"/>
      <c r="V78" s="17"/>
      <c r="W78" s="65"/>
      <c r="X78" s="65"/>
      <c r="Z78" s="69"/>
      <c r="AA78" s="69"/>
      <c r="AB78" s="69"/>
      <c r="AC78" s="69"/>
    </row>
    <row r="79" spans="1:29" s="66" customFormat="1">
      <c r="A79" s="67"/>
      <c r="B79" s="67"/>
      <c r="C79" s="67"/>
      <c r="D79" s="67"/>
      <c r="E79" s="67"/>
      <c r="F79" s="67"/>
      <c r="G79" s="68"/>
      <c r="H79" s="67"/>
      <c r="I79" s="67"/>
      <c r="J79" s="69"/>
      <c r="K79" s="69"/>
      <c r="L79" s="69"/>
      <c r="M79" s="69"/>
      <c r="N79" s="67"/>
      <c r="O79" s="70"/>
      <c r="P79" s="69"/>
      <c r="Q79" s="14"/>
      <c r="R79" s="15"/>
      <c r="S79" s="16"/>
      <c r="T79" s="16"/>
      <c r="U79" s="17"/>
      <c r="V79" s="17"/>
      <c r="W79" s="65"/>
      <c r="X79" s="65"/>
      <c r="Z79" s="69"/>
      <c r="AA79" s="69"/>
      <c r="AB79" s="69"/>
      <c r="AC79" s="69"/>
    </row>
    <row r="80" spans="1:29" s="66" customFormat="1">
      <c r="A80" s="67"/>
      <c r="B80" s="67"/>
      <c r="C80" s="67"/>
      <c r="D80" s="67"/>
      <c r="E80" s="67"/>
      <c r="F80" s="67"/>
      <c r="G80" s="68"/>
      <c r="H80" s="67"/>
      <c r="I80" s="67"/>
      <c r="J80" s="69"/>
      <c r="K80" s="69"/>
      <c r="L80" s="69"/>
      <c r="M80" s="69"/>
      <c r="N80" s="67"/>
      <c r="O80" s="70"/>
      <c r="P80" s="69"/>
      <c r="Q80" s="14"/>
      <c r="R80" s="15"/>
      <c r="S80" s="16"/>
      <c r="T80" s="16"/>
      <c r="U80" s="17"/>
      <c r="V80" s="17"/>
      <c r="W80" s="65"/>
      <c r="X80" s="65"/>
      <c r="Z80" s="69"/>
      <c r="AA80" s="69"/>
      <c r="AB80" s="69"/>
      <c r="AC80" s="69"/>
    </row>
    <row r="81" spans="1:29" s="66" customFormat="1">
      <c r="A81" s="67"/>
      <c r="B81" s="67"/>
      <c r="C81" s="67"/>
      <c r="D81" s="67"/>
      <c r="E81" s="67"/>
      <c r="F81" s="67"/>
      <c r="G81" s="68"/>
      <c r="H81" s="67"/>
      <c r="I81" s="67"/>
      <c r="J81" s="69"/>
      <c r="K81" s="69"/>
      <c r="L81" s="69"/>
      <c r="M81" s="69"/>
      <c r="N81" s="67"/>
      <c r="O81" s="70"/>
      <c r="P81" s="69"/>
      <c r="Q81" s="14"/>
      <c r="R81" s="15"/>
      <c r="S81" s="16"/>
      <c r="T81" s="16"/>
      <c r="U81" s="17"/>
      <c r="V81" s="17"/>
      <c r="W81" s="65"/>
      <c r="X81" s="65"/>
      <c r="Z81" s="69"/>
      <c r="AA81" s="69"/>
      <c r="AB81" s="69"/>
      <c r="AC81" s="69"/>
    </row>
    <row r="82" spans="1:29" s="66" customFormat="1">
      <c r="A82" s="67"/>
      <c r="B82" s="67"/>
      <c r="C82" s="67"/>
      <c r="D82" s="67"/>
      <c r="E82" s="67"/>
      <c r="F82" s="67"/>
      <c r="G82" s="68"/>
      <c r="H82" s="67"/>
      <c r="I82" s="67"/>
      <c r="J82" s="69"/>
      <c r="K82" s="69"/>
      <c r="L82" s="69"/>
      <c r="M82" s="69"/>
      <c r="N82" s="67"/>
      <c r="O82" s="70"/>
      <c r="P82" s="69"/>
      <c r="Q82" s="14"/>
      <c r="R82" s="15"/>
      <c r="S82" s="16"/>
      <c r="T82" s="16"/>
      <c r="U82" s="17"/>
      <c r="V82" s="17"/>
      <c r="W82" s="65"/>
      <c r="X82" s="65"/>
      <c r="Z82" s="69"/>
      <c r="AA82" s="69"/>
      <c r="AB82" s="69"/>
      <c r="AC82" s="69"/>
    </row>
    <row r="83" spans="1:29" s="66" customFormat="1">
      <c r="A83" s="67"/>
      <c r="B83" s="67"/>
      <c r="C83" s="67"/>
      <c r="D83" s="67"/>
      <c r="E83" s="67"/>
      <c r="F83" s="67"/>
      <c r="G83" s="68"/>
      <c r="H83" s="67"/>
      <c r="I83" s="67"/>
      <c r="J83" s="69"/>
      <c r="K83" s="69"/>
      <c r="L83" s="69"/>
      <c r="M83" s="69"/>
      <c r="N83" s="67"/>
      <c r="O83" s="70"/>
      <c r="P83" s="69"/>
      <c r="Q83" s="14"/>
      <c r="R83" s="15"/>
      <c r="S83" s="16"/>
      <c r="T83" s="16"/>
      <c r="U83" s="17"/>
      <c r="V83" s="17"/>
      <c r="W83" s="65"/>
      <c r="X83" s="65"/>
      <c r="Z83" s="69"/>
      <c r="AA83" s="69"/>
      <c r="AB83" s="69"/>
      <c r="AC83" s="69"/>
    </row>
    <row r="84" spans="1:29" s="66" customFormat="1">
      <c r="A84" s="67"/>
      <c r="B84" s="67"/>
      <c r="C84" s="67"/>
      <c r="D84" s="67"/>
      <c r="E84" s="67"/>
      <c r="F84" s="67"/>
      <c r="G84" s="68"/>
      <c r="H84" s="67"/>
      <c r="I84" s="67"/>
      <c r="J84" s="69"/>
      <c r="K84" s="69"/>
      <c r="L84" s="69"/>
      <c r="M84" s="69"/>
      <c r="N84" s="67"/>
      <c r="O84" s="70"/>
      <c r="P84" s="69"/>
      <c r="Q84" s="14"/>
      <c r="R84" s="15"/>
      <c r="S84" s="16"/>
      <c r="T84" s="16"/>
      <c r="U84" s="17"/>
      <c r="V84" s="17"/>
      <c r="W84" s="65"/>
      <c r="X84" s="65"/>
      <c r="Z84" s="69"/>
      <c r="AA84" s="69"/>
      <c r="AB84" s="69"/>
      <c r="AC84" s="69"/>
    </row>
    <row r="85" spans="1:29" s="66" customFormat="1">
      <c r="A85" s="67"/>
      <c r="B85" s="67"/>
      <c r="C85" s="67"/>
      <c r="D85" s="67"/>
      <c r="E85" s="67"/>
      <c r="F85" s="67"/>
      <c r="G85" s="68"/>
      <c r="H85" s="67"/>
      <c r="I85" s="67"/>
      <c r="J85" s="69"/>
      <c r="K85" s="69"/>
      <c r="L85" s="69"/>
      <c r="M85" s="69"/>
      <c r="N85" s="67"/>
      <c r="O85" s="70"/>
      <c r="P85" s="69"/>
      <c r="Q85" s="14"/>
      <c r="R85" s="15"/>
      <c r="S85" s="16"/>
      <c r="T85" s="16"/>
      <c r="U85" s="17"/>
      <c r="V85" s="17"/>
      <c r="W85" s="65"/>
      <c r="X85" s="65"/>
      <c r="Z85" s="69"/>
      <c r="AA85" s="69"/>
      <c r="AB85" s="69"/>
      <c r="AC85" s="69"/>
    </row>
    <row r="86" spans="1:29" s="66" customFormat="1">
      <c r="A86" s="67"/>
      <c r="B86" s="67"/>
      <c r="C86" s="67"/>
      <c r="D86" s="67"/>
      <c r="E86" s="67"/>
      <c r="F86" s="67"/>
      <c r="G86" s="68"/>
      <c r="H86" s="67"/>
      <c r="I86" s="67"/>
      <c r="J86" s="69"/>
      <c r="K86" s="69"/>
      <c r="L86" s="69"/>
      <c r="M86" s="69"/>
      <c r="N86" s="67"/>
      <c r="O86" s="70"/>
      <c r="P86" s="69"/>
      <c r="Q86" s="14"/>
      <c r="R86" s="15"/>
      <c r="S86" s="16"/>
      <c r="T86" s="16"/>
      <c r="U86" s="17"/>
      <c r="V86" s="17"/>
      <c r="W86" s="65"/>
      <c r="X86" s="65"/>
      <c r="Z86" s="69"/>
      <c r="AA86" s="69"/>
      <c r="AB86" s="69"/>
      <c r="AC86" s="69"/>
    </row>
    <row r="87" spans="1:29" s="66" customFormat="1">
      <c r="A87" s="67"/>
      <c r="B87" s="67"/>
      <c r="C87" s="67"/>
      <c r="D87" s="67"/>
      <c r="E87" s="67"/>
      <c r="F87" s="67"/>
      <c r="G87" s="68"/>
      <c r="H87" s="67"/>
      <c r="I87" s="67"/>
      <c r="J87" s="69"/>
      <c r="K87" s="69"/>
      <c r="L87" s="69"/>
      <c r="M87" s="69"/>
      <c r="N87" s="67"/>
      <c r="O87" s="70"/>
      <c r="P87" s="69"/>
      <c r="Q87" s="14"/>
      <c r="R87" s="15"/>
      <c r="S87" s="16"/>
      <c r="T87" s="16"/>
      <c r="U87" s="17"/>
      <c r="V87" s="17"/>
      <c r="W87" s="65"/>
      <c r="X87" s="65"/>
      <c r="Z87" s="69"/>
      <c r="AA87" s="69"/>
      <c r="AB87" s="69"/>
      <c r="AC87" s="69"/>
    </row>
    <row r="88" spans="1:29" s="66" customFormat="1">
      <c r="A88" s="67"/>
      <c r="B88" s="67"/>
      <c r="C88" s="67"/>
      <c r="D88" s="67"/>
      <c r="E88" s="67"/>
      <c r="F88" s="67"/>
      <c r="G88" s="68"/>
      <c r="H88" s="67"/>
      <c r="I88" s="67"/>
      <c r="J88" s="69"/>
      <c r="K88" s="69"/>
      <c r="L88" s="69"/>
      <c r="M88" s="69"/>
      <c r="N88" s="67"/>
      <c r="O88" s="70"/>
      <c r="P88" s="69"/>
      <c r="Q88" s="14"/>
      <c r="R88" s="15"/>
      <c r="S88" s="16"/>
      <c r="T88" s="16"/>
      <c r="U88" s="17"/>
      <c r="V88" s="17"/>
      <c r="W88" s="65"/>
      <c r="X88" s="65"/>
      <c r="Z88" s="69"/>
      <c r="AA88" s="69"/>
      <c r="AB88" s="69"/>
      <c r="AC88" s="69"/>
    </row>
    <row r="89" spans="1:29" s="66" customFormat="1">
      <c r="A89" s="67"/>
      <c r="B89" s="67"/>
      <c r="C89" s="67"/>
      <c r="D89" s="67"/>
      <c r="E89" s="67"/>
      <c r="F89" s="67"/>
      <c r="G89" s="68"/>
      <c r="H89" s="67"/>
      <c r="I89" s="67"/>
      <c r="J89" s="69"/>
      <c r="K89" s="69"/>
      <c r="L89" s="69"/>
      <c r="M89" s="69"/>
      <c r="N89" s="67"/>
      <c r="O89" s="70"/>
      <c r="P89" s="69"/>
      <c r="Q89" s="14"/>
      <c r="R89" s="15"/>
      <c r="S89" s="16"/>
      <c r="T89" s="16"/>
      <c r="U89" s="17"/>
      <c r="V89" s="17"/>
      <c r="W89" s="65"/>
      <c r="X89" s="65"/>
      <c r="Z89" s="69"/>
      <c r="AA89" s="69"/>
      <c r="AB89" s="69"/>
      <c r="AC89" s="69"/>
    </row>
    <row r="90" spans="1:29" s="66" customFormat="1">
      <c r="A90" s="67"/>
      <c r="B90" s="67"/>
      <c r="C90" s="67"/>
      <c r="D90" s="67"/>
      <c r="E90" s="67"/>
      <c r="F90" s="67"/>
      <c r="G90" s="68"/>
      <c r="H90" s="67"/>
      <c r="I90" s="67"/>
      <c r="J90" s="69"/>
      <c r="K90" s="69"/>
      <c r="L90" s="69"/>
      <c r="M90" s="69"/>
      <c r="N90" s="67"/>
      <c r="O90" s="70"/>
      <c r="P90" s="69"/>
      <c r="Q90" s="14"/>
      <c r="R90" s="15"/>
      <c r="S90" s="16"/>
      <c r="T90" s="16"/>
      <c r="U90" s="17"/>
      <c r="V90" s="17"/>
      <c r="W90" s="65"/>
      <c r="X90" s="65"/>
      <c r="Z90" s="69"/>
      <c r="AA90" s="69"/>
      <c r="AB90" s="69"/>
      <c r="AC90" s="69"/>
    </row>
    <row r="91" spans="1:29" s="66" customFormat="1">
      <c r="A91" s="67"/>
      <c r="B91" s="67"/>
      <c r="C91" s="67"/>
      <c r="D91" s="67"/>
      <c r="E91" s="67"/>
      <c r="F91" s="67"/>
      <c r="G91" s="68"/>
      <c r="H91" s="67"/>
      <c r="I91" s="67"/>
      <c r="J91" s="69"/>
      <c r="K91" s="69"/>
      <c r="L91" s="69"/>
      <c r="M91" s="69"/>
      <c r="N91" s="67"/>
      <c r="O91" s="70"/>
      <c r="P91" s="69"/>
      <c r="Q91" s="14"/>
      <c r="R91" s="15"/>
      <c r="S91" s="16"/>
      <c r="T91" s="16"/>
      <c r="U91" s="17"/>
      <c r="V91" s="17"/>
      <c r="W91" s="65"/>
      <c r="X91" s="65"/>
      <c r="Z91" s="69"/>
      <c r="AA91" s="69"/>
      <c r="AB91" s="69"/>
      <c r="AC91" s="69"/>
    </row>
    <row r="92" spans="1:29" s="66" customFormat="1">
      <c r="A92" s="67"/>
      <c r="B92" s="67"/>
      <c r="C92" s="67"/>
      <c r="D92" s="67"/>
      <c r="E92" s="67"/>
      <c r="F92" s="67"/>
      <c r="G92" s="68"/>
      <c r="H92" s="67"/>
      <c r="I92" s="67"/>
      <c r="J92" s="69"/>
      <c r="K92" s="69"/>
      <c r="L92" s="69"/>
      <c r="M92" s="69"/>
      <c r="N92" s="67"/>
      <c r="O92" s="70"/>
      <c r="P92" s="69"/>
      <c r="Q92" s="14"/>
      <c r="R92" s="15"/>
      <c r="S92" s="16"/>
      <c r="T92" s="16"/>
      <c r="U92" s="17"/>
      <c r="V92" s="17"/>
      <c r="W92" s="65"/>
      <c r="X92" s="65"/>
      <c r="Z92" s="69"/>
      <c r="AA92" s="69"/>
      <c r="AB92" s="69"/>
      <c r="AC92" s="69"/>
    </row>
    <row r="93" spans="1:29" s="66" customFormat="1">
      <c r="A93" s="67"/>
      <c r="B93" s="67"/>
      <c r="C93" s="67"/>
      <c r="D93" s="67"/>
      <c r="E93" s="67"/>
      <c r="F93" s="67"/>
      <c r="G93" s="68"/>
      <c r="H93" s="67"/>
      <c r="I93" s="67"/>
      <c r="J93" s="69"/>
      <c r="K93" s="69"/>
      <c r="L93" s="69"/>
      <c r="M93" s="69"/>
      <c r="N93" s="67"/>
      <c r="O93" s="70"/>
      <c r="P93" s="69"/>
      <c r="Q93" s="14"/>
      <c r="R93" s="15"/>
      <c r="S93" s="16"/>
      <c r="T93" s="16"/>
      <c r="U93" s="17"/>
      <c r="V93" s="17"/>
      <c r="W93" s="65"/>
      <c r="X93" s="65"/>
      <c r="Z93" s="69"/>
      <c r="AA93" s="69"/>
      <c r="AB93" s="69"/>
      <c r="AC93" s="69"/>
    </row>
    <row r="94" spans="1:29" s="66" customFormat="1">
      <c r="A94" s="67"/>
      <c r="B94" s="67"/>
      <c r="C94" s="67"/>
      <c r="D94" s="67"/>
      <c r="E94" s="67"/>
      <c r="F94" s="67"/>
      <c r="G94" s="68"/>
      <c r="H94" s="67"/>
      <c r="I94" s="67"/>
      <c r="J94" s="69"/>
      <c r="K94" s="69"/>
      <c r="L94" s="69"/>
      <c r="M94" s="69"/>
      <c r="N94" s="67"/>
      <c r="O94" s="70"/>
      <c r="P94" s="69"/>
      <c r="Q94" s="14"/>
      <c r="R94" s="15"/>
      <c r="S94" s="16"/>
      <c r="T94" s="16"/>
      <c r="U94" s="17"/>
      <c r="V94" s="17"/>
      <c r="W94" s="65"/>
      <c r="X94" s="65"/>
      <c r="Z94" s="69"/>
      <c r="AA94" s="69"/>
      <c r="AB94" s="69"/>
      <c r="AC94" s="69"/>
    </row>
    <row r="95" spans="1:29" s="66" customFormat="1">
      <c r="A95" s="67"/>
      <c r="B95" s="67"/>
      <c r="C95" s="67"/>
      <c r="D95" s="67"/>
      <c r="E95" s="67"/>
      <c r="F95" s="67"/>
      <c r="G95" s="68"/>
      <c r="H95" s="67"/>
      <c r="I95" s="67"/>
      <c r="J95" s="69"/>
      <c r="K95" s="69"/>
      <c r="L95" s="69"/>
      <c r="M95" s="69"/>
      <c r="N95" s="67"/>
      <c r="O95" s="70"/>
      <c r="P95" s="69"/>
      <c r="Q95" s="14"/>
      <c r="R95" s="15"/>
      <c r="S95" s="16"/>
      <c r="T95" s="16"/>
      <c r="U95" s="17"/>
      <c r="V95" s="17"/>
      <c r="W95" s="65"/>
      <c r="X95" s="65"/>
      <c r="Z95" s="69"/>
      <c r="AA95" s="69"/>
      <c r="AB95" s="69"/>
      <c r="AC95" s="69"/>
    </row>
    <row r="96" spans="1:29" s="66" customFormat="1">
      <c r="A96" s="67"/>
      <c r="B96" s="67"/>
      <c r="C96" s="67"/>
      <c r="D96" s="67"/>
      <c r="E96" s="67"/>
      <c r="F96" s="67"/>
      <c r="G96" s="68"/>
      <c r="H96" s="67"/>
      <c r="I96" s="67"/>
      <c r="J96" s="69"/>
      <c r="K96" s="69"/>
      <c r="L96" s="69"/>
      <c r="M96" s="69"/>
      <c r="N96" s="67"/>
      <c r="O96" s="70"/>
      <c r="P96" s="69"/>
      <c r="Q96" s="14"/>
      <c r="R96" s="15"/>
      <c r="S96" s="16"/>
      <c r="T96" s="16"/>
      <c r="U96" s="17"/>
      <c r="V96" s="17"/>
      <c r="W96" s="65"/>
      <c r="X96" s="65"/>
      <c r="Z96" s="69"/>
      <c r="AA96" s="69"/>
      <c r="AB96" s="69"/>
      <c r="AC96" s="69"/>
    </row>
    <row r="97" spans="1:29" s="66" customFormat="1">
      <c r="A97" s="67"/>
      <c r="B97" s="67"/>
      <c r="C97" s="67"/>
      <c r="D97" s="67"/>
      <c r="E97" s="67"/>
      <c r="F97" s="67"/>
      <c r="G97" s="68"/>
      <c r="H97" s="67"/>
      <c r="I97" s="67"/>
      <c r="J97" s="69"/>
      <c r="K97" s="69"/>
      <c r="L97" s="69"/>
      <c r="M97" s="69"/>
      <c r="N97" s="67"/>
      <c r="O97" s="70"/>
      <c r="P97" s="69"/>
      <c r="Q97" s="14"/>
      <c r="R97" s="15"/>
      <c r="S97" s="16"/>
      <c r="T97" s="16"/>
      <c r="U97" s="17"/>
      <c r="V97" s="17"/>
      <c r="W97" s="65"/>
      <c r="X97" s="65"/>
      <c r="Z97" s="69"/>
      <c r="AA97" s="69"/>
      <c r="AB97" s="69"/>
      <c r="AC97" s="69"/>
    </row>
    <row r="98" spans="1:29" s="66" customFormat="1">
      <c r="A98" s="67"/>
      <c r="B98" s="67"/>
      <c r="C98" s="67"/>
      <c r="D98" s="67"/>
      <c r="E98" s="67"/>
      <c r="F98" s="67"/>
      <c r="G98" s="68"/>
      <c r="H98" s="67"/>
      <c r="I98" s="67"/>
      <c r="J98" s="69"/>
      <c r="K98" s="69"/>
      <c r="L98" s="69"/>
      <c r="M98" s="69"/>
      <c r="N98" s="67"/>
      <c r="O98" s="70"/>
      <c r="P98" s="69"/>
      <c r="Q98" s="14"/>
      <c r="R98" s="15"/>
      <c r="S98" s="16"/>
      <c r="T98" s="16"/>
      <c r="U98" s="17"/>
      <c r="V98" s="17"/>
      <c r="W98" s="65"/>
      <c r="X98" s="65"/>
      <c r="Z98" s="69"/>
      <c r="AA98" s="69"/>
      <c r="AB98" s="69"/>
      <c r="AC98" s="69"/>
    </row>
    <row r="99" spans="1:29" s="66" customFormat="1">
      <c r="A99" s="67"/>
      <c r="B99" s="67"/>
      <c r="C99" s="67"/>
      <c r="D99" s="67"/>
      <c r="E99" s="67"/>
      <c r="F99" s="67"/>
      <c r="G99" s="68"/>
      <c r="H99" s="67"/>
      <c r="I99" s="67"/>
      <c r="J99" s="69"/>
      <c r="K99" s="69"/>
      <c r="L99" s="69"/>
      <c r="M99" s="69"/>
      <c r="N99" s="67"/>
      <c r="O99" s="70"/>
      <c r="P99" s="69"/>
      <c r="Q99" s="14"/>
      <c r="R99" s="15"/>
      <c r="S99" s="16"/>
      <c r="T99" s="16"/>
      <c r="U99" s="17"/>
      <c r="V99" s="17"/>
      <c r="W99" s="65"/>
      <c r="X99" s="65"/>
      <c r="Z99" s="69"/>
      <c r="AA99" s="69"/>
      <c r="AB99" s="69"/>
      <c r="AC99" s="69"/>
    </row>
    <row r="100" spans="1:29" s="66" customFormat="1">
      <c r="A100" s="67"/>
      <c r="B100" s="67"/>
      <c r="C100" s="67"/>
      <c r="D100" s="67"/>
      <c r="E100" s="67"/>
      <c r="F100" s="67"/>
      <c r="G100" s="68"/>
      <c r="H100" s="67"/>
      <c r="I100" s="67"/>
      <c r="J100" s="69"/>
      <c r="K100" s="69"/>
      <c r="L100" s="69"/>
      <c r="M100" s="69"/>
      <c r="N100" s="67"/>
      <c r="O100" s="70"/>
      <c r="P100" s="69"/>
      <c r="Q100" s="14"/>
      <c r="R100" s="15"/>
      <c r="S100" s="16"/>
      <c r="T100" s="16"/>
      <c r="U100" s="17"/>
      <c r="V100" s="17"/>
      <c r="W100" s="65"/>
      <c r="X100" s="65"/>
      <c r="Z100" s="69"/>
      <c r="AA100" s="69"/>
      <c r="AB100" s="69"/>
      <c r="AC100" s="69"/>
    </row>
    <row r="101" spans="1:29" s="66" customFormat="1">
      <c r="A101" s="67"/>
      <c r="B101" s="67"/>
      <c r="C101" s="67"/>
      <c r="D101" s="67"/>
      <c r="E101" s="67"/>
      <c r="F101" s="67"/>
      <c r="G101" s="68"/>
      <c r="H101" s="67"/>
      <c r="I101" s="67"/>
      <c r="J101" s="69"/>
      <c r="K101" s="69"/>
      <c r="L101" s="69"/>
      <c r="M101" s="69"/>
      <c r="N101" s="67"/>
      <c r="O101" s="70"/>
      <c r="P101" s="69"/>
      <c r="Q101" s="14"/>
      <c r="R101" s="15"/>
      <c r="S101" s="16"/>
      <c r="T101" s="16"/>
      <c r="U101" s="17"/>
      <c r="V101" s="17"/>
      <c r="W101" s="65"/>
      <c r="X101" s="65"/>
      <c r="Z101" s="69"/>
      <c r="AA101" s="69"/>
      <c r="AB101" s="69"/>
      <c r="AC101" s="69"/>
    </row>
    <row r="102" spans="1:29" s="66" customFormat="1">
      <c r="A102" s="67"/>
      <c r="B102" s="67"/>
      <c r="C102" s="67"/>
      <c r="D102" s="67"/>
      <c r="E102" s="67"/>
      <c r="F102" s="67"/>
      <c r="G102" s="68"/>
      <c r="H102" s="67"/>
      <c r="I102" s="67"/>
      <c r="J102" s="69"/>
      <c r="K102" s="69"/>
      <c r="L102" s="69"/>
      <c r="M102" s="69"/>
      <c r="N102" s="67"/>
      <c r="O102" s="70"/>
      <c r="P102" s="69"/>
      <c r="Q102" s="14"/>
      <c r="R102" s="15"/>
      <c r="S102" s="16"/>
      <c r="T102" s="16"/>
      <c r="U102" s="17"/>
      <c r="V102" s="17"/>
      <c r="W102" s="65"/>
      <c r="X102" s="65"/>
      <c r="Z102" s="69"/>
      <c r="AA102" s="69"/>
      <c r="AB102" s="69"/>
      <c r="AC102" s="69"/>
    </row>
    <row r="103" spans="1:29" s="66" customFormat="1">
      <c r="A103" s="67"/>
      <c r="B103" s="67"/>
      <c r="C103" s="67"/>
      <c r="D103" s="67"/>
      <c r="E103" s="67"/>
      <c r="F103" s="67"/>
      <c r="G103" s="68"/>
      <c r="H103" s="67"/>
      <c r="I103" s="67"/>
      <c r="J103" s="69"/>
      <c r="K103" s="69"/>
      <c r="L103" s="69"/>
      <c r="M103" s="69"/>
      <c r="N103" s="67"/>
      <c r="O103" s="70"/>
      <c r="P103" s="69"/>
      <c r="Q103" s="14"/>
      <c r="R103" s="15"/>
      <c r="S103" s="16"/>
      <c r="T103" s="16"/>
      <c r="U103" s="17"/>
      <c r="V103" s="17"/>
      <c r="W103" s="65"/>
      <c r="X103" s="65"/>
      <c r="Z103" s="69"/>
      <c r="AA103" s="69"/>
      <c r="AB103" s="69"/>
      <c r="AC103" s="69"/>
    </row>
    <row r="104" spans="1:29" s="66" customFormat="1">
      <c r="A104" s="67"/>
      <c r="B104" s="67"/>
      <c r="C104" s="67"/>
      <c r="D104" s="67"/>
      <c r="E104" s="67"/>
      <c r="F104" s="67"/>
      <c r="G104" s="68"/>
      <c r="H104" s="67"/>
      <c r="I104" s="67"/>
      <c r="J104" s="69"/>
      <c r="K104" s="69"/>
      <c r="L104" s="69"/>
      <c r="M104" s="69"/>
      <c r="N104" s="67"/>
      <c r="O104" s="70"/>
      <c r="P104" s="69"/>
      <c r="Q104" s="14"/>
      <c r="R104" s="15"/>
      <c r="S104" s="16"/>
      <c r="T104" s="16"/>
      <c r="U104" s="17"/>
      <c r="V104" s="17"/>
      <c r="W104" s="65"/>
      <c r="X104" s="65"/>
      <c r="Z104" s="69"/>
      <c r="AA104" s="69"/>
      <c r="AB104" s="69"/>
      <c r="AC104" s="69"/>
    </row>
    <row r="105" spans="1:29" s="66" customFormat="1">
      <c r="A105" s="67"/>
      <c r="B105" s="67"/>
      <c r="C105" s="67"/>
      <c r="D105" s="67"/>
      <c r="E105" s="67"/>
      <c r="F105" s="67"/>
      <c r="G105" s="68"/>
      <c r="H105" s="67"/>
      <c r="I105" s="67"/>
      <c r="J105" s="69"/>
      <c r="K105" s="69"/>
      <c r="L105" s="69"/>
      <c r="M105" s="69"/>
      <c r="N105" s="67"/>
      <c r="O105" s="70"/>
      <c r="P105" s="69"/>
      <c r="Q105" s="14"/>
      <c r="R105" s="15"/>
      <c r="S105" s="16"/>
      <c r="T105" s="16"/>
      <c r="U105" s="17"/>
      <c r="V105" s="17"/>
      <c r="W105" s="65"/>
      <c r="X105" s="65"/>
      <c r="Z105" s="69"/>
      <c r="AA105" s="69"/>
      <c r="AB105" s="69"/>
      <c r="AC105" s="69"/>
    </row>
    <row r="106" spans="1:29" s="66" customFormat="1">
      <c r="A106" s="67"/>
      <c r="B106" s="67"/>
      <c r="C106" s="67"/>
      <c r="D106" s="67"/>
      <c r="E106" s="67"/>
      <c r="F106" s="67"/>
      <c r="G106" s="68"/>
      <c r="H106" s="67"/>
      <c r="I106" s="67"/>
      <c r="J106" s="69"/>
      <c r="K106" s="69"/>
      <c r="L106" s="69"/>
      <c r="M106" s="69"/>
      <c r="N106" s="67"/>
      <c r="O106" s="70"/>
      <c r="P106" s="69"/>
      <c r="Q106" s="14"/>
      <c r="R106" s="15"/>
      <c r="S106" s="16"/>
      <c r="T106" s="16"/>
      <c r="U106" s="17"/>
      <c r="V106" s="17"/>
      <c r="W106" s="65"/>
      <c r="X106" s="65"/>
      <c r="Z106" s="69"/>
      <c r="AA106" s="69"/>
      <c r="AB106" s="69"/>
      <c r="AC106" s="69"/>
    </row>
    <row r="107" spans="1:29" s="66" customFormat="1">
      <c r="A107" s="67"/>
      <c r="B107" s="67"/>
      <c r="C107" s="67"/>
      <c r="D107" s="67"/>
      <c r="E107" s="67"/>
      <c r="F107" s="67"/>
      <c r="G107" s="68"/>
      <c r="H107" s="67"/>
      <c r="I107" s="67"/>
      <c r="J107" s="69"/>
      <c r="K107" s="69"/>
      <c r="L107" s="69"/>
      <c r="M107" s="69"/>
      <c r="N107" s="67"/>
      <c r="O107" s="70"/>
      <c r="P107" s="69"/>
      <c r="Q107" s="14"/>
      <c r="R107" s="15"/>
      <c r="S107" s="16"/>
      <c r="T107" s="16"/>
      <c r="U107" s="17"/>
      <c r="V107" s="17"/>
      <c r="W107" s="65"/>
      <c r="X107" s="65"/>
      <c r="Z107" s="69"/>
      <c r="AA107" s="69"/>
      <c r="AB107" s="69"/>
      <c r="AC107" s="69"/>
    </row>
    <row r="108" spans="1:29" s="66" customFormat="1">
      <c r="A108" s="67"/>
      <c r="B108" s="67"/>
      <c r="C108" s="67"/>
      <c r="D108" s="67"/>
      <c r="E108" s="67"/>
      <c r="F108" s="67"/>
      <c r="G108" s="68"/>
      <c r="H108" s="67"/>
      <c r="I108" s="67"/>
      <c r="J108" s="69"/>
      <c r="K108" s="69"/>
      <c r="L108" s="69"/>
      <c r="M108" s="69"/>
      <c r="N108" s="67"/>
      <c r="O108" s="70"/>
      <c r="P108" s="69"/>
      <c r="Q108" s="14"/>
      <c r="R108" s="15"/>
      <c r="S108" s="16"/>
      <c r="T108" s="16"/>
      <c r="U108" s="17"/>
      <c r="V108" s="17"/>
      <c r="W108" s="65"/>
      <c r="X108" s="65"/>
      <c r="Z108" s="69"/>
      <c r="AA108" s="69"/>
      <c r="AB108" s="69"/>
      <c r="AC108" s="69"/>
    </row>
    <row r="109" spans="1:29" s="66" customFormat="1">
      <c r="A109" s="67"/>
      <c r="B109" s="67"/>
      <c r="C109" s="67"/>
      <c r="D109" s="67"/>
      <c r="E109" s="67"/>
      <c r="F109" s="67"/>
      <c r="G109" s="68"/>
      <c r="H109" s="67"/>
      <c r="I109" s="67"/>
      <c r="J109" s="69"/>
      <c r="K109" s="69"/>
      <c r="L109" s="69"/>
      <c r="M109" s="69"/>
      <c r="N109" s="67"/>
      <c r="O109" s="70"/>
      <c r="P109" s="69"/>
      <c r="Q109" s="14"/>
      <c r="R109" s="15"/>
      <c r="S109" s="16"/>
      <c r="T109" s="16"/>
      <c r="U109" s="17"/>
      <c r="V109" s="17"/>
      <c r="W109" s="65"/>
      <c r="X109" s="65"/>
      <c r="Z109" s="69"/>
      <c r="AA109" s="69"/>
      <c r="AB109" s="69"/>
      <c r="AC109" s="69"/>
    </row>
    <row r="110" spans="1:29" s="66" customFormat="1">
      <c r="A110" s="67"/>
      <c r="B110" s="67"/>
      <c r="C110" s="67"/>
      <c r="D110" s="67"/>
      <c r="E110" s="67"/>
      <c r="F110" s="67"/>
      <c r="G110" s="68"/>
      <c r="H110" s="67"/>
      <c r="I110" s="67"/>
      <c r="J110" s="69"/>
      <c r="K110" s="69"/>
      <c r="L110" s="69"/>
      <c r="M110" s="69"/>
      <c r="N110" s="67"/>
      <c r="O110" s="70"/>
      <c r="P110" s="69"/>
      <c r="Q110" s="14"/>
      <c r="R110" s="15"/>
      <c r="S110" s="16"/>
      <c r="T110" s="16"/>
      <c r="U110" s="17"/>
      <c r="V110" s="17"/>
      <c r="W110" s="65"/>
      <c r="X110" s="65"/>
      <c r="Z110" s="69"/>
      <c r="AA110" s="69"/>
      <c r="AB110" s="69"/>
      <c r="AC110" s="69"/>
    </row>
    <row r="111" spans="1:29" s="66" customFormat="1">
      <c r="A111" s="67"/>
      <c r="B111" s="67"/>
      <c r="C111" s="67"/>
      <c r="D111" s="67"/>
      <c r="E111" s="67"/>
      <c r="F111" s="67"/>
      <c r="G111" s="68"/>
      <c r="H111" s="67"/>
      <c r="I111" s="67"/>
      <c r="J111" s="69"/>
      <c r="K111" s="69"/>
      <c r="L111" s="69"/>
      <c r="M111" s="69"/>
      <c r="N111" s="67"/>
      <c r="O111" s="70"/>
      <c r="P111" s="69"/>
      <c r="Q111" s="14"/>
      <c r="R111" s="15"/>
      <c r="S111" s="16"/>
      <c r="T111" s="16"/>
      <c r="U111" s="17"/>
      <c r="V111" s="17"/>
      <c r="W111" s="65"/>
      <c r="X111" s="65"/>
      <c r="Z111" s="69"/>
      <c r="AA111" s="69"/>
      <c r="AB111" s="69"/>
      <c r="AC111" s="69"/>
    </row>
    <row r="112" spans="1:29" s="66" customFormat="1">
      <c r="A112" s="67"/>
      <c r="B112" s="67"/>
      <c r="C112" s="67"/>
      <c r="D112" s="67"/>
      <c r="E112" s="67"/>
      <c r="F112" s="67"/>
      <c r="G112" s="68"/>
      <c r="H112" s="67"/>
      <c r="I112" s="67"/>
      <c r="J112" s="69"/>
      <c r="K112" s="69"/>
      <c r="L112" s="69"/>
      <c r="M112" s="69"/>
      <c r="N112" s="67"/>
      <c r="O112" s="70"/>
      <c r="P112" s="69"/>
      <c r="Q112" s="14"/>
      <c r="R112" s="15"/>
      <c r="S112" s="16"/>
      <c r="T112" s="16"/>
      <c r="U112" s="17"/>
      <c r="V112" s="17"/>
      <c r="W112" s="65"/>
      <c r="X112" s="65"/>
      <c r="Z112" s="69"/>
      <c r="AA112" s="69"/>
      <c r="AB112" s="69"/>
      <c r="AC112" s="69"/>
    </row>
    <row r="113" spans="1:29" s="66" customFormat="1">
      <c r="A113" s="67"/>
      <c r="B113" s="67"/>
      <c r="C113" s="67"/>
      <c r="D113" s="67"/>
      <c r="E113" s="67"/>
      <c r="F113" s="67"/>
      <c r="G113" s="68"/>
      <c r="H113" s="67"/>
      <c r="I113" s="67"/>
      <c r="J113" s="69"/>
      <c r="K113" s="69"/>
      <c r="L113" s="69"/>
      <c r="M113" s="69"/>
      <c r="N113" s="67"/>
      <c r="O113" s="70"/>
      <c r="P113" s="69"/>
      <c r="Q113" s="14"/>
      <c r="R113" s="15"/>
      <c r="S113" s="16"/>
      <c r="T113" s="16"/>
      <c r="U113" s="17"/>
      <c r="V113" s="17"/>
      <c r="W113" s="65"/>
      <c r="X113" s="65"/>
      <c r="Z113" s="69"/>
      <c r="AA113" s="69"/>
      <c r="AB113" s="69"/>
      <c r="AC113" s="69"/>
    </row>
    <row r="114" spans="1:29" s="66" customFormat="1">
      <c r="A114" s="67"/>
      <c r="B114" s="67"/>
      <c r="C114" s="67"/>
      <c r="D114" s="67"/>
      <c r="E114" s="67"/>
      <c r="F114" s="67"/>
      <c r="G114" s="68"/>
      <c r="H114" s="67"/>
      <c r="I114" s="67"/>
      <c r="J114" s="69"/>
      <c r="K114" s="69"/>
      <c r="L114" s="69"/>
      <c r="M114" s="69"/>
      <c r="N114" s="67"/>
      <c r="O114" s="70"/>
      <c r="P114" s="69"/>
      <c r="Q114" s="14"/>
      <c r="R114" s="15"/>
      <c r="S114" s="16"/>
      <c r="T114" s="16"/>
      <c r="U114" s="17"/>
      <c r="V114" s="17"/>
      <c r="W114" s="65"/>
      <c r="X114" s="65"/>
      <c r="Z114" s="69"/>
      <c r="AA114" s="69"/>
      <c r="AB114" s="69"/>
      <c r="AC114" s="69"/>
    </row>
    <row r="115" spans="1:29" s="66" customFormat="1">
      <c r="A115" s="67"/>
      <c r="B115" s="67"/>
      <c r="C115" s="67"/>
      <c r="D115" s="67"/>
      <c r="E115" s="67"/>
      <c r="F115" s="67"/>
      <c r="G115" s="67"/>
      <c r="H115" s="67"/>
      <c r="I115" s="67"/>
      <c r="J115" s="69"/>
      <c r="K115" s="69"/>
      <c r="L115" s="69"/>
      <c r="M115" s="69"/>
      <c r="N115" s="67"/>
      <c r="O115" s="70"/>
      <c r="P115" s="69"/>
      <c r="Q115" s="14"/>
      <c r="R115" s="15"/>
      <c r="S115" s="16"/>
      <c r="T115" s="16"/>
      <c r="U115" s="17"/>
      <c r="V115" s="17"/>
      <c r="W115" s="65"/>
      <c r="X115" s="65"/>
      <c r="Z115" s="69"/>
      <c r="AA115" s="69"/>
      <c r="AB115" s="69"/>
      <c r="AC115" s="69"/>
    </row>
    <row r="116" spans="1:29" s="66" customFormat="1">
      <c r="A116" s="67"/>
      <c r="B116" s="67"/>
      <c r="C116" s="67"/>
      <c r="D116" s="67"/>
      <c r="E116" s="67"/>
      <c r="F116" s="67"/>
      <c r="G116" s="67"/>
      <c r="H116" s="67"/>
      <c r="I116" s="67"/>
      <c r="J116" s="69"/>
      <c r="K116" s="69"/>
      <c r="L116" s="69"/>
      <c r="M116" s="69"/>
      <c r="N116" s="67"/>
      <c r="O116" s="70"/>
      <c r="P116" s="69"/>
      <c r="Q116" s="14"/>
      <c r="R116" s="15"/>
      <c r="S116" s="16"/>
      <c r="T116" s="16"/>
      <c r="U116" s="17"/>
      <c r="V116" s="17"/>
      <c r="W116" s="65"/>
      <c r="X116" s="65"/>
      <c r="Z116" s="69"/>
      <c r="AA116" s="69"/>
      <c r="AB116" s="69"/>
      <c r="AC116" s="69"/>
    </row>
    <row r="117" spans="1:29" s="66" customFormat="1">
      <c r="A117" s="67"/>
      <c r="B117" s="67"/>
      <c r="C117" s="67"/>
      <c r="D117" s="67"/>
      <c r="E117" s="67"/>
      <c r="F117" s="67"/>
      <c r="G117" s="67"/>
      <c r="H117" s="67"/>
      <c r="I117" s="67"/>
      <c r="J117" s="69"/>
      <c r="K117" s="69"/>
      <c r="L117" s="69"/>
      <c r="M117" s="69"/>
      <c r="N117" s="67"/>
      <c r="O117" s="70"/>
      <c r="P117" s="69"/>
      <c r="Q117" s="14"/>
      <c r="R117" s="15"/>
      <c r="S117" s="16"/>
      <c r="T117" s="16"/>
      <c r="U117" s="17"/>
      <c r="V117" s="17"/>
      <c r="W117" s="65"/>
      <c r="X117" s="65"/>
      <c r="Z117" s="69"/>
      <c r="AA117" s="69"/>
      <c r="AB117" s="69"/>
      <c r="AC117" s="69"/>
    </row>
    <row r="118" spans="1:29" s="66" customFormat="1">
      <c r="A118" s="67"/>
      <c r="B118" s="67"/>
      <c r="C118" s="67"/>
      <c r="D118" s="67"/>
      <c r="E118" s="67"/>
      <c r="F118" s="67"/>
      <c r="G118" s="67"/>
      <c r="H118" s="67"/>
      <c r="I118" s="67"/>
      <c r="J118" s="69"/>
      <c r="K118" s="69"/>
      <c r="L118" s="69"/>
      <c r="M118" s="69"/>
      <c r="N118" s="67"/>
      <c r="O118" s="70"/>
      <c r="P118" s="69"/>
      <c r="Q118" s="14"/>
      <c r="R118" s="15"/>
      <c r="S118" s="16"/>
      <c r="T118" s="16"/>
      <c r="U118" s="17"/>
      <c r="V118" s="17"/>
      <c r="W118" s="65"/>
      <c r="X118" s="65"/>
      <c r="Z118" s="69"/>
      <c r="AA118" s="69"/>
      <c r="AB118" s="69"/>
      <c r="AC118" s="69"/>
    </row>
    <row r="119" spans="1:29" s="66" customFormat="1">
      <c r="A119" s="67"/>
      <c r="B119" s="67"/>
      <c r="C119" s="67"/>
      <c r="D119" s="67"/>
      <c r="E119" s="67"/>
      <c r="F119" s="67"/>
      <c r="G119" s="67"/>
      <c r="H119" s="67"/>
      <c r="I119" s="67"/>
      <c r="J119" s="69"/>
      <c r="K119" s="69"/>
      <c r="L119" s="69"/>
      <c r="M119" s="69"/>
      <c r="N119" s="67"/>
      <c r="O119" s="70"/>
      <c r="P119" s="69"/>
      <c r="Q119" s="14"/>
      <c r="R119" s="15"/>
      <c r="S119" s="16"/>
      <c r="T119" s="16"/>
      <c r="U119" s="17"/>
      <c r="V119" s="17"/>
      <c r="W119" s="65"/>
      <c r="X119" s="65"/>
      <c r="Z119" s="69"/>
      <c r="AA119" s="69"/>
      <c r="AB119" s="69"/>
      <c r="AC119" s="69"/>
    </row>
    <row r="120" spans="1:29" s="66" customFormat="1">
      <c r="A120" s="67"/>
      <c r="B120" s="67"/>
      <c r="C120" s="67"/>
      <c r="D120" s="67"/>
      <c r="E120" s="67"/>
      <c r="F120" s="67"/>
      <c r="G120" s="67"/>
      <c r="H120" s="67"/>
      <c r="I120" s="67"/>
      <c r="J120" s="69"/>
      <c r="K120" s="69"/>
      <c r="L120" s="69"/>
      <c r="M120" s="69"/>
      <c r="N120" s="67"/>
      <c r="O120" s="70"/>
      <c r="P120" s="69"/>
      <c r="Q120" s="14"/>
      <c r="R120" s="15"/>
      <c r="S120" s="16"/>
      <c r="T120" s="16"/>
      <c r="U120" s="17"/>
      <c r="V120" s="17"/>
      <c r="W120" s="65"/>
      <c r="X120" s="65"/>
      <c r="Z120" s="69"/>
      <c r="AA120" s="69"/>
      <c r="AB120" s="69"/>
      <c r="AC120" s="69"/>
    </row>
    <row r="121" spans="1:29" s="66" customFormat="1">
      <c r="A121" s="67"/>
      <c r="B121" s="67"/>
      <c r="C121" s="67"/>
      <c r="D121" s="67"/>
      <c r="E121" s="67"/>
      <c r="F121" s="67"/>
      <c r="G121" s="67"/>
      <c r="H121" s="67"/>
      <c r="I121" s="67"/>
      <c r="J121" s="69"/>
      <c r="K121" s="69"/>
      <c r="L121" s="69"/>
      <c r="M121" s="69"/>
      <c r="N121" s="67"/>
      <c r="O121" s="70"/>
      <c r="P121" s="69"/>
      <c r="Q121" s="14"/>
      <c r="R121" s="15"/>
      <c r="S121" s="16"/>
      <c r="T121" s="16"/>
      <c r="U121" s="17"/>
      <c r="V121" s="17"/>
      <c r="W121" s="65"/>
      <c r="X121" s="65"/>
      <c r="Z121" s="69"/>
      <c r="AA121" s="69"/>
      <c r="AB121" s="69"/>
      <c r="AC121" s="69"/>
    </row>
    <row r="122" spans="1:29" s="66" customFormat="1">
      <c r="A122" s="67"/>
      <c r="B122" s="67"/>
      <c r="C122" s="67"/>
      <c r="D122" s="67"/>
      <c r="E122" s="67"/>
      <c r="F122" s="67"/>
      <c r="G122" s="67"/>
      <c r="H122" s="67"/>
      <c r="I122" s="67"/>
      <c r="J122" s="69"/>
      <c r="K122" s="69"/>
      <c r="L122" s="69"/>
      <c r="M122" s="69"/>
      <c r="N122" s="67"/>
      <c r="O122" s="70"/>
      <c r="P122" s="69"/>
      <c r="Q122" s="14"/>
      <c r="R122" s="15"/>
      <c r="S122" s="16"/>
      <c r="T122" s="16"/>
      <c r="U122" s="17"/>
      <c r="V122" s="17"/>
      <c r="W122" s="65"/>
      <c r="X122" s="65"/>
      <c r="Z122" s="69"/>
      <c r="AA122" s="69"/>
      <c r="AB122" s="69"/>
      <c r="AC122" s="69"/>
    </row>
    <row r="123" spans="1:29">
      <c r="B123" s="67"/>
      <c r="C123" s="67"/>
      <c r="D123" s="67"/>
      <c r="E123" s="67"/>
      <c r="F123" s="67"/>
      <c r="G123" s="67"/>
      <c r="H123" s="67"/>
      <c r="I123" s="67"/>
      <c r="J123" s="69"/>
      <c r="K123" s="69"/>
      <c r="L123" s="69"/>
      <c r="M123" s="69"/>
      <c r="N123" s="67"/>
      <c r="O123" s="70"/>
      <c r="P123" s="69"/>
    </row>
    <row r="124" spans="1:29">
      <c r="B124" s="67"/>
      <c r="C124" s="67"/>
      <c r="D124" s="67"/>
      <c r="E124" s="67"/>
      <c r="F124" s="67"/>
      <c r="G124" s="67"/>
      <c r="H124" s="67"/>
      <c r="I124" s="67"/>
      <c r="J124" s="69"/>
      <c r="K124" s="69"/>
      <c r="L124" s="69"/>
      <c r="M124" s="69"/>
      <c r="N124" s="67"/>
      <c r="O124" s="70"/>
      <c r="P124" s="69"/>
    </row>
    <row r="125" spans="1:29">
      <c r="B125" s="67"/>
      <c r="C125" s="67"/>
      <c r="D125" s="67"/>
      <c r="E125" s="67"/>
      <c r="F125" s="67"/>
      <c r="G125" s="67"/>
      <c r="H125" s="67"/>
      <c r="I125" s="67"/>
      <c r="J125" s="69"/>
      <c r="K125" s="69"/>
      <c r="L125" s="69"/>
      <c r="M125" s="69"/>
      <c r="N125" s="67"/>
      <c r="O125" s="70"/>
      <c r="P125" s="69"/>
    </row>
    <row r="126" spans="1:29">
      <c r="B126" s="67"/>
      <c r="C126" s="67"/>
      <c r="D126" s="67"/>
      <c r="E126" s="67"/>
      <c r="F126" s="67"/>
      <c r="G126" s="67"/>
      <c r="H126" s="67"/>
      <c r="I126" s="67"/>
      <c r="J126" s="69"/>
      <c r="K126" s="69"/>
      <c r="L126" s="69"/>
      <c r="M126" s="69"/>
      <c r="N126" s="67"/>
      <c r="O126" s="70"/>
      <c r="P126" s="69"/>
    </row>
    <row r="127" spans="1:29">
      <c r="B127" s="67"/>
      <c r="C127" s="67"/>
      <c r="D127" s="67"/>
      <c r="E127" s="67"/>
      <c r="F127" s="67"/>
      <c r="G127" s="67"/>
      <c r="H127" s="67"/>
      <c r="I127" s="67"/>
      <c r="J127" s="69"/>
      <c r="K127" s="69"/>
      <c r="L127" s="69"/>
      <c r="M127" s="69"/>
      <c r="N127" s="67"/>
      <c r="O127" s="70"/>
      <c r="P127" s="69"/>
    </row>
    <row r="128" spans="1:29">
      <c r="B128" s="67"/>
      <c r="C128" s="67"/>
      <c r="D128" s="67"/>
      <c r="E128" s="67"/>
      <c r="F128" s="67"/>
      <c r="G128" s="67"/>
      <c r="H128" s="67"/>
      <c r="I128" s="67"/>
      <c r="J128" s="69"/>
      <c r="K128" s="69"/>
      <c r="L128" s="69"/>
      <c r="M128" s="69"/>
      <c r="N128" s="67"/>
      <c r="O128" s="70"/>
      <c r="P128" s="69"/>
    </row>
    <row r="129" spans="2:16">
      <c r="B129" s="67"/>
      <c r="C129" s="67"/>
      <c r="D129" s="67"/>
      <c r="E129" s="67"/>
      <c r="F129" s="67"/>
      <c r="G129" s="67"/>
      <c r="H129" s="67"/>
      <c r="I129" s="67"/>
      <c r="J129" s="69"/>
      <c r="K129" s="69"/>
      <c r="L129" s="69"/>
      <c r="M129" s="69"/>
      <c r="N129" s="67"/>
      <c r="O129" s="70"/>
      <c r="P129" s="69"/>
    </row>
    <row r="130" spans="2:16">
      <c r="B130" s="67"/>
      <c r="C130" s="67"/>
      <c r="D130" s="67"/>
      <c r="E130" s="67"/>
      <c r="F130" s="67"/>
      <c r="G130" s="67"/>
      <c r="H130" s="67"/>
      <c r="I130" s="67"/>
      <c r="J130" s="69"/>
      <c r="K130" s="69"/>
      <c r="L130" s="69"/>
      <c r="M130" s="69"/>
      <c r="N130" s="67"/>
      <c r="O130" s="70"/>
      <c r="P130" s="69"/>
    </row>
    <row r="131" spans="2:16">
      <c r="B131" s="67"/>
      <c r="C131" s="67"/>
      <c r="D131" s="67"/>
      <c r="E131" s="67"/>
      <c r="F131" s="67"/>
      <c r="G131" s="67"/>
      <c r="H131" s="67"/>
      <c r="I131" s="67"/>
      <c r="J131" s="69"/>
      <c r="K131" s="69"/>
      <c r="L131" s="69"/>
      <c r="M131" s="69"/>
      <c r="N131" s="67"/>
      <c r="O131" s="70"/>
      <c r="P131" s="69"/>
    </row>
    <row r="132" spans="2:16">
      <c r="B132" s="67"/>
      <c r="C132" s="67"/>
      <c r="D132" s="67"/>
      <c r="E132" s="67"/>
      <c r="F132" s="67"/>
      <c r="G132" s="67"/>
      <c r="H132" s="67"/>
      <c r="I132" s="67"/>
      <c r="J132" s="69"/>
      <c r="K132" s="69"/>
      <c r="L132" s="69"/>
      <c r="M132" s="69"/>
      <c r="N132" s="67"/>
      <c r="O132" s="70"/>
      <c r="P132" s="69"/>
    </row>
    <row r="133" spans="2:16">
      <c r="B133" s="67"/>
      <c r="C133" s="67"/>
      <c r="D133" s="67"/>
      <c r="E133" s="67"/>
      <c r="F133" s="67"/>
      <c r="G133" s="67"/>
      <c r="H133" s="67"/>
      <c r="I133" s="67"/>
      <c r="J133" s="69"/>
      <c r="K133" s="69"/>
      <c r="L133" s="69"/>
      <c r="M133" s="69"/>
      <c r="N133" s="67"/>
      <c r="O133" s="70"/>
      <c r="P133" s="69"/>
    </row>
    <row r="134" spans="2:16">
      <c r="B134" s="67"/>
      <c r="C134" s="67"/>
      <c r="D134" s="67"/>
      <c r="E134" s="67"/>
      <c r="F134" s="67"/>
      <c r="G134" s="67"/>
      <c r="H134" s="67"/>
      <c r="I134" s="67"/>
      <c r="J134" s="69"/>
      <c r="K134" s="69"/>
      <c r="L134" s="69"/>
      <c r="M134" s="69"/>
      <c r="N134" s="67"/>
      <c r="O134" s="70"/>
      <c r="P134" s="69"/>
    </row>
    <row r="135" spans="2:16">
      <c r="B135" s="67"/>
      <c r="C135" s="67"/>
      <c r="D135" s="67"/>
      <c r="E135" s="67"/>
      <c r="F135" s="67"/>
      <c r="G135" s="67"/>
      <c r="H135" s="67"/>
      <c r="I135" s="67"/>
      <c r="J135" s="69"/>
      <c r="K135" s="69"/>
      <c r="L135" s="69"/>
      <c r="M135" s="69"/>
      <c r="N135" s="67"/>
      <c r="O135" s="70"/>
      <c r="P135" s="69"/>
    </row>
    <row r="136" spans="2:16">
      <c r="B136" s="67"/>
      <c r="C136" s="67"/>
      <c r="D136" s="67"/>
      <c r="E136" s="67"/>
      <c r="F136" s="67"/>
      <c r="G136" s="67"/>
      <c r="H136" s="67"/>
      <c r="I136" s="67"/>
      <c r="J136" s="69"/>
      <c r="K136" s="69"/>
      <c r="L136" s="69"/>
      <c r="M136" s="69"/>
      <c r="N136" s="67"/>
      <c r="O136" s="70"/>
      <c r="P136" s="69"/>
    </row>
    <row r="137" spans="2:16">
      <c r="B137" s="67"/>
      <c r="C137" s="67"/>
      <c r="D137" s="67"/>
      <c r="E137" s="67"/>
      <c r="F137" s="67"/>
      <c r="G137" s="67"/>
      <c r="H137" s="67"/>
      <c r="I137" s="67"/>
      <c r="J137" s="69"/>
      <c r="K137" s="69"/>
      <c r="L137" s="69"/>
      <c r="M137" s="69"/>
      <c r="N137" s="67"/>
      <c r="O137" s="70"/>
      <c r="P137" s="69"/>
    </row>
    <row r="138" spans="2:16">
      <c r="B138" s="67"/>
      <c r="C138" s="67"/>
      <c r="D138" s="67"/>
      <c r="E138" s="67"/>
      <c r="F138" s="67"/>
      <c r="G138" s="67"/>
      <c r="H138" s="67"/>
      <c r="I138" s="67"/>
      <c r="J138" s="69"/>
      <c r="K138" s="69"/>
      <c r="L138" s="69"/>
      <c r="M138" s="69"/>
      <c r="N138" s="67"/>
      <c r="O138" s="70"/>
      <c r="P138" s="69"/>
    </row>
    <row r="139" spans="2:16">
      <c r="B139" s="67"/>
      <c r="C139" s="67"/>
      <c r="D139" s="67"/>
      <c r="E139" s="67"/>
      <c r="F139" s="67"/>
      <c r="G139" s="67"/>
      <c r="H139" s="67"/>
      <c r="I139" s="67"/>
      <c r="J139" s="69"/>
      <c r="K139" s="69"/>
      <c r="L139" s="69"/>
      <c r="M139" s="69"/>
      <c r="N139" s="67"/>
      <c r="O139" s="70"/>
      <c r="P139" s="69"/>
    </row>
    <row r="140" spans="2:16">
      <c r="B140" s="67"/>
      <c r="C140" s="67"/>
      <c r="D140" s="67"/>
      <c r="E140" s="67"/>
      <c r="F140" s="67"/>
      <c r="G140" s="67"/>
      <c r="H140" s="67"/>
      <c r="I140" s="67"/>
      <c r="J140" s="69"/>
      <c r="K140" s="69"/>
      <c r="L140" s="69"/>
      <c r="M140" s="69"/>
      <c r="N140" s="67"/>
      <c r="O140" s="70"/>
      <c r="P140" s="69"/>
    </row>
    <row r="141" spans="2:16">
      <c r="B141" s="67"/>
      <c r="C141" s="67"/>
      <c r="D141" s="67"/>
      <c r="E141" s="67"/>
      <c r="F141" s="67"/>
      <c r="G141" s="67"/>
      <c r="H141" s="67"/>
      <c r="I141" s="67"/>
      <c r="J141" s="69"/>
      <c r="K141" s="69"/>
      <c r="L141" s="69"/>
      <c r="M141" s="69"/>
      <c r="N141" s="67"/>
      <c r="O141" s="70"/>
      <c r="P141" s="69"/>
    </row>
    <row r="142" spans="2:16">
      <c r="B142" s="67"/>
      <c r="C142" s="67"/>
      <c r="D142" s="67"/>
      <c r="E142" s="67"/>
      <c r="F142" s="67"/>
      <c r="G142" s="67"/>
      <c r="H142" s="67"/>
      <c r="I142" s="67"/>
      <c r="J142" s="69"/>
      <c r="K142" s="69"/>
      <c r="L142" s="69"/>
      <c r="M142" s="69"/>
      <c r="N142" s="67"/>
      <c r="O142" s="70"/>
      <c r="P142" s="69"/>
    </row>
    <row r="143" spans="2:16">
      <c r="B143" s="67"/>
      <c r="C143" s="67"/>
      <c r="D143" s="67"/>
      <c r="E143" s="67"/>
      <c r="F143" s="67"/>
      <c r="G143" s="67"/>
      <c r="H143" s="67"/>
      <c r="I143" s="67"/>
      <c r="J143" s="69"/>
      <c r="K143" s="69"/>
      <c r="L143" s="69"/>
      <c r="M143" s="69"/>
      <c r="N143" s="67"/>
      <c r="O143" s="70"/>
      <c r="P143" s="69"/>
    </row>
    <row r="144" spans="2:16">
      <c r="B144" s="67"/>
      <c r="C144" s="67"/>
      <c r="D144" s="67"/>
      <c r="E144" s="67"/>
      <c r="F144" s="67"/>
      <c r="G144" s="67"/>
      <c r="H144" s="67"/>
      <c r="I144" s="67"/>
      <c r="J144" s="69"/>
      <c r="K144" s="69"/>
      <c r="L144" s="69"/>
      <c r="M144" s="69"/>
      <c r="N144" s="67"/>
      <c r="O144" s="70"/>
      <c r="P144" s="69"/>
    </row>
    <row r="145" spans="2:16">
      <c r="B145" s="67"/>
      <c r="C145" s="67"/>
      <c r="D145" s="67"/>
      <c r="E145" s="67"/>
      <c r="F145" s="67"/>
      <c r="G145" s="67"/>
      <c r="H145" s="67"/>
      <c r="I145" s="67"/>
      <c r="J145" s="69"/>
      <c r="K145" s="69"/>
      <c r="L145" s="69"/>
      <c r="M145" s="69"/>
      <c r="N145" s="67"/>
      <c r="O145" s="70"/>
      <c r="P145" s="69"/>
    </row>
    <row r="146" spans="2:16">
      <c r="B146" s="67"/>
      <c r="C146" s="67"/>
      <c r="D146" s="67"/>
      <c r="E146" s="67"/>
      <c r="F146" s="67"/>
      <c r="G146" s="67"/>
      <c r="H146" s="67"/>
      <c r="I146" s="67"/>
      <c r="J146" s="69"/>
      <c r="K146" s="69"/>
      <c r="L146" s="69"/>
      <c r="M146" s="69"/>
      <c r="N146" s="67"/>
      <c r="O146" s="70"/>
      <c r="P146" s="69"/>
    </row>
    <row r="147" spans="2:16">
      <c r="B147" s="67"/>
      <c r="C147" s="67"/>
      <c r="D147" s="67"/>
      <c r="E147" s="67"/>
      <c r="F147" s="67"/>
      <c r="G147" s="67"/>
      <c r="H147" s="67"/>
      <c r="I147" s="67"/>
      <c r="J147" s="69"/>
      <c r="K147" s="69"/>
      <c r="L147" s="69"/>
      <c r="M147" s="69"/>
      <c r="N147" s="67"/>
      <c r="O147" s="70"/>
      <c r="P147" s="69"/>
    </row>
    <row r="148" spans="2:16">
      <c r="B148" s="67"/>
      <c r="C148" s="67"/>
      <c r="D148" s="67"/>
      <c r="E148" s="67"/>
      <c r="F148" s="67"/>
      <c r="G148" s="67"/>
      <c r="H148" s="67"/>
      <c r="I148" s="67"/>
      <c r="J148" s="69"/>
      <c r="K148" s="69"/>
      <c r="L148" s="69"/>
      <c r="M148" s="69"/>
      <c r="N148" s="67"/>
      <c r="O148" s="70"/>
      <c r="P148" s="69"/>
    </row>
    <row r="149" spans="2:16">
      <c r="B149" s="67"/>
      <c r="C149" s="67"/>
      <c r="D149" s="67"/>
      <c r="E149" s="67"/>
      <c r="F149" s="67"/>
      <c r="G149" s="67"/>
      <c r="H149" s="67"/>
      <c r="I149" s="67"/>
      <c r="J149" s="69"/>
      <c r="K149" s="69"/>
      <c r="L149" s="69"/>
      <c r="M149" s="69"/>
      <c r="N149" s="67"/>
      <c r="O149" s="70"/>
      <c r="P149" s="69"/>
    </row>
    <row r="150" spans="2:16">
      <c r="B150" s="67"/>
      <c r="C150" s="67"/>
      <c r="D150" s="67"/>
      <c r="E150" s="67"/>
      <c r="F150" s="67"/>
      <c r="G150" s="67"/>
      <c r="H150" s="67"/>
      <c r="I150" s="67"/>
      <c r="J150" s="69"/>
      <c r="K150" s="69"/>
      <c r="L150" s="69"/>
      <c r="M150" s="69"/>
      <c r="N150" s="67"/>
      <c r="O150" s="70"/>
      <c r="P150" s="69"/>
    </row>
    <row r="151" spans="2:16">
      <c r="B151" s="67"/>
      <c r="C151" s="67"/>
      <c r="D151" s="67"/>
      <c r="E151" s="67"/>
      <c r="F151" s="67"/>
      <c r="G151" s="67"/>
      <c r="H151" s="67"/>
      <c r="I151" s="67"/>
      <c r="J151" s="69"/>
      <c r="K151" s="69"/>
      <c r="L151" s="69"/>
      <c r="M151" s="69"/>
      <c r="N151" s="67"/>
      <c r="O151" s="70"/>
      <c r="P151" s="69"/>
    </row>
    <row r="152" spans="2:16">
      <c r="B152" s="67"/>
      <c r="C152" s="67"/>
      <c r="D152" s="67"/>
      <c r="E152" s="67"/>
      <c r="F152" s="67"/>
      <c r="G152" s="67"/>
      <c r="H152" s="67"/>
      <c r="I152" s="67"/>
      <c r="J152" s="69"/>
      <c r="K152" s="69"/>
      <c r="L152" s="69"/>
      <c r="M152" s="69"/>
      <c r="N152" s="67"/>
      <c r="O152" s="70"/>
      <c r="P152" s="69"/>
    </row>
    <row r="153" spans="2:16">
      <c r="B153" s="67"/>
      <c r="C153" s="67"/>
      <c r="D153" s="67"/>
      <c r="E153" s="67"/>
      <c r="F153" s="67"/>
      <c r="G153" s="67"/>
      <c r="H153" s="67"/>
      <c r="I153" s="67"/>
      <c r="J153" s="69"/>
      <c r="K153" s="69"/>
      <c r="L153" s="69"/>
      <c r="M153" s="69"/>
      <c r="N153" s="67"/>
      <c r="O153" s="70"/>
      <c r="P153" s="69"/>
    </row>
    <row r="154" spans="2:16">
      <c r="B154" s="67"/>
      <c r="C154" s="67"/>
      <c r="D154" s="67"/>
      <c r="E154" s="67"/>
      <c r="F154" s="67"/>
      <c r="G154" s="67"/>
      <c r="H154" s="67"/>
      <c r="I154" s="67"/>
      <c r="J154" s="69"/>
      <c r="K154" s="69"/>
      <c r="L154" s="69"/>
      <c r="M154" s="69"/>
      <c r="N154" s="67"/>
      <c r="O154" s="70"/>
      <c r="P154" s="69"/>
    </row>
    <row r="155" spans="2:16">
      <c r="B155" s="67"/>
      <c r="C155" s="67"/>
      <c r="D155" s="67"/>
      <c r="E155" s="67"/>
      <c r="F155" s="67"/>
      <c r="G155" s="67"/>
      <c r="H155" s="67"/>
      <c r="I155" s="67"/>
      <c r="J155" s="69"/>
      <c r="K155" s="69"/>
      <c r="L155" s="69"/>
      <c r="M155" s="69"/>
      <c r="N155" s="67"/>
      <c r="O155" s="70"/>
      <c r="P155" s="69"/>
    </row>
    <row r="156" spans="2:16">
      <c r="B156" s="67"/>
      <c r="C156" s="67"/>
      <c r="D156" s="67"/>
      <c r="E156" s="67"/>
      <c r="F156" s="67"/>
      <c r="G156" s="67"/>
      <c r="H156" s="67"/>
      <c r="I156" s="67"/>
      <c r="J156" s="69"/>
      <c r="K156" s="69"/>
      <c r="L156" s="69"/>
      <c r="M156" s="69"/>
      <c r="N156" s="67"/>
      <c r="O156" s="70"/>
      <c r="P156" s="69"/>
    </row>
    <row r="157" spans="2:16">
      <c r="B157" s="67"/>
      <c r="C157" s="67"/>
      <c r="D157" s="67"/>
      <c r="E157" s="67"/>
      <c r="F157" s="67"/>
      <c r="G157" s="67"/>
      <c r="H157" s="67"/>
      <c r="I157" s="67"/>
      <c r="J157" s="69"/>
      <c r="K157" s="69"/>
      <c r="L157" s="69"/>
      <c r="M157" s="69"/>
      <c r="N157" s="67"/>
      <c r="O157" s="70"/>
      <c r="P157" s="69"/>
    </row>
    <row r="158" spans="2:16">
      <c r="B158" s="67"/>
      <c r="C158" s="67"/>
      <c r="D158" s="67"/>
      <c r="E158" s="67"/>
      <c r="F158" s="67"/>
      <c r="G158" s="67"/>
      <c r="H158" s="67"/>
      <c r="I158" s="67"/>
      <c r="J158" s="69"/>
      <c r="K158" s="69"/>
      <c r="L158" s="69"/>
      <c r="M158" s="69"/>
      <c r="N158" s="67"/>
      <c r="O158" s="70"/>
      <c r="P158" s="69"/>
    </row>
    <row r="159" spans="2:16">
      <c r="B159" s="67"/>
      <c r="C159" s="67"/>
      <c r="D159" s="67"/>
      <c r="E159" s="67"/>
      <c r="F159" s="67"/>
      <c r="G159" s="67"/>
      <c r="H159" s="67"/>
      <c r="I159" s="67"/>
      <c r="J159" s="69"/>
      <c r="K159" s="69"/>
      <c r="L159" s="69"/>
      <c r="M159" s="69"/>
      <c r="N159" s="67"/>
      <c r="O159" s="70"/>
      <c r="P159" s="69"/>
    </row>
    <row r="160" spans="2:16">
      <c r="B160" s="67"/>
      <c r="C160" s="67"/>
      <c r="D160" s="67"/>
      <c r="E160" s="67"/>
      <c r="F160" s="67"/>
      <c r="G160" s="67"/>
      <c r="H160" s="67"/>
      <c r="I160" s="67"/>
      <c r="J160" s="69"/>
      <c r="K160" s="69"/>
      <c r="L160" s="69"/>
      <c r="M160" s="69"/>
      <c r="N160" s="67"/>
      <c r="O160" s="70"/>
      <c r="P160" s="69"/>
    </row>
    <row r="161" spans="2:16">
      <c r="B161" s="67"/>
      <c r="C161" s="67"/>
      <c r="D161" s="67"/>
      <c r="E161" s="67"/>
      <c r="F161" s="67"/>
      <c r="G161" s="67"/>
      <c r="H161" s="67"/>
      <c r="I161" s="67"/>
      <c r="J161" s="69"/>
      <c r="K161" s="69"/>
      <c r="L161" s="69"/>
      <c r="M161" s="69"/>
      <c r="N161" s="67"/>
      <c r="O161" s="70"/>
      <c r="P161" s="69"/>
    </row>
    <row r="162" spans="2:16">
      <c r="B162" s="67"/>
      <c r="C162" s="67"/>
      <c r="D162" s="67"/>
      <c r="E162" s="67"/>
      <c r="F162" s="67"/>
      <c r="G162" s="67"/>
      <c r="H162" s="67"/>
      <c r="I162" s="67"/>
      <c r="J162" s="69"/>
      <c r="K162" s="69"/>
      <c r="L162" s="69"/>
      <c r="M162" s="69"/>
      <c r="N162" s="67"/>
      <c r="O162" s="70"/>
      <c r="P162" s="69"/>
    </row>
    <row r="163" spans="2:16">
      <c r="B163" s="67"/>
      <c r="C163" s="67"/>
      <c r="D163" s="67"/>
      <c r="E163" s="67"/>
      <c r="F163" s="67"/>
      <c r="G163" s="67"/>
      <c r="H163" s="67"/>
      <c r="I163" s="67"/>
      <c r="J163" s="69"/>
      <c r="K163" s="69"/>
      <c r="L163" s="69"/>
      <c r="M163" s="69"/>
      <c r="N163" s="67"/>
      <c r="O163" s="70"/>
      <c r="P163" s="69"/>
    </row>
    <row r="164" spans="2:16">
      <c r="B164" s="67"/>
      <c r="C164" s="67"/>
      <c r="D164" s="67"/>
      <c r="E164" s="67"/>
      <c r="F164" s="67"/>
      <c r="G164" s="67"/>
      <c r="H164" s="67"/>
      <c r="I164" s="67"/>
      <c r="J164" s="69"/>
      <c r="K164" s="69"/>
      <c r="L164" s="69"/>
      <c r="M164" s="69"/>
      <c r="N164" s="67"/>
      <c r="O164" s="70"/>
      <c r="P164" s="69"/>
    </row>
    <row r="165" spans="2:16">
      <c r="B165" s="67"/>
      <c r="C165" s="67"/>
      <c r="D165" s="67"/>
      <c r="E165" s="67"/>
      <c r="F165" s="67"/>
      <c r="G165" s="67"/>
      <c r="H165" s="67"/>
      <c r="I165" s="67"/>
      <c r="J165" s="69"/>
      <c r="K165" s="69"/>
      <c r="L165" s="69"/>
      <c r="M165" s="69"/>
      <c r="N165" s="67"/>
      <c r="O165" s="70"/>
      <c r="P165" s="69"/>
    </row>
    <row r="166" spans="2:16">
      <c r="B166" s="67"/>
      <c r="C166" s="67"/>
      <c r="D166" s="67"/>
      <c r="E166" s="67"/>
      <c r="F166" s="67"/>
      <c r="G166" s="67"/>
      <c r="H166" s="67"/>
      <c r="I166" s="67"/>
      <c r="J166" s="69"/>
      <c r="K166" s="69"/>
      <c r="L166" s="69"/>
      <c r="M166" s="69"/>
      <c r="N166" s="67"/>
      <c r="O166" s="70"/>
      <c r="P166" s="69"/>
    </row>
    <row r="167" spans="2:16">
      <c r="B167" s="67"/>
      <c r="C167" s="67"/>
      <c r="D167" s="67"/>
      <c r="E167" s="67"/>
      <c r="F167" s="67"/>
      <c r="G167" s="67"/>
      <c r="H167" s="67"/>
      <c r="I167" s="67"/>
      <c r="J167" s="69"/>
      <c r="K167" s="69"/>
      <c r="L167" s="69"/>
      <c r="M167" s="69"/>
      <c r="N167" s="67"/>
      <c r="O167" s="70"/>
      <c r="P167" s="69"/>
    </row>
    <row r="168" spans="2:16">
      <c r="B168" s="67"/>
      <c r="C168" s="67"/>
      <c r="D168" s="67"/>
      <c r="E168" s="67"/>
      <c r="F168" s="67"/>
      <c r="G168" s="67"/>
      <c r="H168" s="67"/>
      <c r="I168" s="67"/>
      <c r="J168" s="69"/>
      <c r="K168" s="69"/>
      <c r="L168" s="69"/>
      <c r="M168" s="69"/>
      <c r="N168" s="67"/>
      <c r="O168" s="70"/>
      <c r="P168" s="69"/>
    </row>
    <row r="169" spans="2:16">
      <c r="B169" s="67"/>
      <c r="C169" s="67"/>
      <c r="D169" s="67"/>
      <c r="E169" s="67"/>
      <c r="F169" s="67"/>
      <c r="G169" s="67"/>
      <c r="H169" s="67"/>
      <c r="I169" s="67"/>
      <c r="J169" s="69"/>
      <c r="K169" s="69"/>
      <c r="L169" s="69"/>
      <c r="M169" s="69"/>
      <c r="N169" s="67"/>
      <c r="O169" s="70"/>
      <c r="P169" s="69"/>
    </row>
    <row r="170" spans="2:16">
      <c r="B170" s="67"/>
      <c r="C170" s="67"/>
      <c r="D170" s="67"/>
      <c r="E170" s="67"/>
      <c r="F170" s="67"/>
      <c r="G170" s="67"/>
      <c r="H170" s="67"/>
      <c r="I170" s="67"/>
      <c r="J170" s="69"/>
      <c r="K170" s="69"/>
      <c r="L170" s="69"/>
      <c r="M170" s="69"/>
      <c r="N170" s="67"/>
      <c r="O170" s="70"/>
      <c r="P170" s="69"/>
    </row>
    <row r="171" spans="2:16">
      <c r="B171" s="67"/>
      <c r="C171" s="67"/>
      <c r="D171" s="67"/>
      <c r="E171" s="67"/>
      <c r="F171" s="67"/>
      <c r="G171" s="67"/>
      <c r="H171" s="67"/>
      <c r="I171" s="67"/>
      <c r="J171" s="69"/>
      <c r="K171" s="69"/>
      <c r="L171" s="69"/>
      <c r="M171" s="69"/>
      <c r="N171" s="67"/>
      <c r="O171" s="70"/>
      <c r="P171" s="69"/>
    </row>
    <row r="172" spans="2:16">
      <c r="B172" s="67"/>
      <c r="C172" s="67"/>
      <c r="D172" s="67"/>
      <c r="E172" s="67"/>
      <c r="F172" s="67"/>
      <c r="G172" s="67"/>
      <c r="H172" s="67"/>
      <c r="I172" s="67"/>
      <c r="J172" s="69"/>
      <c r="K172" s="69"/>
      <c r="L172" s="69"/>
      <c r="M172" s="69"/>
      <c r="N172" s="67"/>
      <c r="O172" s="70"/>
      <c r="P172" s="69"/>
    </row>
    <row r="173" spans="2:16">
      <c r="B173" s="67"/>
      <c r="C173" s="67"/>
      <c r="D173" s="67"/>
      <c r="E173" s="67"/>
      <c r="F173" s="67"/>
      <c r="G173" s="67"/>
      <c r="H173" s="67"/>
      <c r="I173" s="67"/>
      <c r="J173" s="69"/>
      <c r="K173" s="69"/>
      <c r="L173" s="69"/>
      <c r="M173" s="69"/>
      <c r="N173" s="67"/>
      <c r="O173" s="70"/>
      <c r="P173" s="69"/>
    </row>
    <row r="174" spans="2:16">
      <c r="B174" s="67"/>
      <c r="C174" s="67"/>
      <c r="D174" s="67"/>
      <c r="E174" s="67"/>
      <c r="F174" s="67"/>
      <c r="G174" s="67"/>
      <c r="H174" s="67"/>
      <c r="I174" s="67"/>
      <c r="J174" s="69"/>
      <c r="K174" s="69"/>
      <c r="L174" s="69"/>
      <c r="M174" s="69"/>
      <c r="N174" s="67"/>
      <c r="O174" s="70"/>
      <c r="P174" s="69"/>
    </row>
    <row r="175" spans="2:16">
      <c r="B175" s="67"/>
      <c r="C175" s="67"/>
      <c r="D175" s="67"/>
      <c r="E175" s="67"/>
      <c r="F175" s="67"/>
      <c r="G175" s="67"/>
      <c r="H175" s="67"/>
      <c r="I175" s="67"/>
      <c r="J175" s="69"/>
      <c r="K175" s="69"/>
      <c r="L175" s="69"/>
      <c r="M175" s="69"/>
      <c r="N175" s="67"/>
      <c r="O175" s="70"/>
      <c r="P175" s="69"/>
    </row>
    <row r="176" spans="2:16">
      <c r="B176" s="67"/>
      <c r="C176" s="67"/>
      <c r="D176" s="67"/>
      <c r="E176" s="67"/>
      <c r="F176" s="67"/>
      <c r="G176" s="67"/>
      <c r="H176" s="67"/>
      <c r="I176" s="67"/>
      <c r="J176" s="69"/>
      <c r="K176" s="69"/>
      <c r="L176" s="69"/>
      <c r="M176" s="69"/>
      <c r="N176" s="67"/>
      <c r="O176" s="70"/>
      <c r="P176" s="69"/>
    </row>
    <row r="177" spans="2:16">
      <c r="B177" s="67"/>
      <c r="C177" s="67"/>
      <c r="D177" s="67"/>
      <c r="E177" s="67"/>
      <c r="F177" s="67"/>
      <c r="G177" s="67"/>
      <c r="H177" s="67"/>
      <c r="I177" s="67"/>
      <c r="J177" s="69"/>
      <c r="K177" s="69"/>
      <c r="L177" s="69"/>
      <c r="M177" s="69"/>
      <c r="N177" s="67"/>
      <c r="O177" s="70"/>
      <c r="P177" s="69"/>
    </row>
    <row r="178" spans="2:16">
      <c r="B178" s="67"/>
      <c r="C178" s="67"/>
      <c r="D178" s="67"/>
      <c r="E178" s="67"/>
      <c r="F178" s="67"/>
      <c r="G178" s="67"/>
      <c r="H178" s="67"/>
      <c r="I178" s="67"/>
      <c r="J178" s="69"/>
      <c r="K178" s="69"/>
      <c r="L178" s="69"/>
      <c r="M178" s="69"/>
      <c r="N178" s="67"/>
      <c r="O178" s="70"/>
      <c r="P178" s="69"/>
    </row>
    <row r="179" spans="2:16">
      <c r="B179" s="67"/>
      <c r="C179" s="67"/>
      <c r="D179" s="67"/>
      <c r="E179" s="67"/>
      <c r="F179" s="67"/>
      <c r="G179" s="67"/>
      <c r="H179" s="67"/>
      <c r="I179" s="67"/>
      <c r="J179" s="69"/>
      <c r="K179" s="69"/>
      <c r="L179" s="69"/>
      <c r="M179" s="69"/>
      <c r="N179" s="67"/>
      <c r="O179" s="70"/>
      <c r="P179" s="69"/>
    </row>
    <row r="180" spans="2:16">
      <c r="B180" s="67"/>
      <c r="C180" s="67"/>
      <c r="D180" s="67"/>
      <c r="E180" s="67"/>
      <c r="F180" s="67"/>
      <c r="G180" s="67"/>
      <c r="H180" s="67"/>
      <c r="I180" s="67"/>
      <c r="J180" s="69"/>
      <c r="K180" s="69"/>
      <c r="L180" s="69"/>
      <c r="M180" s="69"/>
      <c r="N180" s="67"/>
      <c r="O180" s="70"/>
      <c r="P180" s="69"/>
    </row>
    <row r="181" spans="2:16">
      <c r="B181" s="67"/>
      <c r="C181" s="67"/>
      <c r="D181" s="67"/>
      <c r="E181" s="67"/>
      <c r="F181" s="67"/>
      <c r="G181" s="67"/>
      <c r="H181" s="67"/>
      <c r="I181" s="67"/>
      <c r="J181" s="69"/>
      <c r="K181" s="69"/>
      <c r="L181" s="69"/>
      <c r="M181" s="69"/>
      <c r="N181" s="67"/>
      <c r="O181" s="70"/>
      <c r="P181" s="69"/>
    </row>
    <row r="182" spans="2:16">
      <c r="B182" s="67"/>
      <c r="C182" s="67"/>
      <c r="D182" s="67"/>
      <c r="E182" s="67"/>
      <c r="F182" s="67"/>
      <c r="G182" s="67"/>
      <c r="H182" s="67"/>
      <c r="I182" s="67"/>
      <c r="J182" s="69"/>
      <c r="K182" s="69"/>
      <c r="L182" s="69"/>
      <c r="M182" s="69"/>
      <c r="N182" s="67"/>
      <c r="O182" s="70"/>
      <c r="P182" s="69"/>
    </row>
    <row r="183" spans="2:16">
      <c r="B183" s="67"/>
      <c r="C183" s="67"/>
      <c r="D183" s="67"/>
      <c r="E183" s="67"/>
      <c r="F183" s="67"/>
      <c r="G183" s="67"/>
      <c r="H183" s="67"/>
      <c r="I183" s="67"/>
      <c r="J183" s="69"/>
      <c r="K183" s="69"/>
      <c r="L183" s="69"/>
      <c r="M183" s="69"/>
      <c r="N183" s="67"/>
      <c r="O183" s="70"/>
      <c r="P183" s="69"/>
    </row>
    <row r="184" spans="2:16">
      <c r="B184" s="67"/>
      <c r="C184" s="67"/>
      <c r="D184" s="67"/>
      <c r="E184" s="67"/>
      <c r="F184" s="67"/>
      <c r="G184" s="67"/>
      <c r="H184" s="67"/>
      <c r="I184" s="67"/>
      <c r="J184" s="69"/>
      <c r="K184" s="69"/>
      <c r="L184" s="69"/>
      <c r="M184" s="69"/>
      <c r="N184" s="67"/>
      <c r="O184" s="70"/>
      <c r="P184" s="69"/>
    </row>
    <row r="185" spans="2:16">
      <c r="B185" s="67"/>
      <c r="C185" s="67"/>
      <c r="D185" s="67"/>
      <c r="E185" s="67"/>
      <c r="F185" s="67"/>
      <c r="G185" s="67"/>
      <c r="H185" s="67"/>
      <c r="I185" s="67"/>
      <c r="J185" s="69"/>
      <c r="K185" s="69"/>
      <c r="L185" s="69"/>
      <c r="M185" s="69"/>
      <c r="N185" s="67"/>
      <c r="O185" s="70"/>
      <c r="P185" s="69"/>
    </row>
    <row r="186" spans="2:16">
      <c r="I186" s="67"/>
      <c r="J186" s="69"/>
      <c r="K186" s="69"/>
      <c r="L186" s="69"/>
      <c r="M186" s="69"/>
      <c r="N186" s="67"/>
      <c r="O186" s="70"/>
      <c r="P186" s="69"/>
    </row>
    <row r="187" spans="2:16">
      <c r="I187" s="67"/>
      <c r="J187" s="69"/>
      <c r="K187" s="69"/>
      <c r="L187" s="69"/>
      <c r="M187" s="69"/>
      <c r="N187" s="67"/>
      <c r="O187" s="70"/>
      <c r="P187" s="69"/>
    </row>
    <row r="188" spans="2:16">
      <c r="I188" s="67"/>
      <c r="J188" s="69"/>
      <c r="K188" s="69"/>
      <c r="L188" s="69"/>
      <c r="M188" s="69"/>
      <c r="N188" s="67"/>
      <c r="O188" s="70"/>
      <c r="P188" s="69"/>
    </row>
    <row r="189" spans="2:16">
      <c r="I189" s="67"/>
      <c r="J189" s="69"/>
      <c r="K189" s="69"/>
      <c r="L189" s="69"/>
      <c r="M189" s="69"/>
      <c r="N189" s="67"/>
      <c r="O189" s="70"/>
      <c r="P189" s="69"/>
    </row>
    <row r="190" spans="2:16">
      <c r="I190" s="67"/>
      <c r="J190" s="69"/>
      <c r="K190" s="69"/>
      <c r="L190" s="69"/>
      <c r="M190" s="69"/>
      <c r="N190" s="67"/>
      <c r="O190" s="70"/>
      <c r="P190" s="69"/>
    </row>
    <row r="191" spans="2:16">
      <c r="I191" s="67"/>
      <c r="J191" s="69"/>
      <c r="K191" s="69"/>
      <c r="L191" s="69"/>
      <c r="M191" s="69"/>
      <c r="N191" s="67"/>
      <c r="O191" s="70"/>
      <c r="P191" s="69"/>
    </row>
    <row r="192" spans="2:16">
      <c r="I192" s="67"/>
      <c r="J192" s="69"/>
      <c r="K192" s="69"/>
      <c r="L192" s="69"/>
      <c r="M192" s="69"/>
      <c r="N192" s="67"/>
      <c r="O192" s="70"/>
      <c r="P192" s="69"/>
    </row>
    <row r="193" spans="9:16">
      <c r="I193" s="67"/>
      <c r="J193" s="69"/>
      <c r="K193" s="69"/>
      <c r="L193" s="69"/>
      <c r="M193" s="69"/>
      <c r="N193" s="67"/>
      <c r="O193" s="70"/>
      <c r="P193" s="69"/>
    </row>
    <row r="194" spans="9:16">
      <c r="I194" s="67"/>
      <c r="J194" s="69"/>
      <c r="K194" s="69"/>
      <c r="L194" s="69"/>
      <c r="M194" s="69"/>
      <c r="N194" s="67"/>
      <c r="O194" s="70"/>
      <c r="P194" s="69"/>
    </row>
    <row r="195" spans="9:16">
      <c r="I195" s="67"/>
      <c r="J195" s="69"/>
      <c r="K195" s="69"/>
      <c r="L195" s="69"/>
      <c r="M195" s="69"/>
      <c r="N195" s="67"/>
      <c r="O195" s="70"/>
      <c r="P195" s="69"/>
    </row>
    <row r="196" spans="9:16">
      <c r="I196" s="67"/>
      <c r="J196" s="69"/>
      <c r="K196" s="69"/>
      <c r="L196" s="69"/>
      <c r="M196" s="69"/>
      <c r="N196" s="67"/>
      <c r="O196" s="70"/>
      <c r="P196" s="69"/>
    </row>
    <row r="197" spans="9:16">
      <c r="I197" s="67"/>
      <c r="J197" s="69"/>
      <c r="K197" s="69"/>
      <c r="L197" s="69"/>
      <c r="M197" s="69"/>
      <c r="N197" s="67"/>
      <c r="O197" s="70"/>
      <c r="P197" s="69"/>
    </row>
    <row r="198" spans="9:16">
      <c r="I198" s="67"/>
      <c r="J198" s="69"/>
      <c r="K198" s="69"/>
      <c r="L198" s="69"/>
      <c r="M198" s="69"/>
      <c r="N198" s="67"/>
      <c r="O198" s="70"/>
      <c r="P198" s="69"/>
    </row>
    <row r="199" spans="9:16">
      <c r="I199" s="67"/>
      <c r="J199" s="69"/>
      <c r="K199" s="69"/>
      <c r="L199" s="69"/>
      <c r="M199" s="69"/>
      <c r="N199" s="67"/>
      <c r="O199" s="70"/>
      <c r="P199" s="69"/>
    </row>
    <row r="200" spans="9:16">
      <c r="I200" s="67"/>
      <c r="J200" s="69"/>
      <c r="K200" s="69"/>
      <c r="L200" s="69"/>
      <c r="M200" s="69"/>
      <c r="N200" s="67"/>
      <c r="O200" s="70"/>
      <c r="P200" s="69"/>
    </row>
    <row r="201" spans="9:16">
      <c r="I201" s="67"/>
      <c r="J201" s="69"/>
      <c r="K201" s="69"/>
      <c r="L201" s="69"/>
      <c r="M201" s="69"/>
      <c r="N201" s="67"/>
      <c r="O201" s="70"/>
      <c r="P201" s="69"/>
    </row>
    <row r="202" spans="9:16">
      <c r="I202" s="67"/>
      <c r="J202" s="69"/>
      <c r="K202" s="69"/>
      <c r="L202" s="69"/>
      <c r="M202" s="69"/>
      <c r="N202" s="67"/>
      <c r="O202" s="70"/>
      <c r="P202" s="69"/>
    </row>
    <row r="203" spans="9:16">
      <c r="I203" s="67"/>
      <c r="J203" s="69"/>
      <c r="K203" s="69"/>
      <c r="L203" s="69"/>
      <c r="M203" s="69"/>
      <c r="N203" s="67"/>
      <c r="O203" s="70"/>
      <c r="P203" s="69"/>
    </row>
    <row r="204" spans="9:16">
      <c r="I204" s="67"/>
      <c r="J204" s="69"/>
      <c r="K204" s="69"/>
      <c r="L204" s="69"/>
      <c r="M204" s="69"/>
      <c r="N204" s="67"/>
      <c r="O204" s="70"/>
      <c r="P204" s="69"/>
    </row>
    <row r="205" spans="9:16">
      <c r="I205" s="67"/>
      <c r="J205" s="69"/>
      <c r="K205" s="69"/>
      <c r="L205" s="69"/>
      <c r="M205" s="69"/>
      <c r="N205" s="67"/>
      <c r="O205" s="70"/>
      <c r="P205" s="69"/>
    </row>
    <row r="206" spans="9:16">
      <c r="I206" s="67"/>
      <c r="J206" s="69"/>
      <c r="K206" s="69"/>
      <c r="L206" s="69"/>
      <c r="M206" s="69"/>
      <c r="N206" s="67"/>
      <c r="O206" s="70"/>
      <c r="P206" s="69"/>
    </row>
    <row r="207" spans="9:16">
      <c r="I207" s="67"/>
      <c r="J207" s="69"/>
      <c r="K207" s="69"/>
      <c r="L207" s="69"/>
      <c r="M207" s="69"/>
      <c r="N207" s="67"/>
      <c r="O207" s="70"/>
      <c r="P207" s="69"/>
    </row>
    <row r="208" spans="9:16">
      <c r="I208" s="67"/>
      <c r="J208" s="69"/>
      <c r="K208" s="69"/>
      <c r="L208" s="69"/>
      <c r="M208" s="69"/>
      <c r="N208" s="67"/>
      <c r="O208" s="70"/>
      <c r="P208" s="69"/>
    </row>
    <row r="209" spans="9:16">
      <c r="I209" s="67"/>
      <c r="J209" s="69"/>
      <c r="K209" s="69"/>
      <c r="L209" s="69"/>
      <c r="M209" s="69"/>
      <c r="N209" s="67"/>
      <c r="O209" s="70"/>
      <c r="P209" s="69"/>
    </row>
    <row r="210" spans="9:16">
      <c r="I210" s="67"/>
      <c r="J210" s="69"/>
      <c r="K210" s="69"/>
      <c r="L210" s="69"/>
      <c r="M210" s="69"/>
      <c r="N210" s="67"/>
      <c r="O210" s="70"/>
      <c r="P210" s="69"/>
    </row>
    <row r="211" spans="9:16">
      <c r="I211" s="67"/>
      <c r="J211" s="69"/>
      <c r="K211" s="69"/>
      <c r="L211" s="69"/>
      <c r="M211" s="69"/>
      <c r="N211" s="67"/>
      <c r="O211" s="70"/>
      <c r="P211" s="69"/>
    </row>
    <row r="212" spans="9:16">
      <c r="I212" s="67"/>
      <c r="J212" s="69"/>
      <c r="K212" s="69"/>
      <c r="L212" s="69"/>
      <c r="M212" s="69"/>
      <c r="N212" s="67"/>
      <c r="O212" s="70"/>
      <c r="P212" s="69"/>
    </row>
    <row r="213" spans="9:16">
      <c r="I213" s="67"/>
      <c r="J213" s="69"/>
      <c r="K213" s="69"/>
      <c r="L213" s="69"/>
      <c r="M213" s="69"/>
      <c r="N213" s="67"/>
      <c r="O213" s="70"/>
      <c r="P213" s="69"/>
    </row>
    <row r="214" spans="9:16">
      <c r="I214" s="67"/>
      <c r="J214" s="69"/>
      <c r="K214" s="69"/>
      <c r="L214" s="69"/>
      <c r="M214" s="69"/>
      <c r="N214" s="67"/>
      <c r="O214" s="70"/>
      <c r="P214" s="69"/>
    </row>
    <row r="215" spans="9:16">
      <c r="I215" s="67"/>
      <c r="J215" s="69"/>
      <c r="K215" s="69"/>
      <c r="L215" s="69"/>
      <c r="M215" s="69"/>
      <c r="N215" s="67"/>
      <c r="O215" s="70"/>
      <c r="P215" s="69"/>
    </row>
    <row r="216" spans="9:16">
      <c r="I216" s="67"/>
      <c r="J216" s="69"/>
      <c r="K216" s="69"/>
      <c r="L216" s="69"/>
      <c r="M216" s="69"/>
      <c r="N216" s="67"/>
      <c r="O216" s="70"/>
      <c r="P216" s="69"/>
    </row>
    <row r="217" spans="9:16">
      <c r="I217" s="67"/>
      <c r="J217" s="69"/>
      <c r="K217" s="69"/>
      <c r="L217" s="69"/>
      <c r="M217" s="69"/>
      <c r="N217" s="67"/>
      <c r="O217" s="70"/>
      <c r="P217" s="69"/>
    </row>
    <row r="218" spans="9:16">
      <c r="I218" s="67"/>
      <c r="J218" s="69"/>
      <c r="K218" s="69"/>
      <c r="L218" s="69"/>
      <c r="M218" s="69"/>
      <c r="N218" s="67"/>
      <c r="O218" s="70"/>
      <c r="P218" s="69"/>
    </row>
    <row r="219" spans="9:16">
      <c r="I219" s="67"/>
      <c r="J219" s="69"/>
      <c r="K219" s="69"/>
      <c r="L219" s="69"/>
      <c r="M219" s="69"/>
      <c r="N219" s="67"/>
      <c r="O219" s="70"/>
      <c r="P219" s="69"/>
    </row>
    <row r="220" spans="9:16">
      <c r="I220" s="67"/>
      <c r="J220" s="69"/>
      <c r="K220" s="69"/>
      <c r="L220" s="69"/>
      <c r="M220" s="69"/>
      <c r="N220" s="67"/>
      <c r="O220" s="70"/>
      <c r="P220" s="69"/>
    </row>
    <row r="221" spans="9:16">
      <c r="I221" s="67"/>
      <c r="J221" s="69"/>
      <c r="K221" s="69"/>
      <c r="L221" s="69"/>
      <c r="M221" s="69"/>
      <c r="N221" s="67"/>
      <c r="O221" s="70"/>
      <c r="P221" s="69"/>
    </row>
    <row r="222" spans="9:16">
      <c r="I222" s="67"/>
      <c r="J222" s="69"/>
      <c r="K222" s="69"/>
      <c r="L222" s="69"/>
      <c r="M222" s="69"/>
      <c r="N222" s="67"/>
      <c r="O222" s="70"/>
      <c r="P222" s="69"/>
    </row>
    <row r="223" spans="9:16">
      <c r="I223" s="67"/>
      <c r="J223" s="69"/>
      <c r="K223" s="69"/>
      <c r="L223" s="69"/>
      <c r="M223" s="69"/>
      <c r="N223" s="67"/>
      <c r="O223" s="70"/>
      <c r="P223" s="69"/>
    </row>
    <row r="224" spans="9:16">
      <c r="I224" s="67"/>
      <c r="J224" s="69"/>
      <c r="K224" s="69"/>
      <c r="L224" s="69"/>
      <c r="M224" s="69"/>
      <c r="N224" s="67"/>
      <c r="O224" s="70"/>
      <c r="P224" s="69"/>
    </row>
    <row r="225" spans="9:16">
      <c r="I225" s="67"/>
      <c r="J225" s="69"/>
      <c r="K225" s="69"/>
      <c r="L225" s="69"/>
      <c r="M225" s="69"/>
      <c r="N225" s="67"/>
      <c r="O225" s="70"/>
      <c r="P225" s="69"/>
    </row>
    <row r="226" spans="9:16">
      <c r="I226" s="67"/>
      <c r="J226" s="69"/>
      <c r="K226" s="69"/>
      <c r="L226" s="69"/>
      <c r="M226" s="69"/>
      <c r="N226" s="67"/>
      <c r="O226" s="70"/>
      <c r="P226" s="69"/>
    </row>
    <row r="227" spans="9:16">
      <c r="I227" s="67"/>
      <c r="J227" s="69"/>
      <c r="K227" s="69"/>
      <c r="L227" s="69"/>
      <c r="M227" s="69"/>
      <c r="N227" s="67"/>
      <c r="O227" s="70"/>
      <c r="P227" s="69"/>
    </row>
    <row r="228" spans="9:16">
      <c r="I228" s="67"/>
      <c r="J228" s="69"/>
      <c r="K228" s="69"/>
      <c r="L228" s="69"/>
      <c r="M228" s="69"/>
      <c r="N228" s="67"/>
      <c r="O228" s="70"/>
      <c r="P228" s="69"/>
    </row>
    <row r="229" spans="9:16">
      <c r="I229" s="67"/>
      <c r="J229" s="69"/>
      <c r="K229" s="69"/>
      <c r="L229" s="69"/>
      <c r="M229" s="69"/>
      <c r="N229" s="67"/>
      <c r="O229" s="70"/>
      <c r="P229" s="69"/>
    </row>
    <row r="230" spans="9:16">
      <c r="I230" s="67"/>
      <c r="J230" s="69"/>
      <c r="K230" s="69"/>
      <c r="L230" s="69"/>
      <c r="M230" s="69"/>
      <c r="N230" s="67"/>
      <c r="O230" s="70"/>
      <c r="P230" s="69"/>
    </row>
    <row r="231" spans="9:16">
      <c r="I231" s="67"/>
      <c r="J231" s="69"/>
      <c r="K231" s="69"/>
      <c r="L231" s="69"/>
      <c r="M231" s="69"/>
      <c r="N231" s="67"/>
      <c r="O231" s="70"/>
      <c r="P231" s="69"/>
    </row>
    <row r="232" spans="9:16">
      <c r="I232" s="67"/>
      <c r="J232" s="69"/>
      <c r="K232" s="69"/>
      <c r="L232" s="69"/>
      <c r="M232" s="69"/>
      <c r="N232" s="67"/>
      <c r="O232" s="70"/>
      <c r="P232" s="69"/>
    </row>
    <row r="233" spans="9:16">
      <c r="I233" s="67"/>
      <c r="J233" s="69"/>
      <c r="K233" s="69"/>
      <c r="L233" s="69"/>
      <c r="M233" s="69"/>
      <c r="N233" s="67"/>
      <c r="O233" s="70"/>
      <c r="P233" s="69"/>
    </row>
  </sheetData>
  <mergeCells count="43">
    <mergeCell ref="A1:P1"/>
    <mergeCell ref="A3:B3"/>
    <mergeCell ref="A54:H54"/>
    <mergeCell ref="I49:I53"/>
    <mergeCell ref="A49:A53"/>
    <mergeCell ref="C52:D52"/>
    <mergeCell ref="C53:D53"/>
    <mergeCell ref="C51:D51"/>
    <mergeCell ref="C49:D49"/>
    <mergeCell ref="C50:D50"/>
    <mergeCell ref="I54:P54"/>
    <mergeCell ref="K53:L53"/>
    <mergeCell ref="K52:L52"/>
    <mergeCell ref="K48:L48"/>
    <mergeCell ref="K49:L49"/>
    <mergeCell ref="K50:L50"/>
    <mergeCell ref="Q49:R49"/>
    <mergeCell ref="Q48:R48"/>
    <mergeCell ref="K44:M44"/>
    <mergeCell ref="N44:P44"/>
    <mergeCell ref="K45:L45"/>
    <mergeCell ref="I44:I48"/>
    <mergeCell ref="K46:L46"/>
    <mergeCell ref="K47:L47"/>
    <mergeCell ref="K51:L51"/>
    <mergeCell ref="F48:H48"/>
    <mergeCell ref="F46:H46"/>
    <mergeCell ref="F47:H47"/>
    <mergeCell ref="F45:H45"/>
    <mergeCell ref="F44:H44"/>
    <mergeCell ref="U3:V3"/>
    <mergeCell ref="Q3:T3"/>
    <mergeCell ref="C4:D4"/>
    <mergeCell ref="K4:L4"/>
    <mergeCell ref="D3:H3"/>
    <mergeCell ref="I3:J3"/>
    <mergeCell ref="K3:P3"/>
    <mergeCell ref="A44:A48"/>
    <mergeCell ref="C44:E44"/>
    <mergeCell ref="C45:E45"/>
    <mergeCell ref="C46:E46"/>
    <mergeCell ref="C47:E47"/>
    <mergeCell ref="C48:E48"/>
  </mergeCells>
  <phoneticPr fontId="2" type="noConversion"/>
  <printOptions horizontalCentered="1"/>
  <pageMargins left="0" right="0" top="0.19685039370078741" bottom="0.19685039370078741" header="0.23622047244094491" footer="0.23622047244094491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8"/>
  <dimension ref="A1:AC233"/>
  <sheetViews>
    <sheetView showGridLines="0" showZeros="0" workbookViewId="0">
      <selection activeCell="BU27" sqref="BU27"/>
    </sheetView>
  </sheetViews>
  <sheetFormatPr defaultRowHeight="20.25"/>
  <cols>
    <col min="1" max="1" width="6.7109375" style="74" customWidth="1"/>
    <col min="2" max="2" width="13.140625" style="74" customWidth="1"/>
    <col min="3" max="3" width="2.7109375" style="74" customWidth="1"/>
    <col min="4" max="4" width="5.28515625" style="74" customWidth="1"/>
    <col min="5" max="6" width="7.7109375" style="74" customWidth="1"/>
    <col min="7" max="7" width="10.7109375" style="74" hidden="1" customWidth="1"/>
    <col min="8" max="8" width="7.7109375" style="74" customWidth="1"/>
    <col min="9" max="9" width="6.7109375" style="74" customWidth="1"/>
    <col min="10" max="10" width="14.28515625" style="16" customWidth="1"/>
    <col min="11" max="11" width="2.7109375" style="16" customWidth="1"/>
    <col min="12" max="12" width="6.7109375" style="16" customWidth="1"/>
    <col min="13" max="13" width="6.28515625" style="16" customWidth="1"/>
    <col min="14" max="14" width="6.28515625" style="74" customWidth="1"/>
    <col min="15" max="15" width="12.28515625" style="75" hidden="1" customWidth="1"/>
    <col min="16" max="16" width="8.5703125" style="16" customWidth="1"/>
    <col min="17" max="17" width="8.5703125" style="14" bestFit="1" customWidth="1"/>
    <col min="18" max="18" width="8.5703125" style="15" bestFit="1" customWidth="1"/>
    <col min="19" max="19" width="4.7109375" style="16" bestFit="1" customWidth="1"/>
    <col min="20" max="20" width="3.85546875" style="16" bestFit="1" customWidth="1"/>
    <col min="21" max="22" width="5.7109375" style="17" bestFit="1" customWidth="1"/>
    <col min="23" max="23" width="9.140625" style="18"/>
    <col min="24" max="24" width="0" style="18" hidden="1" customWidth="1"/>
    <col min="25" max="25" width="0" style="17" hidden="1" customWidth="1"/>
    <col min="26" max="29" width="5.7109375" style="16" hidden="1" customWidth="1"/>
    <col min="30" max="71" width="0" style="17" hidden="1" customWidth="1"/>
    <col min="72" max="16384" width="9.140625" style="17"/>
  </cols>
  <sheetData>
    <row r="1" spans="1:29" ht="33.75">
      <c r="A1" s="303" t="s">
        <v>156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</row>
    <row r="2" spans="1:29" ht="31.5">
      <c r="A2" s="118"/>
      <c r="B2" s="118"/>
      <c r="C2" s="118"/>
      <c r="D2" s="118"/>
      <c r="E2" s="118"/>
      <c r="F2" s="118"/>
      <c r="G2" s="118"/>
      <c r="H2" s="118"/>
      <c r="J2" s="119"/>
      <c r="K2" s="119"/>
      <c r="L2" s="119"/>
      <c r="M2" s="119"/>
      <c r="N2" s="119"/>
      <c r="O2" s="119"/>
      <c r="P2" s="119"/>
    </row>
    <row r="3" spans="1:29" ht="23.25" thickBot="1">
      <c r="A3" s="304" t="s">
        <v>157</v>
      </c>
      <c r="B3" s="304"/>
      <c r="C3" s="208"/>
      <c r="D3" s="279">
        <f>'[1]1'!D3+5</f>
        <v>41587</v>
      </c>
      <c r="E3" s="279"/>
      <c r="F3" s="279"/>
      <c r="G3" s="279"/>
      <c r="H3" s="279"/>
      <c r="I3" s="280" t="str">
        <f>IF(WEEKDAY(D3,2)=7,"星期日",IF(WEEKDAY(D3,2)=6,"星期六",IF(WEEKDAY(D3,2)=5,"星期五",IF(WEEKDAY(D3,2)=4,"星期四",IF(WEEKDAY(D3,2)=3,"星期三",IF(WEEKDAY(D3,2)=2,"星期二",IF(WEEKDAY(D3,2)=1,"星期一",WEEKDAY(D3,2))))))))</f>
        <v>星期六</v>
      </c>
      <c r="J3" s="280"/>
      <c r="K3" s="281">
        <f>D3-40908-366</f>
        <v>313</v>
      </c>
      <c r="L3" s="281"/>
      <c r="M3" s="281"/>
      <c r="N3" s="281"/>
      <c r="O3" s="281"/>
      <c r="P3" s="281"/>
      <c r="Q3" s="273" t="s">
        <v>63</v>
      </c>
      <c r="R3" s="273"/>
      <c r="S3" s="273"/>
      <c r="T3" s="273"/>
      <c r="U3" s="272" t="s">
        <v>59</v>
      </c>
      <c r="V3" s="272"/>
    </row>
    <row r="4" spans="1:29" s="31" customFormat="1" ht="13.5" thickTop="1" thickBot="1">
      <c r="A4" s="19" t="s">
        <v>64</v>
      </c>
      <c r="B4" s="20" t="s">
        <v>158</v>
      </c>
      <c r="C4" s="277" t="s">
        <v>159</v>
      </c>
      <c r="D4" s="278"/>
      <c r="E4" s="20" t="s">
        <v>60</v>
      </c>
      <c r="F4" s="20" t="s">
        <v>290</v>
      </c>
      <c r="G4" s="21"/>
      <c r="H4" s="214" t="s">
        <v>61</v>
      </c>
      <c r="I4" s="22" t="s">
        <v>64</v>
      </c>
      <c r="J4" s="23" t="s">
        <v>62</v>
      </c>
      <c r="K4" s="277" t="s">
        <v>159</v>
      </c>
      <c r="L4" s="278"/>
      <c r="M4" s="24" t="s">
        <v>60</v>
      </c>
      <c r="N4" s="23" t="s">
        <v>290</v>
      </c>
      <c r="O4" s="25"/>
      <c r="P4" s="26" t="s">
        <v>61</v>
      </c>
      <c r="Q4" s="27" t="s">
        <v>2</v>
      </c>
      <c r="R4" s="28" t="s">
        <v>65</v>
      </c>
      <c r="S4" s="29" t="s">
        <v>160</v>
      </c>
      <c r="T4" s="29" t="s">
        <v>297</v>
      </c>
      <c r="U4" s="27" t="s">
        <v>2</v>
      </c>
      <c r="V4" s="28" t="s">
        <v>65</v>
      </c>
      <c r="W4" s="30"/>
      <c r="X4" s="30"/>
      <c r="Z4" s="71"/>
      <c r="AA4" s="71"/>
      <c r="AB4" s="71"/>
      <c r="AC4" s="71"/>
    </row>
    <row r="5" spans="1:29" s="31" customFormat="1" ht="13.5" thickTop="1" thickBot="1">
      <c r="A5" s="32">
        <v>270037</v>
      </c>
      <c r="B5" s="3" t="str">
        <f>IF(A5=0,0,VLOOKUP(A5,'00'!$A$1:$F$65536,2,0))</f>
        <v>SES372(1)</v>
      </c>
      <c r="C5" s="5">
        <v>2</v>
      </c>
      <c r="D5" s="3" t="str">
        <f>IF(C5=0,0,VLOOKUP(C5,'01'!$A$2:$B$98,2,0))</f>
        <v>挤出</v>
      </c>
      <c r="E5" s="12">
        <v>10</v>
      </c>
      <c r="F5" s="33" t="s">
        <v>57</v>
      </c>
      <c r="G5" s="34">
        <f t="shared" ref="G5:G37" si="0">IF(F5="中",1,IF(F5="夜",1000000,IF(F5="早",1000000000000,0)))</f>
        <v>1000000000000</v>
      </c>
      <c r="H5" s="206">
        <f>IF(A5=0,0,VLOOKUP(A5,'00'!$A:$F,4,0))</f>
        <v>1082506</v>
      </c>
      <c r="I5" s="9">
        <v>270098</v>
      </c>
      <c r="J5" s="34" t="str">
        <f>IF(I5=0,0,VLOOKUP(I5,'00'!$A$1:$F$65536,2,0))</f>
        <v>DJS601薄片</v>
      </c>
      <c r="K5" s="10">
        <v>20</v>
      </c>
      <c r="L5" s="11" t="str">
        <f>IF(K5=0,0,VLOOKUP(K5,'01'!$A$2:$B$98,2,0))</f>
        <v>约定</v>
      </c>
      <c r="M5" s="13" t="s">
        <v>155</v>
      </c>
      <c r="N5" s="33" t="s">
        <v>58</v>
      </c>
      <c r="O5" s="35">
        <f t="shared" ref="O5:O37" si="1">IF(N5="中",1,IF(N5="夜",10000,IF(N5="日",100000000,0)))</f>
        <v>0</v>
      </c>
      <c r="P5" s="36">
        <f>IF(I5=0,0,VLOOKUP(I5,'00'!$A:$F,4,0))</f>
        <v>1082522</v>
      </c>
      <c r="Q5" s="37">
        <f>IF(A5=0,0,VLOOKUP(A5,'00'!$A$1:$F$65536,5,0))</f>
        <v>175.5</v>
      </c>
      <c r="R5" s="37">
        <f>IF(A5=0,0,VLOOKUP(A5,'00'!$A$1:$G$65536,6,0))</f>
        <v>5.7</v>
      </c>
      <c r="S5" s="38">
        <f t="shared" ref="S5:S37" si="2">IF(A5=270278,1,IF(RIGHT(B5,3)="(0)",1,0))</f>
        <v>0</v>
      </c>
      <c r="T5" s="38">
        <f t="shared" ref="T5:T37" si="3">IF(G5=0,1,0)</f>
        <v>0</v>
      </c>
      <c r="U5" s="37">
        <f>IF(I5=0,0,VLOOKUP(I5,'00'!$A:$F,5,0))+X5</f>
        <v>0</v>
      </c>
      <c r="V5" s="37">
        <f>IF(I5=0,0,VLOOKUP(I5,'00'!$A$1:$F$65536,6,0))</f>
        <v>1.5</v>
      </c>
      <c r="W5" s="37"/>
      <c r="X5" s="30">
        <f t="shared" ref="X5:X37" si="4">IF(K5=9,125,0)</f>
        <v>0</v>
      </c>
      <c r="Y5" s="31">
        <f t="shared" ref="Y5:Y37" si="5">E5*R5</f>
        <v>57</v>
      </c>
      <c r="Z5" s="71">
        <f t="shared" ref="Z5:Z37" si="6">+E5*Q5</f>
        <v>1755</v>
      </c>
      <c r="AA5" s="71">
        <f t="shared" ref="AA5:AA37" si="7">+S5*Z5</f>
        <v>0</v>
      </c>
      <c r="AB5" s="71">
        <f t="shared" ref="AB5:AB37" si="8">+Z5-AA5</f>
        <v>1755</v>
      </c>
      <c r="AC5" s="71"/>
    </row>
    <row r="6" spans="1:29" s="31" customFormat="1" ht="13.5" thickTop="1" thickBot="1">
      <c r="A6" s="152">
        <v>270131</v>
      </c>
      <c r="B6" s="3" t="str">
        <f>IF(A6=0,0,VLOOKUP(A6,'00'!$A$1:$F$65536,2,0))</f>
        <v>SES402(1)</v>
      </c>
      <c r="C6" s="204">
        <v>2</v>
      </c>
      <c r="D6" s="199" t="str">
        <f>IF(C6=0,0,VLOOKUP(C6,'01'!$A$2:$B$98,2,0))</f>
        <v>挤出</v>
      </c>
      <c r="E6" s="205">
        <v>20</v>
      </c>
      <c r="F6" s="33" t="s">
        <v>57</v>
      </c>
      <c r="G6" s="34">
        <f t="shared" si="0"/>
        <v>1000000000000</v>
      </c>
      <c r="H6" s="206">
        <f>IF(A6=0,0,VLOOKUP(A6,'00'!$A:$F,4,0))</f>
        <v>1082510</v>
      </c>
      <c r="I6" s="162">
        <v>270247</v>
      </c>
      <c r="J6" s="34" t="str">
        <f>IF(I6=0,0,VLOOKUP(I6,'00'!$A$1:$F$65536,2,0))</f>
        <v>CES300(0)</v>
      </c>
      <c r="K6" s="10">
        <v>1</v>
      </c>
      <c r="L6" s="7" t="str">
        <f>IF(K6=0,0,VLOOKUP(K6,'01'!$A$2:$B$98,2,0))</f>
        <v>炼胶</v>
      </c>
      <c r="M6" s="39">
        <v>20</v>
      </c>
      <c r="N6" s="40" t="s">
        <v>57</v>
      </c>
      <c r="O6" s="41">
        <f t="shared" si="1"/>
        <v>0</v>
      </c>
      <c r="P6" s="42">
        <f>IF(I6=0,0,VLOOKUP(I6,'00'!$A:$F,4,0))</f>
        <v>1082544</v>
      </c>
      <c r="Q6" s="37">
        <f>IF(A6=0,0,VLOOKUP(A6,'00'!$A$1:$F$65536,5,0))</f>
        <v>175.5</v>
      </c>
      <c r="R6" s="37">
        <f>IF(A6=0,0,VLOOKUP(A6,'00'!$A$1:$G$65536,6,0))</f>
        <v>6</v>
      </c>
      <c r="S6" s="38">
        <f t="shared" si="2"/>
        <v>0</v>
      </c>
      <c r="T6" s="38">
        <f t="shared" si="3"/>
        <v>0</v>
      </c>
      <c r="U6" s="37">
        <f>IF(I6=0,0,VLOOKUP(I6,'00'!$A:$F,5,0))+X6</f>
        <v>65</v>
      </c>
      <c r="V6" s="37">
        <f>IF(I6=0,0,VLOOKUP(I6,'00'!$A$1:$F$65536,6,0))</f>
        <v>25</v>
      </c>
      <c r="W6" s="30"/>
      <c r="X6" s="30">
        <f t="shared" si="4"/>
        <v>0</v>
      </c>
      <c r="Y6" s="31">
        <f t="shared" si="5"/>
        <v>120</v>
      </c>
      <c r="Z6" s="71">
        <f t="shared" si="6"/>
        <v>3510</v>
      </c>
      <c r="AA6" s="71">
        <f t="shared" si="7"/>
        <v>0</v>
      </c>
      <c r="AB6" s="71">
        <f t="shared" si="8"/>
        <v>3510</v>
      </c>
      <c r="AC6" s="71">
        <f t="shared" ref="AC6:AC15" si="9">+U6*M6</f>
        <v>1300</v>
      </c>
    </row>
    <row r="7" spans="1:29" s="31" customFormat="1" ht="13.5" thickTop="1" thickBot="1">
      <c r="A7" s="152">
        <v>270036</v>
      </c>
      <c r="B7" s="3" t="str">
        <f>IF(A7=0,0,VLOOKUP(A7,'00'!$A$1:$F$65536,2,0))</f>
        <v>SES311(1)</v>
      </c>
      <c r="C7" s="204">
        <v>2</v>
      </c>
      <c r="D7" s="199" t="str">
        <f>IF(C7=0,0,VLOOKUP(C7,'01'!$A$2:$B$98,2,0))</f>
        <v>挤出</v>
      </c>
      <c r="E7" s="205">
        <v>20</v>
      </c>
      <c r="F7" s="33" t="s">
        <v>57</v>
      </c>
      <c r="G7" s="34">
        <f t="shared" si="0"/>
        <v>1000000000000</v>
      </c>
      <c r="H7" s="206">
        <f>IF(A7=0,0,VLOOKUP(A7,'00'!$A:$F,4,0))</f>
        <v>1082503</v>
      </c>
      <c r="I7" s="125"/>
      <c r="J7" s="34">
        <f>IF(I7=0,0,VLOOKUP(I7,'00'!$A$1:$F$65536,2,0))</f>
        <v>0</v>
      </c>
      <c r="K7" s="10"/>
      <c r="L7" s="7">
        <f>IF(K7=0,0,VLOOKUP(K7,'01'!$A$2:$B$98,2,0))</f>
        <v>0</v>
      </c>
      <c r="M7" s="97"/>
      <c r="N7" s="40" t="s">
        <v>57</v>
      </c>
      <c r="O7" s="41">
        <f t="shared" si="1"/>
        <v>0</v>
      </c>
      <c r="P7" s="42">
        <f>IF(I7=0,0,VLOOKUP(I7,'00'!$A:$F,4,0))</f>
        <v>0</v>
      </c>
      <c r="Q7" s="37">
        <f>IF(A7=0,0,VLOOKUP(A7,'00'!$A$1:$F$65536,5,0))</f>
        <v>175.5</v>
      </c>
      <c r="R7" s="37">
        <f>IF(A7=0,0,VLOOKUP(A7,'00'!$A$1:$G$65536,6,0))</f>
        <v>6</v>
      </c>
      <c r="S7" s="38">
        <f t="shared" si="2"/>
        <v>0</v>
      </c>
      <c r="T7" s="38">
        <f t="shared" si="3"/>
        <v>0</v>
      </c>
      <c r="U7" s="37">
        <f>IF(I7=0,0,VLOOKUP(I7,'00'!$A:$F,5,0))+X7</f>
        <v>0</v>
      </c>
      <c r="V7" s="37">
        <f>IF(I7=0,0,VLOOKUP(I7,'00'!$A$1:$F$65536,6,0))</f>
        <v>0</v>
      </c>
      <c r="W7" s="30"/>
      <c r="X7" s="30">
        <f t="shared" si="4"/>
        <v>0</v>
      </c>
      <c r="Y7" s="31">
        <f t="shared" si="5"/>
        <v>120</v>
      </c>
      <c r="Z7" s="71">
        <f t="shared" si="6"/>
        <v>3510</v>
      </c>
      <c r="AA7" s="71">
        <f t="shared" si="7"/>
        <v>0</v>
      </c>
      <c r="AB7" s="71">
        <f t="shared" si="8"/>
        <v>3510</v>
      </c>
      <c r="AC7" s="71">
        <f t="shared" si="9"/>
        <v>0</v>
      </c>
    </row>
    <row r="8" spans="1:29" s="31" customFormat="1" ht="13.5" thickTop="1" thickBot="1">
      <c r="A8" s="152">
        <v>270232</v>
      </c>
      <c r="B8" s="3" t="str">
        <f>IF(A8=0,0,VLOOKUP(A8,'00'!$A$1:$F$65536,2,0))</f>
        <v>SES401(1)二段</v>
      </c>
      <c r="C8" s="204">
        <v>2</v>
      </c>
      <c r="D8" s="199" t="str">
        <f>IF(C8=0,0,VLOOKUP(C8,'01'!$A$2:$B$98,2,0))</f>
        <v>挤出</v>
      </c>
      <c r="E8" s="205">
        <v>20</v>
      </c>
      <c r="F8" s="33" t="s">
        <v>57</v>
      </c>
      <c r="G8" s="34">
        <f t="shared" si="0"/>
        <v>1000000000000</v>
      </c>
      <c r="H8" s="206">
        <f>IF(A8=0,0,VLOOKUP(A8,'00'!$A:$F,4,0))</f>
        <v>1082509</v>
      </c>
      <c r="I8" s="125"/>
      <c r="J8" s="34">
        <f>IF(I8=0,0,VLOOKUP(I8,'00'!$A$1:$F$65536,2,0))</f>
        <v>0</v>
      </c>
      <c r="K8" s="10"/>
      <c r="L8" s="7">
        <f>IF(K8=0,0,VLOOKUP(K8,'01'!$A$2:$B$98,2,0))</f>
        <v>0</v>
      </c>
      <c r="M8" s="97"/>
      <c r="N8" s="40" t="s">
        <v>57</v>
      </c>
      <c r="O8" s="35">
        <f t="shared" si="1"/>
        <v>0</v>
      </c>
      <c r="P8" s="43">
        <f>IF(I8=0,0,VLOOKUP(I8,'00'!$A:$F,4,0))</f>
        <v>0</v>
      </c>
      <c r="Q8" s="37">
        <f>IF(A8=0,0,VLOOKUP(A8,'00'!$A$1:$F$65536,5,0))</f>
        <v>144.5</v>
      </c>
      <c r="R8" s="37">
        <f>IF(A8=0,0,VLOOKUP(A8,'00'!$A$1:$G$65536,6,0))</f>
        <v>4</v>
      </c>
      <c r="S8" s="38">
        <f t="shared" si="2"/>
        <v>0</v>
      </c>
      <c r="T8" s="38">
        <f t="shared" si="3"/>
        <v>0</v>
      </c>
      <c r="U8" s="37">
        <f>IF(I8=0,0,VLOOKUP(I8,'00'!$A:$F,5,0))+X8</f>
        <v>0</v>
      </c>
      <c r="V8" s="37">
        <f>IF(I8=0,0,VLOOKUP(I8,'00'!$A$1:$F$65536,6,0))</f>
        <v>0</v>
      </c>
      <c r="W8" s="30"/>
      <c r="X8" s="30">
        <f t="shared" si="4"/>
        <v>0</v>
      </c>
      <c r="Y8" s="31">
        <f t="shared" si="5"/>
        <v>80</v>
      </c>
      <c r="Z8" s="71">
        <f t="shared" si="6"/>
        <v>2890</v>
      </c>
      <c r="AA8" s="71">
        <f t="shared" si="7"/>
        <v>0</v>
      </c>
      <c r="AB8" s="71">
        <f t="shared" si="8"/>
        <v>2890</v>
      </c>
      <c r="AC8" s="71">
        <f t="shared" si="9"/>
        <v>0</v>
      </c>
    </row>
    <row r="9" spans="1:29" s="31" customFormat="1" ht="13.5" thickTop="1" thickBot="1">
      <c r="A9" s="152" t="s">
        <v>66</v>
      </c>
      <c r="B9" s="3" t="str">
        <f>IF(A9=0,0,VLOOKUP(A9,'00'!$A$1:$F$65536,2,0))</f>
        <v>CLEAN</v>
      </c>
      <c r="C9" s="5">
        <v>1</v>
      </c>
      <c r="D9" s="3" t="str">
        <f>IF(C9=0,0,VLOOKUP(C9,'01'!$A$2:$B$98,2,0))</f>
        <v>炼胶</v>
      </c>
      <c r="E9" s="12">
        <v>1</v>
      </c>
      <c r="F9" s="33" t="s">
        <v>57</v>
      </c>
      <c r="G9" s="34">
        <f t="shared" si="0"/>
        <v>1000000000000</v>
      </c>
      <c r="H9" s="206">
        <f>IF(A9=0,0,VLOOKUP(A9,'00'!$A:$F,4,0))</f>
        <v>0</v>
      </c>
      <c r="I9" s="125"/>
      <c r="J9" s="34">
        <f>IF(I9=0,0,VLOOKUP(I9,'00'!$A$1:$F$65536,2,0))</f>
        <v>0</v>
      </c>
      <c r="K9" s="10"/>
      <c r="L9" s="7">
        <f>IF(K9=0,0,VLOOKUP(K9,'01'!$A$2:$B$98,2,0))</f>
        <v>0</v>
      </c>
      <c r="M9" s="97"/>
      <c r="N9" s="40" t="s">
        <v>57</v>
      </c>
      <c r="O9" s="35">
        <f t="shared" si="1"/>
        <v>0</v>
      </c>
      <c r="P9" s="43">
        <f>IF(I9=0,0,VLOOKUP(I9,'00'!$A:$F,4,0))</f>
        <v>0</v>
      </c>
      <c r="Q9" s="37">
        <f>IF(A9=0,0,VLOOKUP(A9,'00'!$A$1:$F$65536,5,0))</f>
        <v>0</v>
      </c>
      <c r="R9" s="37">
        <f>IF(A9=0,0,VLOOKUP(A9,'00'!$A$1:$G$65536,6,0))</f>
        <v>0</v>
      </c>
      <c r="S9" s="38">
        <f t="shared" si="2"/>
        <v>0</v>
      </c>
      <c r="T9" s="38">
        <f t="shared" si="3"/>
        <v>0</v>
      </c>
      <c r="U9" s="37">
        <f>IF(I9=0,0,VLOOKUP(I9,'00'!$A:$F,5,0))+X9</f>
        <v>0</v>
      </c>
      <c r="V9" s="37">
        <f>IF(I9=0,0,VLOOKUP(I9,'00'!$A$1:$F$65536,6,0))</f>
        <v>0</v>
      </c>
      <c r="W9" s="30"/>
      <c r="X9" s="30">
        <f t="shared" si="4"/>
        <v>0</v>
      </c>
      <c r="Y9" s="31">
        <f t="shared" si="5"/>
        <v>0</v>
      </c>
      <c r="Z9" s="71">
        <f t="shared" si="6"/>
        <v>0</v>
      </c>
      <c r="AA9" s="71">
        <f t="shared" si="7"/>
        <v>0</v>
      </c>
      <c r="AB9" s="71">
        <f t="shared" si="8"/>
        <v>0</v>
      </c>
      <c r="AC9" s="71">
        <f t="shared" si="9"/>
        <v>0</v>
      </c>
    </row>
    <row r="10" spans="1:29" s="31" customFormat="1" ht="13.5" thickTop="1" thickBot="1">
      <c r="A10" s="32">
        <v>270018</v>
      </c>
      <c r="B10" s="3" t="str">
        <f>IF(A10=0,0,VLOOKUP(A10,'00'!$A$1:$F$65536,2,0))</f>
        <v>DEC601(1)</v>
      </c>
      <c r="C10" s="204">
        <v>2</v>
      </c>
      <c r="D10" s="199" t="str">
        <f>IF(C10=0,0,VLOOKUP(C10,'01'!$A$2:$B$98,2,0))</f>
        <v>挤出</v>
      </c>
      <c r="E10" s="205">
        <v>13</v>
      </c>
      <c r="F10" s="33" t="s">
        <v>57</v>
      </c>
      <c r="G10" s="34">
        <f t="shared" si="0"/>
        <v>1000000000000</v>
      </c>
      <c r="H10" s="206">
        <f>IF(A10=0,0,VLOOKUP(A10,'00'!$A:$F,4,0))</f>
        <v>1082500</v>
      </c>
      <c r="I10" s="125"/>
      <c r="J10" s="34">
        <f>IF(I10=0,0,VLOOKUP(I10,'00'!$A$1:$F$65536,2,0))</f>
        <v>0</v>
      </c>
      <c r="K10" s="10"/>
      <c r="L10" s="7">
        <f>IF(K10=0,0,VLOOKUP(K10,'01'!$A$2:$B$98,2,0))</f>
        <v>0</v>
      </c>
      <c r="M10" s="97"/>
      <c r="N10" s="44" t="s">
        <v>57</v>
      </c>
      <c r="O10" s="35">
        <f t="shared" si="1"/>
        <v>0</v>
      </c>
      <c r="P10" s="45">
        <f>IF(I10=0,0,VLOOKUP(I10,'00'!$A:$F,4,0))</f>
        <v>0</v>
      </c>
      <c r="Q10" s="37">
        <f>IF(A10=0,0,VLOOKUP(A10,'00'!$A$1:$F$65536,5,0))</f>
        <v>165</v>
      </c>
      <c r="R10" s="37">
        <f>IF(A10=0,0,VLOOKUP(A10,'00'!$A$1:$G$65536,6,0))</f>
        <v>5.2</v>
      </c>
      <c r="S10" s="38">
        <f t="shared" si="2"/>
        <v>0</v>
      </c>
      <c r="T10" s="38">
        <f t="shared" si="3"/>
        <v>0</v>
      </c>
      <c r="U10" s="37">
        <f>IF(I10=0,0,VLOOKUP(I10,'00'!$A:$F,5,0))+X10</f>
        <v>0</v>
      </c>
      <c r="V10" s="37">
        <f>IF(I10=0,0,VLOOKUP(I10,'00'!$A$1:$F$65536,6,0))</f>
        <v>0</v>
      </c>
      <c r="W10" s="30"/>
      <c r="X10" s="30">
        <f t="shared" si="4"/>
        <v>0</v>
      </c>
      <c r="Y10" s="31">
        <f t="shared" si="5"/>
        <v>67.600000000000009</v>
      </c>
      <c r="Z10" s="71">
        <f t="shared" si="6"/>
        <v>2145</v>
      </c>
      <c r="AA10" s="71">
        <f t="shared" si="7"/>
        <v>0</v>
      </c>
      <c r="AB10" s="71">
        <f t="shared" si="8"/>
        <v>2145</v>
      </c>
      <c r="AC10" s="71">
        <f t="shared" si="9"/>
        <v>0</v>
      </c>
    </row>
    <row r="11" spans="1:29" s="31" customFormat="1" ht="13.5" thickTop="1" thickBot="1">
      <c r="A11" s="32">
        <v>270018</v>
      </c>
      <c r="B11" s="3" t="str">
        <f>IF(A11=0,0,VLOOKUP(A11,'00'!$A$1:$F$65536,2,0))</f>
        <v>DEC601(1)</v>
      </c>
      <c r="C11" s="204">
        <v>2</v>
      </c>
      <c r="D11" s="199" t="str">
        <f>IF(C11=0,0,VLOOKUP(C11,'01'!$A$2:$B$98,2,0))</f>
        <v>挤出</v>
      </c>
      <c r="E11" s="205">
        <v>35</v>
      </c>
      <c r="F11" s="33" t="s">
        <v>301</v>
      </c>
      <c r="G11" s="34">
        <f t="shared" si="0"/>
        <v>1</v>
      </c>
      <c r="H11" s="206">
        <f>IF(A11=0,0,VLOOKUP(A11,'00'!$A:$F,4,0))</f>
        <v>1082500</v>
      </c>
      <c r="I11" s="162"/>
      <c r="J11" s="34">
        <f>IF(I11=0,0,VLOOKUP(I11,'00'!$A$1:$F$65536,2,0))</f>
        <v>0</v>
      </c>
      <c r="K11" s="10"/>
      <c r="L11" s="7">
        <f>IF(K11=0,0,VLOOKUP(K11,'01'!$A$2:$B$98,2,0))</f>
        <v>0</v>
      </c>
      <c r="M11" s="39"/>
      <c r="N11" s="46" t="s">
        <v>57</v>
      </c>
      <c r="O11" s="47">
        <f t="shared" si="1"/>
        <v>0</v>
      </c>
      <c r="P11" s="48">
        <f>IF(I11=0,0,VLOOKUP(I11,'00'!$A:$F,4,0))</f>
        <v>0</v>
      </c>
      <c r="Q11" s="37">
        <f>IF(A11=0,0,VLOOKUP(A11,'00'!$A$1:$F$65536,5,0))</f>
        <v>165</v>
      </c>
      <c r="R11" s="37">
        <f>IF(A11=0,0,VLOOKUP(A11,'00'!$A$1:$G$65536,6,0))</f>
        <v>5.2</v>
      </c>
      <c r="S11" s="38">
        <f t="shared" si="2"/>
        <v>0</v>
      </c>
      <c r="T11" s="38">
        <f t="shared" si="3"/>
        <v>0</v>
      </c>
      <c r="U11" s="37">
        <f>IF(I11=0,0,VLOOKUP(I11,'00'!$A:$F,5,0))+X11</f>
        <v>0</v>
      </c>
      <c r="V11" s="37">
        <f>IF(I11=0,0,VLOOKUP(I11,'00'!$A$1:$F$65536,6,0))</f>
        <v>0</v>
      </c>
      <c r="W11" s="30"/>
      <c r="X11" s="30">
        <f>IF(K11=9,125,0)</f>
        <v>0</v>
      </c>
      <c r="Y11" s="31">
        <f t="shared" si="5"/>
        <v>182</v>
      </c>
      <c r="Z11" s="71">
        <f t="shared" si="6"/>
        <v>5775</v>
      </c>
      <c r="AA11" s="71">
        <f t="shared" si="7"/>
        <v>0</v>
      </c>
      <c r="AB11" s="71">
        <f t="shared" si="8"/>
        <v>5775</v>
      </c>
      <c r="AC11" s="71">
        <f t="shared" si="9"/>
        <v>0</v>
      </c>
    </row>
    <row r="12" spans="1:29" s="31" customFormat="1" ht="13.5" thickTop="1" thickBot="1">
      <c r="A12" s="32">
        <v>270427</v>
      </c>
      <c r="B12" s="254" t="str">
        <f>IF(A12=0,0,VLOOKUP(A12,'00'!$A$1:$F$65536,2,0))</f>
        <v>DEC651(1)</v>
      </c>
      <c r="C12" s="204">
        <v>18</v>
      </c>
      <c r="D12" s="199" t="str">
        <f>IF(C12=0,0,VLOOKUP(C12,'01'!$A$2:$B$98,2,0))</f>
        <v>三产</v>
      </c>
      <c r="E12" s="205">
        <v>4</v>
      </c>
      <c r="F12" s="33" t="s">
        <v>301</v>
      </c>
      <c r="G12" s="34">
        <f t="shared" si="0"/>
        <v>1</v>
      </c>
      <c r="H12" s="206">
        <f>IF(A12=0,0,VLOOKUP(A12,'00'!$A:$F,4,0))</f>
        <v>1082546</v>
      </c>
      <c r="I12" s="125"/>
      <c r="J12" s="34">
        <f>IF(I12=0,0,VLOOKUP(I12,'00'!$A$1:$F$65536,2,0))</f>
        <v>0</v>
      </c>
      <c r="K12" s="10"/>
      <c r="L12" s="7">
        <f>IF(K12=0,0,VLOOKUP(K12,'01'!$A$2:$B$98,2,0))</f>
        <v>0</v>
      </c>
      <c r="M12" s="97"/>
      <c r="N12" s="49" t="s">
        <v>57</v>
      </c>
      <c r="O12" s="50">
        <f t="shared" si="1"/>
        <v>0</v>
      </c>
      <c r="P12" s="51">
        <f>IF(I12=0,0,VLOOKUP(I12,'00'!$A:$F,4,0))</f>
        <v>0</v>
      </c>
      <c r="Q12" s="37">
        <f>IF(A12=0,0,VLOOKUP(A12,'00'!$A$1:$F$65536,5,0))</f>
        <v>156</v>
      </c>
      <c r="R12" s="37">
        <f>IF(A12=0,0,VLOOKUP(A12,'00'!$A$1:$G$65536,6,0))</f>
        <v>6</v>
      </c>
      <c r="S12" s="38">
        <f t="shared" si="2"/>
        <v>0</v>
      </c>
      <c r="T12" s="38">
        <f t="shared" si="3"/>
        <v>0</v>
      </c>
      <c r="U12" s="37">
        <f>IF(I12=0,0,VLOOKUP(I12,'00'!$A:$F,5,0))+X12</f>
        <v>0</v>
      </c>
      <c r="V12" s="37">
        <f>IF(I12=0,0,VLOOKUP(I12,'00'!$A$1:$F$65536,6,0))</f>
        <v>0</v>
      </c>
      <c r="W12" s="30"/>
      <c r="X12" s="30">
        <f t="shared" si="4"/>
        <v>0</v>
      </c>
      <c r="Y12" s="31">
        <f t="shared" si="5"/>
        <v>24</v>
      </c>
      <c r="Z12" s="71">
        <f t="shared" si="6"/>
        <v>624</v>
      </c>
      <c r="AA12" s="71">
        <f t="shared" si="7"/>
        <v>0</v>
      </c>
      <c r="AB12" s="71">
        <f t="shared" si="8"/>
        <v>624</v>
      </c>
      <c r="AC12" s="71">
        <f t="shared" si="9"/>
        <v>0</v>
      </c>
    </row>
    <row r="13" spans="1:29" s="31" customFormat="1" ht="13.5" thickTop="1" thickBot="1">
      <c r="A13" s="32">
        <v>270020</v>
      </c>
      <c r="B13" s="3" t="str">
        <f>IF(A13=0,0,VLOOKUP(A13,'00'!$A$1:$F$65536,2,0))</f>
        <v>DEC701(1)</v>
      </c>
      <c r="C13" s="204">
        <v>2</v>
      </c>
      <c r="D13" s="199" t="str">
        <f>IF(C13=0,0,VLOOKUP(C13,'01'!$A$2:$B$98,2,0))</f>
        <v>挤出</v>
      </c>
      <c r="E13" s="205">
        <v>30</v>
      </c>
      <c r="F13" s="33" t="s">
        <v>301</v>
      </c>
      <c r="G13" s="34">
        <f t="shared" si="0"/>
        <v>1</v>
      </c>
      <c r="H13" s="206">
        <f>IF(A13=0,0,VLOOKUP(A13,'00'!$A:$F,4,0))</f>
        <v>1082493</v>
      </c>
      <c r="I13" s="162"/>
      <c r="J13" s="34">
        <f>IF(I13=0,0,VLOOKUP(I13,'00'!$A$1:$F$65536,2,0))</f>
        <v>0</v>
      </c>
      <c r="K13" s="10"/>
      <c r="L13" s="7">
        <f>IF(K13=0,0,VLOOKUP(K13,'01'!$A$2:$B$98,2,0))</f>
        <v>0</v>
      </c>
      <c r="M13" s="39"/>
      <c r="N13" s="46" t="s">
        <v>57</v>
      </c>
      <c r="O13" s="47">
        <f t="shared" si="1"/>
        <v>0</v>
      </c>
      <c r="P13" s="48">
        <f>IF(I13=0,0,VLOOKUP(I13,'00'!$A:$F,4,0))</f>
        <v>0</v>
      </c>
      <c r="Q13" s="37">
        <f>IF(A13=0,0,VLOOKUP(A13,'00'!$A$1:$F$65536,5,0))</f>
        <v>160</v>
      </c>
      <c r="R13" s="37">
        <f>IF(A13=0,0,VLOOKUP(A13,'00'!$A$1:$G$65536,6,0))</f>
        <v>5.5</v>
      </c>
      <c r="S13" s="38">
        <f t="shared" si="2"/>
        <v>0</v>
      </c>
      <c r="T13" s="38">
        <f t="shared" si="3"/>
        <v>0</v>
      </c>
      <c r="U13" s="37">
        <f>IF(I13=0,0,VLOOKUP(I13,'00'!$A:$F,5,0))+X13</f>
        <v>0</v>
      </c>
      <c r="V13" s="37">
        <f>IF(I13=0,0,VLOOKUP(I13,'00'!$A$1:$F$65536,6,0))</f>
        <v>0</v>
      </c>
      <c r="W13" s="30"/>
      <c r="X13" s="30">
        <f t="shared" si="4"/>
        <v>0</v>
      </c>
      <c r="Y13" s="31">
        <f t="shared" si="5"/>
        <v>165</v>
      </c>
      <c r="Z13" s="71">
        <f t="shared" si="6"/>
        <v>4800</v>
      </c>
      <c r="AA13" s="71">
        <f t="shared" si="7"/>
        <v>0</v>
      </c>
      <c r="AB13" s="71">
        <f t="shared" si="8"/>
        <v>4800</v>
      </c>
      <c r="AC13" s="71">
        <f t="shared" si="9"/>
        <v>0</v>
      </c>
    </row>
    <row r="14" spans="1:29" s="31" customFormat="1" ht="13.5" thickTop="1" thickBot="1">
      <c r="A14" s="32">
        <v>270028</v>
      </c>
      <c r="B14" s="233" t="str">
        <f>IF(A14=0,0,VLOOKUP(A14,'00'!$A$1:$F$65536,2,0))</f>
        <v>DES851(1)</v>
      </c>
      <c r="C14" s="204">
        <v>2</v>
      </c>
      <c r="D14" s="199" t="str">
        <f>IF(C14=0,0,VLOOKUP(C14,'01'!$A$2:$B$98,2,0))</f>
        <v>挤出</v>
      </c>
      <c r="E14" s="205">
        <v>18</v>
      </c>
      <c r="F14" s="33" t="s">
        <v>301</v>
      </c>
      <c r="G14" s="34">
        <f t="shared" si="0"/>
        <v>1</v>
      </c>
      <c r="H14" s="206">
        <f>IF(A14=0,0,VLOOKUP(A14,'00'!$A:$F,4,0))</f>
        <v>1082488</v>
      </c>
      <c r="I14" s="55"/>
      <c r="J14" s="34">
        <f>IF(I14=0,0,VLOOKUP(I14,'00'!$A$1:$F$65536,2,0))</f>
        <v>0</v>
      </c>
      <c r="K14" s="56"/>
      <c r="L14" s="8">
        <f>IF(K14=0,0,VLOOKUP(K14,'01'!$A$2:$B$98,2,0))</f>
        <v>0</v>
      </c>
      <c r="M14" s="76"/>
      <c r="N14" s="46" t="s">
        <v>57</v>
      </c>
      <c r="O14" s="47">
        <f t="shared" si="1"/>
        <v>0</v>
      </c>
      <c r="P14" s="48">
        <f>IF(I14=0,0,VLOOKUP(I14,'00'!$A:$F,4,0))</f>
        <v>0</v>
      </c>
      <c r="Q14" s="37">
        <f>IF(A14=0,0,VLOOKUP(A14,'00'!$A$1:$F$65536,5,0))</f>
        <v>155</v>
      </c>
      <c r="R14" s="37">
        <f>IF(A14=0,0,VLOOKUP(A14,'00'!$A$1:$G$65536,6,0))</f>
        <v>5.3</v>
      </c>
      <c r="S14" s="38">
        <f t="shared" si="2"/>
        <v>0</v>
      </c>
      <c r="T14" s="38">
        <f t="shared" si="3"/>
        <v>0</v>
      </c>
      <c r="U14" s="37">
        <f>IF(I14=0,0,VLOOKUP(I14,'00'!$A:$F,5,0))+X14</f>
        <v>0</v>
      </c>
      <c r="V14" s="37">
        <f>IF(I14=0,0,VLOOKUP(I14,'00'!$A$1:$F$65536,6,0))</f>
        <v>0</v>
      </c>
      <c r="W14" s="30"/>
      <c r="X14" s="30">
        <f t="shared" si="4"/>
        <v>0</v>
      </c>
      <c r="Y14" s="31">
        <f t="shared" si="5"/>
        <v>95.399999999999991</v>
      </c>
      <c r="Z14" s="71">
        <f t="shared" si="6"/>
        <v>2790</v>
      </c>
      <c r="AA14" s="71">
        <f t="shared" si="7"/>
        <v>0</v>
      </c>
      <c r="AB14" s="71">
        <f t="shared" si="8"/>
        <v>2790</v>
      </c>
      <c r="AC14" s="71">
        <f t="shared" si="9"/>
        <v>0</v>
      </c>
    </row>
    <row r="15" spans="1:29" s="31" customFormat="1" ht="13.5" thickTop="1" thickBot="1">
      <c r="A15" s="32">
        <v>270294</v>
      </c>
      <c r="B15" s="3" t="str">
        <f>IF(A15=0,0,VLOOKUP(A15,'00'!$A$1:$F$65536,2,0))</f>
        <v>DES854(1)</v>
      </c>
      <c r="C15" s="204">
        <v>2</v>
      </c>
      <c r="D15" s="199" t="str">
        <f>IF(C15=0,0,VLOOKUP(C15,'01'!$A$2:$B$98,2,0))</f>
        <v>挤出</v>
      </c>
      <c r="E15" s="205">
        <v>2</v>
      </c>
      <c r="F15" s="33" t="s">
        <v>301</v>
      </c>
      <c r="G15" s="34">
        <f t="shared" si="0"/>
        <v>1</v>
      </c>
      <c r="H15" s="206">
        <f>IF(A15=0,0,VLOOKUP(A15,'00'!$A:$F,4,0))</f>
        <v>1082489</v>
      </c>
      <c r="I15" s="92"/>
      <c r="J15" s="87">
        <f>IF(I15=0,0,VLOOKUP(I15,'00'!$A$1:$F$65536,2,0))</f>
        <v>0</v>
      </c>
      <c r="K15" s="87"/>
      <c r="L15" s="88">
        <f>IF(K15=0,0,VLOOKUP(K15,'01'!$A$2:$B$98,2,0))</f>
        <v>0</v>
      </c>
      <c r="M15" s="93"/>
      <c r="N15" s="89" t="s">
        <v>57</v>
      </c>
      <c r="O15" s="90">
        <f t="shared" si="1"/>
        <v>0</v>
      </c>
      <c r="P15" s="91">
        <f>IF(I15=0,0,VLOOKUP(I15,'00'!$A:$F,4,0))</f>
        <v>0</v>
      </c>
      <c r="Q15" s="37">
        <f>IF(A15=0,0,VLOOKUP(A15,'00'!$A$1:$F$65536,5,0))</f>
        <v>154</v>
      </c>
      <c r="R15" s="37">
        <f>IF(A15=0,0,VLOOKUP(A15,'00'!$A$1:$G$65536,6,0))</f>
        <v>5.3</v>
      </c>
      <c r="S15" s="38">
        <f t="shared" si="2"/>
        <v>0</v>
      </c>
      <c r="T15" s="38">
        <f t="shared" si="3"/>
        <v>0</v>
      </c>
      <c r="U15" s="37">
        <f>IF(I15=0,0,VLOOKUP(I15,'00'!$A:$F,5,0))+X15</f>
        <v>0</v>
      </c>
      <c r="V15" s="37">
        <f>IF(I15=0,0,VLOOKUP(I15,'00'!$A$1:$F$65536,6,0))</f>
        <v>0</v>
      </c>
      <c r="W15" s="30">
        <v>0</v>
      </c>
      <c r="X15" s="30">
        <f t="shared" si="4"/>
        <v>0</v>
      </c>
      <c r="Y15" s="31">
        <f t="shared" si="5"/>
        <v>10.6</v>
      </c>
      <c r="Z15" s="71">
        <f t="shared" si="6"/>
        <v>308</v>
      </c>
      <c r="AA15" s="71">
        <f t="shared" si="7"/>
        <v>0</v>
      </c>
      <c r="AB15" s="71">
        <f t="shared" si="8"/>
        <v>308</v>
      </c>
      <c r="AC15" s="71">
        <f t="shared" si="9"/>
        <v>0</v>
      </c>
    </row>
    <row r="16" spans="1:29" s="31" customFormat="1" ht="13.5" thickTop="1" thickBot="1">
      <c r="A16" s="152">
        <v>270294</v>
      </c>
      <c r="B16" s="3" t="str">
        <f>IF(A16=0,0,VLOOKUP(A16,'00'!$A$1:$F$65536,2,0))</f>
        <v>DES854(1)</v>
      </c>
      <c r="C16" s="5">
        <v>2</v>
      </c>
      <c r="D16" s="3" t="str">
        <f>IF(C16=0,0,VLOOKUP(C16,'01'!$A$2:$B$98,2,0))</f>
        <v>挤出</v>
      </c>
      <c r="E16" s="12">
        <v>10</v>
      </c>
      <c r="F16" s="33" t="s">
        <v>1</v>
      </c>
      <c r="G16" s="34">
        <f t="shared" si="0"/>
        <v>1000000</v>
      </c>
      <c r="H16" s="206">
        <f>IF(A16=0,0,VLOOKUP(A16,'00'!$A:$F,4,0))</f>
        <v>1082489</v>
      </c>
      <c r="I16" s="9">
        <v>270098</v>
      </c>
      <c r="J16" s="52" t="str">
        <f>IF(I16=0,0,VLOOKUP(I16,'00'!$A$1:$F$65536,2,0))</f>
        <v>DJS601薄片</v>
      </c>
      <c r="K16" s="10">
        <v>20</v>
      </c>
      <c r="L16" s="11" t="str">
        <f>IF(K16=0,0,VLOOKUP(K16,'01'!$A$2:$B$98,2,0))</f>
        <v>约定</v>
      </c>
      <c r="M16" s="13" t="s">
        <v>300</v>
      </c>
      <c r="N16" s="33" t="s">
        <v>0</v>
      </c>
      <c r="O16" s="41">
        <f t="shared" si="1"/>
        <v>1</v>
      </c>
      <c r="P16" s="42">
        <f>IF(I16=0,0,VLOOKUP(I16,'00'!$A:$F,4,0))</f>
        <v>1082522</v>
      </c>
      <c r="Q16" s="37">
        <f>IF(A16=0,0,VLOOKUP(A16,'00'!$A$1:$F$65536,5,0))</f>
        <v>154</v>
      </c>
      <c r="R16" s="37">
        <f>IF(A16=0,0,VLOOKUP(A16,'00'!$A$1:$G$65536,6,0))</f>
        <v>5.3</v>
      </c>
      <c r="S16" s="38">
        <f t="shared" si="2"/>
        <v>0</v>
      </c>
      <c r="T16" s="38">
        <f t="shared" si="3"/>
        <v>0</v>
      </c>
      <c r="U16" s="37">
        <f>IF(I16=0,0,VLOOKUP(I16,'00'!$A:$F,5,0))+X16</f>
        <v>0</v>
      </c>
      <c r="V16" s="37">
        <f>IF(I16=0,0,VLOOKUP(I16,'00'!$A$1:$F$65536,6,0))</f>
        <v>1.5</v>
      </c>
      <c r="W16" s="37"/>
      <c r="X16" s="30">
        <f t="shared" si="4"/>
        <v>0</v>
      </c>
      <c r="Y16" s="31">
        <f t="shared" si="5"/>
        <v>53</v>
      </c>
      <c r="Z16" s="71">
        <f t="shared" si="6"/>
        <v>1540</v>
      </c>
      <c r="AA16" s="71">
        <f t="shared" si="7"/>
        <v>0</v>
      </c>
      <c r="AB16" s="71">
        <f t="shared" si="8"/>
        <v>1540</v>
      </c>
      <c r="AC16" s="71"/>
    </row>
    <row r="17" spans="1:29" s="31" customFormat="1" ht="13.5" thickTop="1" thickBot="1">
      <c r="A17" s="152">
        <v>270278</v>
      </c>
      <c r="B17" s="3" t="str">
        <f>IF(A17=0,0,VLOOKUP(A17,'00'!$A$1:$F$65536,2,0))</f>
        <v>SES401(0)二段</v>
      </c>
      <c r="C17" s="5">
        <v>1</v>
      </c>
      <c r="D17" s="3" t="str">
        <f>IF(C17=0,0,VLOOKUP(C17,'01'!$A$2:$B$98,2,0))</f>
        <v>炼胶</v>
      </c>
      <c r="E17" s="12">
        <v>16</v>
      </c>
      <c r="F17" s="33" t="s">
        <v>1</v>
      </c>
      <c r="G17" s="34">
        <f t="shared" si="0"/>
        <v>1000000</v>
      </c>
      <c r="H17" s="206">
        <f>IF(A17=0,0,VLOOKUP(A17,'00'!$A:$F,4,0))</f>
        <v>1082528</v>
      </c>
      <c r="I17" s="162">
        <v>270143</v>
      </c>
      <c r="J17" s="34" t="str">
        <f>IF(I17=0,0,VLOOKUP(I17,'00'!$A$1:$F$65536,2,0))</f>
        <v>DJS702(1)</v>
      </c>
      <c r="K17" s="10">
        <v>12</v>
      </c>
      <c r="L17" s="7" t="str">
        <f>IF(K17=0,0,VLOOKUP(K17,'01'!$A$2:$B$98,2,0))</f>
        <v>申舒窄</v>
      </c>
      <c r="M17" s="39">
        <v>2</v>
      </c>
      <c r="N17" s="33" t="s">
        <v>0</v>
      </c>
      <c r="O17" s="41">
        <f t="shared" si="1"/>
        <v>1</v>
      </c>
      <c r="P17" s="42">
        <f>IF(I17=0,0,VLOOKUP(I17,'00'!$A:$F,4,0))</f>
        <v>1082516</v>
      </c>
      <c r="Q17" s="37">
        <f>IF(A17=0,0,VLOOKUP(A17,'00'!$A$1:$F$65536,5,0))</f>
        <v>153</v>
      </c>
      <c r="R17" s="37">
        <f>IF(A17=0,0,VLOOKUP(A17,'00'!$A$1:$G$65536,6,0))</f>
        <v>6</v>
      </c>
      <c r="S17" s="38">
        <f t="shared" si="2"/>
        <v>1</v>
      </c>
      <c r="T17" s="38">
        <f t="shared" si="3"/>
        <v>0</v>
      </c>
      <c r="U17" s="37">
        <f>IF(I17=0,0,VLOOKUP(I17,'00'!$A:$F,5,0))+X17</f>
        <v>37</v>
      </c>
      <c r="V17" s="37">
        <f>IF(I17=0,0,VLOOKUP(I17,'00'!$A$1:$F$65536,6,0))</f>
        <v>15</v>
      </c>
      <c r="W17" s="30"/>
      <c r="X17" s="30">
        <f t="shared" si="4"/>
        <v>0</v>
      </c>
      <c r="Y17" s="31">
        <f t="shared" si="5"/>
        <v>96</v>
      </c>
      <c r="Z17" s="71">
        <f t="shared" si="6"/>
        <v>2448</v>
      </c>
      <c r="AA17" s="71">
        <f t="shared" si="7"/>
        <v>2448</v>
      </c>
      <c r="AB17" s="71">
        <f t="shared" si="8"/>
        <v>0</v>
      </c>
      <c r="AC17" s="71">
        <f t="shared" ref="AC17:AC26" si="10">+U17*M17</f>
        <v>74</v>
      </c>
    </row>
    <row r="18" spans="1:29" s="31" customFormat="1" ht="13.5" thickTop="1" thickBot="1">
      <c r="A18" s="32">
        <v>270142</v>
      </c>
      <c r="B18" s="3" t="str">
        <f>IF(A18=0,0,VLOOKUP(A18,'00'!$A$1:$F$65536,2,0))</f>
        <v>DJS702(0)</v>
      </c>
      <c r="C18" s="204">
        <v>1</v>
      </c>
      <c r="D18" s="199" t="str">
        <f>IF(C18=0,0,VLOOKUP(C18,'01'!$A$2:$B$98,2,0))</f>
        <v>炼胶</v>
      </c>
      <c r="E18" s="205">
        <v>8</v>
      </c>
      <c r="F18" s="33" t="s">
        <v>1</v>
      </c>
      <c r="G18" s="34">
        <f t="shared" si="0"/>
        <v>1000000</v>
      </c>
      <c r="H18" s="206">
        <f>IF(A18=0,0,VLOOKUP(A18,'00'!$A:$F,4,0))</f>
        <v>1082539</v>
      </c>
      <c r="I18" s="162">
        <v>270143</v>
      </c>
      <c r="J18" s="34" t="str">
        <f>IF(I18=0,0,VLOOKUP(I18,'00'!$A$1:$F$65536,2,0))</f>
        <v>DJS702(1)</v>
      </c>
      <c r="K18" s="10">
        <v>10</v>
      </c>
      <c r="L18" s="7" t="str">
        <f>IF(K18=0,0,VLOOKUP(K18,'01'!$A$2:$B$98,2,0))</f>
        <v>申舒</v>
      </c>
      <c r="M18" s="39">
        <v>13</v>
      </c>
      <c r="N18" s="33" t="s">
        <v>0</v>
      </c>
      <c r="O18" s="35">
        <f t="shared" si="1"/>
        <v>1</v>
      </c>
      <c r="P18" s="43">
        <f>IF(I18=0,0,VLOOKUP(I18,'00'!$A:$F,4,0))</f>
        <v>1082516</v>
      </c>
      <c r="Q18" s="37">
        <f>IF(A18=0,0,VLOOKUP(A18,'00'!$A$1:$F$65536,5,0))</f>
        <v>152</v>
      </c>
      <c r="R18" s="37">
        <f>IF(A18=0,0,VLOOKUP(A18,'00'!$A$1:$G$65536,6,0))</f>
        <v>5.2</v>
      </c>
      <c r="S18" s="38">
        <f t="shared" si="2"/>
        <v>1</v>
      </c>
      <c r="T18" s="38">
        <f t="shared" si="3"/>
        <v>0</v>
      </c>
      <c r="U18" s="37">
        <f>IF(I18=0,0,VLOOKUP(I18,'00'!$A:$F,5,0))+X18</f>
        <v>37</v>
      </c>
      <c r="V18" s="37">
        <f>IF(I18=0,0,VLOOKUP(I18,'00'!$A$1:$F$65536,6,0))</f>
        <v>15</v>
      </c>
      <c r="W18" s="30"/>
      <c r="X18" s="30">
        <f t="shared" si="4"/>
        <v>0</v>
      </c>
      <c r="Y18" s="31">
        <f t="shared" si="5"/>
        <v>41.6</v>
      </c>
      <c r="Z18" s="71">
        <f t="shared" si="6"/>
        <v>1216</v>
      </c>
      <c r="AA18" s="71">
        <f t="shared" si="7"/>
        <v>1216</v>
      </c>
      <c r="AB18" s="71">
        <f t="shared" si="8"/>
        <v>0</v>
      </c>
      <c r="AC18" s="71">
        <f t="shared" si="10"/>
        <v>481</v>
      </c>
    </row>
    <row r="19" spans="1:29" s="31" customFormat="1" ht="13.5" thickTop="1" thickBot="1">
      <c r="A19" s="32">
        <v>270067</v>
      </c>
      <c r="B19" s="3" t="str">
        <f>IF(A19=0,0,VLOOKUP(A19,'00'!$A$1:$F$65536,2,0))</f>
        <v>DES701(0)</v>
      </c>
      <c r="C19" s="5">
        <v>17</v>
      </c>
      <c r="D19" s="3" t="str">
        <f>IF(C19=0,0,VLOOKUP(C19,'01'!$A$2:$B$98,2,0))</f>
        <v>淮安</v>
      </c>
      <c r="E19" s="12">
        <v>24</v>
      </c>
      <c r="F19" s="33" t="s">
        <v>1</v>
      </c>
      <c r="G19" s="34">
        <f t="shared" si="0"/>
        <v>1000000</v>
      </c>
      <c r="H19" s="206" t="e">
        <f>IF(A19=0,0,VLOOKUP(A19,'00'!$A:$F,4,0))</f>
        <v>#N/A</v>
      </c>
      <c r="I19" s="162">
        <v>270143</v>
      </c>
      <c r="J19" s="34" t="str">
        <f>IF(I19=0,0,VLOOKUP(I19,'00'!$A$1:$F$65536,2,0))</f>
        <v>DJS702(1)</v>
      </c>
      <c r="K19" s="10">
        <v>7</v>
      </c>
      <c r="L19" s="7" t="str">
        <f>IF(K19=0,0,VLOOKUP(K19,'01'!$A$2:$B$98,2,0))</f>
        <v>申翔</v>
      </c>
      <c r="M19" s="39">
        <v>8</v>
      </c>
      <c r="N19" s="33" t="s">
        <v>0</v>
      </c>
      <c r="O19" s="35">
        <f t="shared" si="1"/>
        <v>1</v>
      </c>
      <c r="P19" s="43">
        <f>IF(I19=0,0,VLOOKUP(I19,'00'!$A:$F,4,0))</f>
        <v>1082516</v>
      </c>
      <c r="Q19" s="37">
        <f>IF(A19=0,0,VLOOKUP(A19,'00'!$A$1:$F$65536,5,0))</f>
        <v>155</v>
      </c>
      <c r="R19" s="37">
        <f>IF(A19=0,0,VLOOKUP(A19,'00'!$A$1:$G$65536,6,0))</f>
        <v>5.3</v>
      </c>
      <c r="S19" s="38">
        <f t="shared" si="2"/>
        <v>1</v>
      </c>
      <c r="T19" s="38">
        <f t="shared" si="3"/>
        <v>0</v>
      </c>
      <c r="U19" s="37">
        <f>IF(I19=0,0,VLOOKUP(I19,'00'!$A:$F,5,0))+X19</f>
        <v>37</v>
      </c>
      <c r="V19" s="37">
        <f>IF(I19=0,0,VLOOKUP(I19,'00'!$A$1:$F$65536,6,0))</f>
        <v>15</v>
      </c>
      <c r="W19" s="30"/>
      <c r="X19" s="30">
        <f t="shared" si="4"/>
        <v>0</v>
      </c>
      <c r="Y19" s="31">
        <f>E19*R19</f>
        <v>127.19999999999999</v>
      </c>
      <c r="Z19" s="71">
        <f>+E19*Q19</f>
        <v>3720</v>
      </c>
      <c r="AA19" s="71">
        <f t="shared" si="7"/>
        <v>3720</v>
      </c>
      <c r="AB19" s="71">
        <f t="shared" si="8"/>
        <v>0</v>
      </c>
      <c r="AC19" s="71">
        <f t="shared" si="10"/>
        <v>296</v>
      </c>
    </row>
    <row r="20" spans="1:29" s="31" customFormat="1" ht="13.5" thickTop="1" thickBot="1">
      <c r="A20" s="32">
        <v>270002</v>
      </c>
      <c r="B20" s="3" t="str">
        <f>IF(A20=0,0,VLOOKUP(A20,'00'!$A$1:$F$65536,2,0))</f>
        <v>DES952(0)</v>
      </c>
      <c r="C20" s="204">
        <v>17</v>
      </c>
      <c r="D20" s="199" t="str">
        <f>IF(C20=0,0,VLOOKUP(C20,'01'!$A$2:$B$98,2,0))</f>
        <v>淮安</v>
      </c>
      <c r="E20" s="205">
        <v>8</v>
      </c>
      <c r="F20" s="33" t="s">
        <v>1</v>
      </c>
      <c r="G20" s="34">
        <f t="shared" si="0"/>
        <v>1000000</v>
      </c>
      <c r="H20" s="206">
        <f>IF(A20=0,0,VLOOKUP(A20,'00'!$A:$F,4,0))</f>
        <v>1082531</v>
      </c>
      <c r="I20" s="162">
        <v>270041</v>
      </c>
      <c r="J20" s="34" t="str">
        <f>IF(I20=0,0,VLOOKUP(I20,'00'!$A$1:$F$65536,2,0))</f>
        <v>DJS401(1)</v>
      </c>
      <c r="K20" s="10">
        <v>7</v>
      </c>
      <c r="L20" s="7" t="str">
        <f>IF(K20=0,0,VLOOKUP(K20,'01'!$A$2:$B$98,2,0))</f>
        <v>申翔</v>
      </c>
      <c r="M20" s="39">
        <v>1</v>
      </c>
      <c r="N20" s="33" t="s">
        <v>0</v>
      </c>
      <c r="O20" s="35">
        <f t="shared" si="1"/>
        <v>1</v>
      </c>
      <c r="P20" s="43">
        <f>IF(I20=0,0,VLOOKUP(I20,'00'!$A:$F,4,0))</f>
        <v>1082520</v>
      </c>
      <c r="Q20" s="37">
        <f>IF(A20=0,0,VLOOKUP(A20,'00'!$A$1:$F$65536,5,0))</f>
        <v>142</v>
      </c>
      <c r="R20" s="37">
        <f>IF(A20=0,0,VLOOKUP(A20,'00'!$A$1:$G$65536,6,0))</f>
        <v>5.4</v>
      </c>
      <c r="S20" s="38">
        <f t="shared" si="2"/>
        <v>1</v>
      </c>
      <c r="T20" s="38">
        <f t="shared" si="3"/>
        <v>0</v>
      </c>
      <c r="U20" s="37">
        <f>IF(I20=0,0,VLOOKUP(I20,'00'!$A:$F,5,0))+X20</f>
        <v>37</v>
      </c>
      <c r="V20" s="37">
        <f>IF(I20=0,0,VLOOKUP(I20,'00'!$A$1:$F$65536,6,0))</f>
        <v>15</v>
      </c>
      <c r="W20" s="30"/>
      <c r="X20" s="30">
        <f t="shared" si="4"/>
        <v>0</v>
      </c>
      <c r="Y20" s="31">
        <f>E20*R20</f>
        <v>43.2</v>
      </c>
      <c r="Z20" s="71">
        <f>+E20*Q20</f>
        <v>1136</v>
      </c>
      <c r="AA20" s="71">
        <f t="shared" si="7"/>
        <v>1136</v>
      </c>
      <c r="AB20" s="71">
        <f t="shared" si="8"/>
        <v>0</v>
      </c>
      <c r="AC20" s="71">
        <f t="shared" si="10"/>
        <v>37</v>
      </c>
    </row>
    <row r="21" spans="1:29" s="31" customFormat="1" ht="13.5" thickTop="1" thickBot="1">
      <c r="A21" s="152">
        <v>270002</v>
      </c>
      <c r="B21" s="3" t="str">
        <f>IF(A21=0,0,VLOOKUP(A21,'00'!$A$1:$F$65536,2,0))</f>
        <v>DES952(0)</v>
      </c>
      <c r="C21" s="5">
        <v>16</v>
      </c>
      <c r="D21" s="3" t="str">
        <f>IF(C21=0,0,VLOOKUP(C21,'01'!$A$2:$B$98,2,0))</f>
        <v>广州</v>
      </c>
      <c r="E21" s="12">
        <v>16</v>
      </c>
      <c r="F21" s="33" t="s">
        <v>1</v>
      </c>
      <c r="G21" s="34">
        <f t="shared" si="0"/>
        <v>1000000</v>
      </c>
      <c r="H21" s="206">
        <f>IF(A21=0,0,VLOOKUP(A21,'00'!$A:$F,4,0))</f>
        <v>1082531</v>
      </c>
      <c r="I21" s="162"/>
      <c r="J21" s="34">
        <f>IF(I21=0,0,VLOOKUP(I21,'00'!$A$1:$F$65536,2,0))</f>
        <v>0</v>
      </c>
      <c r="K21" s="10"/>
      <c r="L21" s="7">
        <f>IF(K21=0,0,VLOOKUP(K21,'01'!$A$2:$B$98,2,0))</f>
        <v>0</v>
      </c>
      <c r="M21" s="39"/>
      <c r="N21" s="33" t="s">
        <v>0</v>
      </c>
      <c r="O21" s="41">
        <f t="shared" si="1"/>
        <v>1</v>
      </c>
      <c r="P21" s="42">
        <f>IF(I21=0,0,VLOOKUP(I21,'00'!$A:$F,4,0))</f>
        <v>0</v>
      </c>
      <c r="Q21" s="37">
        <f>IF(A21=0,0,VLOOKUP(A21,'00'!$A$1:$F$65536,5,0))</f>
        <v>142</v>
      </c>
      <c r="R21" s="37">
        <f>IF(A21=0,0,VLOOKUP(A21,'00'!$A$1:$G$65536,6,0))</f>
        <v>5.4</v>
      </c>
      <c r="S21" s="38">
        <f t="shared" si="2"/>
        <v>1</v>
      </c>
      <c r="T21" s="38">
        <f t="shared" si="3"/>
        <v>0</v>
      </c>
      <c r="U21" s="37">
        <f>IF(I21=0,0,VLOOKUP(I21,'00'!$A:$F,5,0))+X21</f>
        <v>0</v>
      </c>
      <c r="V21" s="37">
        <f>IF(I21=0,0,VLOOKUP(I21,'00'!$A$1:$F$65536,6,0))</f>
        <v>0</v>
      </c>
      <c r="W21" s="30"/>
      <c r="X21" s="30">
        <f t="shared" si="4"/>
        <v>0</v>
      </c>
      <c r="Y21" s="31">
        <f>E21*R21</f>
        <v>86.4</v>
      </c>
      <c r="Z21" s="71">
        <f>+E21*Q21</f>
        <v>2272</v>
      </c>
      <c r="AA21" s="71">
        <f t="shared" si="7"/>
        <v>2272</v>
      </c>
      <c r="AB21" s="71">
        <f t="shared" si="8"/>
        <v>0</v>
      </c>
      <c r="AC21" s="71">
        <f t="shared" si="10"/>
        <v>0</v>
      </c>
    </row>
    <row r="22" spans="1:29" s="31" customFormat="1" ht="13.5" thickTop="1" thickBot="1">
      <c r="A22" s="32"/>
      <c r="B22" s="3">
        <f>IF(A22=0,0,VLOOKUP(A22,'00'!$A$1:$F$65536,2,0))</f>
        <v>0</v>
      </c>
      <c r="C22" s="5"/>
      <c r="D22" s="3">
        <f>IF(C22=0,0,VLOOKUP(C22,'01'!$A$2:$B$98,2,0))</f>
        <v>0</v>
      </c>
      <c r="E22" s="12"/>
      <c r="F22" s="33" t="s">
        <v>1</v>
      </c>
      <c r="G22" s="34">
        <f t="shared" si="0"/>
        <v>1000000</v>
      </c>
      <c r="H22" s="206">
        <f>IF(A22=0,0,VLOOKUP(A22,'00'!$A:$F,4,0))</f>
        <v>0</v>
      </c>
      <c r="I22" s="125"/>
      <c r="J22" s="34">
        <f>IF(I22=0,0,VLOOKUP(I22,'00'!$A$1:$F$65536,2,0))</f>
        <v>0</v>
      </c>
      <c r="K22" s="34"/>
      <c r="L22" s="7">
        <f>IF(K22=0,0,VLOOKUP(K22,'01'!$A$2:$B$98,2,0))</f>
        <v>0</v>
      </c>
      <c r="M22" s="39"/>
      <c r="N22" s="33" t="s">
        <v>0</v>
      </c>
      <c r="O22" s="35">
        <f t="shared" si="1"/>
        <v>1</v>
      </c>
      <c r="P22" s="43">
        <f>IF(I22=0,0,VLOOKUP(I22,'00'!$A:$F,4,0))</f>
        <v>0</v>
      </c>
      <c r="Q22" s="37">
        <f>IF(A22=0,0,VLOOKUP(A22,'00'!$A$1:$F$65536,5,0))</f>
        <v>0</v>
      </c>
      <c r="R22" s="37">
        <f>IF(A22=0,0,VLOOKUP(A22,'00'!$A$1:$G$65536,6,0))</f>
        <v>0</v>
      </c>
      <c r="S22" s="38">
        <f t="shared" si="2"/>
        <v>0</v>
      </c>
      <c r="T22" s="38">
        <f t="shared" si="3"/>
        <v>0</v>
      </c>
      <c r="U22" s="37">
        <f>IF(I22=0,0,VLOOKUP(I22,'00'!$A:$F,5,0))+X22</f>
        <v>0</v>
      </c>
      <c r="V22" s="37">
        <f>IF(I22=0,0,VLOOKUP(I22,'00'!$A$1:$F$65536,6,0))</f>
        <v>0</v>
      </c>
      <c r="W22" s="30"/>
      <c r="X22" s="30">
        <f t="shared" si="4"/>
        <v>0</v>
      </c>
      <c r="Y22" s="31">
        <f t="shared" si="5"/>
        <v>0</v>
      </c>
      <c r="Z22" s="71">
        <f t="shared" si="6"/>
        <v>0</v>
      </c>
      <c r="AA22" s="71">
        <f t="shared" si="7"/>
        <v>0</v>
      </c>
      <c r="AB22" s="71">
        <f t="shared" si="8"/>
        <v>0</v>
      </c>
      <c r="AC22" s="71">
        <f t="shared" si="10"/>
        <v>0</v>
      </c>
    </row>
    <row r="23" spans="1:29" s="31" customFormat="1" ht="13.5" thickTop="1" thickBot="1">
      <c r="A23" s="32"/>
      <c r="B23" s="3">
        <f>IF(A23=0,0,VLOOKUP(A23,'00'!$A$1:$F$65536,2,0))</f>
        <v>0</v>
      </c>
      <c r="C23" s="5"/>
      <c r="D23" s="3">
        <f>IF(C23=0,0,VLOOKUP(C23,'01'!$A$2:$B$98,2,0))</f>
        <v>0</v>
      </c>
      <c r="E23" s="12"/>
      <c r="F23" s="33" t="s">
        <v>1</v>
      </c>
      <c r="G23" s="34">
        <f t="shared" si="0"/>
        <v>1000000</v>
      </c>
      <c r="H23" s="206">
        <f>IF(A23=0,0,VLOOKUP(A23,'00'!$A:$F,4,0))</f>
        <v>0</v>
      </c>
      <c r="I23" s="125"/>
      <c r="J23" s="34">
        <f>IF(I23=0,0,VLOOKUP(I23,'00'!$A$1:$F$65536,2,0))</f>
        <v>0</v>
      </c>
      <c r="K23" s="34"/>
      <c r="L23" s="7">
        <f>IF(K23=0,0,VLOOKUP(K23,'01'!$A$2:$B$98,2,0))</f>
        <v>0</v>
      </c>
      <c r="M23" s="39"/>
      <c r="N23" s="33" t="s">
        <v>0</v>
      </c>
      <c r="O23" s="35">
        <f t="shared" si="1"/>
        <v>1</v>
      </c>
      <c r="P23" s="43">
        <f>IF(I23=0,0,VLOOKUP(I23,'00'!$A:$F,4,0))</f>
        <v>0</v>
      </c>
      <c r="Q23" s="37">
        <f>IF(A23=0,0,VLOOKUP(A23,'00'!$A$1:$F$65536,5,0))</f>
        <v>0</v>
      </c>
      <c r="R23" s="37">
        <f>IF(A23=0,0,VLOOKUP(A23,'00'!$A$1:$G$65536,6,0))</f>
        <v>0</v>
      </c>
      <c r="S23" s="38">
        <f t="shared" si="2"/>
        <v>0</v>
      </c>
      <c r="T23" s="38">
        <f t="shared" si="3"/>
        <v>0</v>
      </c>
      <c r="U23" s="37">
        <f>IF(I23=0,0,VLOOKUP(I23,'00'!$A:$F,5,0))+X23</f>
        <v>0</v>
      </c>
      <c r="V23" s="37">
        <f>IF(I23=0,0,VLOOKUP(I23,'00'!$A$1:$F$65536,6,0))</f>
        <v>0</v>
      </c>
      <c r="W23" s="30"/>
      <c r="X23" s="30">
        <f t="shared" si="4"/>
        <v>0</v>
      </c>
      <c r="Y23" s="31">
        <f t="shared" si="5"/>
        <v>0</v>
      </c>
      <c r="Z23" s="71">
        <f t="shared" si="6"/>
        <v>0</v>
      </c>
      <c r="AA23" s="71">
        <f t="shared" si="7"/>
        <v>0</v>
      </c>
      <c r="AB23" s="71">
        <f t="shared" si="8"/>
        <v>0</v>
      </c>
      <c r="AC23" s="71">
        <f t="shared" si="10"/>
        <v>0</v>
      </c>
    </row>
    <row r="24" spans="1:29" s="31" customFormat="1" ht="13.5" thickTop="1" thickBot="1">
      <c r="A24" s="32"/>
      <c r="B24" s="3">
        <f>IF(A24=0,0,VLOOKUP(A24,'00'!$A$1:$F$65536,2,0))</f>
        <v>0</v>
      </c>
      <c r="C24" s="5"/>
      <c r="D24" s="3">
        <f>IF(C24=0,0,VLOOKUP(C24,'01'!$A$2:$B$98,2,0))</f>
        <v>0</v>
      </c>
      <c r="E24" s="12"/>
      <c r="F24" s="33" t="s">
        <v>1</v>
      </c>
      <c r="G24" s="34">
        <f t="shared" si="0"/>
        <v>1000000</v>
      </c>
      <c r="H24" s="206">
        <f>IF(A24=0,0,VLOOKUP(A24,'00'!$A:$F,4,0))</f>
        <v>0</v>
      </c>
      <c r="I24" s="125"/>
      <c r="J24" s="34">
        <f>IF(I24=0,0,VLOOKUP(I24,'00'!$A$1:$F$65536,2,0))</f>
        <v>0</v>
      </c>
      <c r="K24" s="10"/>
      <c r="L24" s="7">
        <f>IF(K24=0,0,VLOOKUP(K24,'01'!$A$2:$B$98,2,0))</f>
        <v>0</v>
      </c>
      <c r="M24" s="97"/>
      <c r="N24" s="78" t="s">
        <v>0</v>
      </c>
      <c r="O24" s="47">
        <f t="shared" si="1"/>
        <v>1</v>
      </c>
      <c r="P24" s="79">
        <f>IF(I24=0,0,VLOOKUP(I24,'00'!$A:$F,4,0))</f>
        <v>0</v>
      </c>
      <c r="Q24" s="37">
        <f>IF(A24=0,0,VLOOKUP(A24,'00'!$A$1:$F$65536,5,0))</f>
        <v>0</v>
      </c>
      <c r="R24" s="37">
        <f>IF(A24=0,0,VLOOKUP(A24,'00'!$A$1:$G$65536,6,0))</f>
        <v>0</v>
      </c>
      <c r="S24" s="38">
        <f t="shared" si="2"/>
        <v>0</v>
      </c>
      <c r="T24" s="38">
        <f t="shared" si="3"/>
        <v>0</v>
      </c>
      <c r="U24" s="37">
        <f>IF(I24=0,0,VLOOKUP(I24,'00'!$A:$F,5,0))+X24</f>
        <v>0</v>
      </c>
      <c r="V24" s="37">
        <f>IF(I24=0,0,VLOOKUP(I24,'00'!$A$1:$F$65536,6,0))</f>
        <v>0</v>
      </c>
      <c r="W24" s="30"/>
      <c r="X24" s="30">
        <f t="shared" si="4"/>
        <v>0</v>
      </c>
      <c r="Y24" s="31">
        <f t="shared" si="5"/>
        <v>0</v>
      </c>
      <c r="Z24" s="71">
        <f t="shared" si="6"/>
        <v>0</v>
      </c>
      <c r="AA24" s="71">
        <f t="shared" si="7"/>
        <v>0</v>
      </c>
      <c r="AB24" s="71">
        <f t="shared" si="8"/>
        <v>0</v>
      </c>
      <c r="AC24" s="71">
        <f t="shared" si="10"/>
        <v>0</v>
      </c>
    </row>
    <row r="25" spans="1:29" s="31" customFormat="1" ht="13.5" thickTop="1" thickBot="1">
      <c r="A25" s="32"/>
      <c r="B25" s="3">
        <f>IF(A25=0,0,VLOOKUP(A25,'00'!$A$1:$F$65536,2,0))</f>
        <v>0</v>
      </c>
      <c r="C25" s="5"/>
      <c r="D25" s="3">
        <f>IF(C25=0,0,VLOOKUP(C25,'01'!$A$2:$B$98,2,0))</f>
        <v>0</v>
      </c>
      <c r="E25" s="12"/>
      <c r="F25" s="33" t="s">
        <v>1</v>
      </c>
      <c r="G25" s="34">
        <f t="shared" si="0"/>
        <v>1000000</v>
      </c>
      <c r="H25" s="206">
        <f>IF(A25=0,0,VLOOKUP(A25,'00'!$A:$F,4,0))</f>
        <v>0</v>
      </c>
      <c r="I25" s="125"/>
      <c r="J25" s="34">
        <f>IF(I25=0,0,VLOOKUP(I25,'00'!$A$1:$F$65536,2,0))</f>
        <v>0</v>
      </c>
      <c r="K25" s="34"/>
      <c r="L25" s="7">
        <f>IF(K25=0,0,VLOOKUP(K25,'01'!$A$2:$B$98,2,0))</f>
        <v>0</v>
      </c>
      <c r="M25" s="39"/>
      <c r="N25" s="33" t="s">
        <v>0</v>
      </c>
      <c r="O25" s="35">
        <f t="shared" si="1"/>
        <v>1</v>
      </c>
      <c r="P25" s="43">
        <f>IF(I25=0,0,VLOOKUP(I25,'00'!$A:$F,4,0))</f>
        <v>0</v>
      </c>
      <c r="Q25" s="37">
        <f>IF(A25=0,0,VLOOKUP(A25,'00'!$A$1:$F$65536,5,0))</f>
        <v>0</v>
      </c>
      <c r="R25" s="37">
        <f>IF(A25=0,0,VLOOKUP(A25,'00'!$A$1:$G$65536,6,0))</f>
        <v>0</v>
      </c>
      <c r="S25" s="38">
        <f t="shared" si="2"/>
        <v>0</v>
      </c>
      <c r="T25" s="38">
        <f t="shared" si="3"/>
        <v>0</v>
      </c>
      <c r="U25" s="37">
        <f>IF(I25=0,0,VLOOKUP(I25,'00'!$A:$F,5,0))+X25</f>
        <v>0</v>
      </c>
      <c r="V25" s="37">
        <f>IF(I25=0,0,VLOOKUP(I25,'00'!$A$1:$F$65536,6,0))</f>
        <v>0</v>
      </c>
      <c r="W25" s="30">
        <v>0</v>
      </c>
      <c r="X25" s="30">
        <f t="shared" si="4"/>
        <v>0</v>
      </c>
      <c r="Y25" s="31">
        <f t="shared" si="5"/>
        <v>0</v>
      </c>
      <c r="Z25" s="71">
        <f t="shared" si="6"/>
        <v>0</v>
      </c>
      <c r="AA25" s="71">
        <f t="shared" si="7"/>
        <v>0</v>
      </c>
      <c r="AB25" s="71">
        <f t="shared" si="8"/>
        <v>0</v>
      </c>
      <c r="AC25" s="71">
        <f t="shared" si="10"/>
        <v>0</v>
      </c>
    </row>
    <row r="26" spans="1:29" s="31" customFormat="1" ht="13.5" thickTop="1" thickBot="1">
      <c r="A26" s="32"/>
      <c r="B26" s="3">
        <f>IF(A26=0,0,VLOOKUP(A26,'00'!$A$1:$F$65536,2,0))</f>
        <v>0</v>
      </c>
      <c r="C26" s="5"/>
      <c r="D26" s="3">
        <f>IF(C26=0,0,VLOOKUP(C26,'01'!$A$2:$B$98,2,0))</f>
        <v>0</v>
      </c>
      <c r="E26" s="12"/>
      <c r="F26" s="33" t="s">
        <v>1</v>
      </c>
      <c r="G26" s="34">
        <f t="shared" si="0"/>
        <v>1000000</v>
      </c>
      <c r="H26" s="206">
        <f>IF(A26=0,0,VLOOKUP(A26,'00'!$A:$F,4,0))</f>
        <v>0</v>
      </c>
      <c r="I26" s="92"/>
      <c r="J26" s="34">
        <f>IF(I26=0,0,VLOOKUP(I26,'00'!$A$1:$F$65536,2,0))</f>
        <v>0</v>
      </c>
      <c r="K26" s="87"/>
      <c r="L26" s="88">
        <f>IF(K26=0,0,VLOOKUP(K26,'01'!$A$2:$B$98,2,0))</f>
        <v>0</v>
      </c>
      <c r="M26" s="93"/>
      <c r="N26" s="89" t="s">
        <v>0</v>
      </c>
      <c r="O26" s="90">
        <f t="shared" si="1"/>
        <v>1</v>
      </c>
      <c r="P26" s="91">
        <f>IF(I26=0,0,VLOOKUP(I26,'00'!$A:$F,4,0))</f>
        <v>0</v>
      </c>
      <c r="Q26" s="37">
        <f>IF(A26=0,0,VLOOKUP(A26,'00'!$A$1:$F$65536,5,0))</f>
        <v>0</v>
      </c>
      <c r="R26" s="37">
        <f>IF(A26=0,0,VLOOKUP(A26,'00'!$A$1:$G$65536,6,0))</f>
        <v>0</v>
      </c>
      <c r="S26" s="38">
        <f t="shared" si="2"/>
        <v>0</v>
      </c>
      <c r="T26" s="38">
        <f t="shared" si="3"/>
        <v>0</v>
      </c>
      <c r="U26" s="37">
        <f>IF(I26=0,0,VLOOKUP(I26,'00'!$A:$F,5,0))+X26</f>
        <v>0</v>
      </c>
      <c r="V26" s="37">
        <f>IF(I26=0,0,VLOOKUP(I26,'00'!$A$1:$F$65536,6,0))</f>
        <v>0</v>
      </c>
      <c r="W26" s="30"/>
      <c r="X26" s="30">
        <f t="shared" si="4"/>
        <v>0</v>
      </c>
      <c r="Y26" s="31">
        <f t="shared" si="5"/>
        <v>0</v>
      </c>
      <c r="Z26" s="71">
        <f t="shared" si="6"/>
        <v>0</v>
      </c>
      <c r="AA26" s="71">
        <f t="shared" si="7"/>
        <v>0</v>
      </c>
      <c r="AB26" s="71">
        <f t="shared" si="8"/>
        <v>0</v>
      </c>
      <c r="AC26" s="71">
        <f t="shared" si="10"/>
        <v>0</v>
      </c>
    </row>
    <row r="27" spans="1:29" s="31" customFormat="1" ht="13.5" thickTop="1" thickBot="1">
      <c r="A27" s="32"/>
      <c r="B27" s="3">
        <f>IF(A27=0,0,VLOOKUP(A27,'00'!$A$1:$F$65536,2,0))</f>
        <v>0</v>
      </c>
      <c r="C27" s="5"/>
      <c r="D27" s="3">
        <f>IF(C27=0,0,VLOOKUP(C27,'01'!$A$2:$B$98,2,0))</f>
        <v>0</v>
      </c>
      <c r="E27" s="12"/>
      <c r="F27" s="33" t="s">
        <v>1</v>
      </c>
      <c r="G27" s="34">
        <f t="shared" si="0"/>
        <v>1000000</v>
      </c>
      <c r="H27" s="206">
        <f>IF(A27=0,0,VLOOKUP(A27,'00'!$A:$F,4,0))</f>
        <v>0</v>
      </c>
      <c r="I27" s="9">
        <v>270098</v>
      </c>
      <c r="J27" s="127" t="str">
        <f>IF(I27=0,0,VLOOKUP(I27,'00'!$A$1:$F$65536,2,0))</f>
        <v>DJS601薄片</v>
      </c>
      <c r="K27" s="10">
        <v>20</v>
      </c>
      <c r="L27" s="11" t="str">
        <f>IF(K27=0,0,VLOOKUP(K27,'01'!$A$2:$B$98,2,0))</f>
        <v>约定</v>
      </c>
      <c r="M27" s="13" t="s">
        <v>353</v>
      </c>
      <c r="N27" s="40" t="s">
        <v>1</v>
      </c>
      <c r="O27" s="41">
        <f t="shared" si="1"/>
        <v>10000</v>
      </c>
      <c r="P27" s="42">
        <f>IF(I27=0,0,VLOOKUP(I27,'00'!$A:$F,4,0))</f>
        <v>1082522</v>
      </c>
      <c r="Q27" s="37">
        <f>IF(A27=0,0,VLOOKUP(A27,'00'!$A$1:$F$65536,5,0))</f>
        <v>0</v>
      </c>
      <c r="R27" s="37">
        <f>IF(A27=0,0,VLOOKUP(A27,'00'!$A$1:$G$65536,6,0))</f>
        <v>0</v>
      </c>
      <c r="S27" s="38">
        <f t="shared" si="2"/>
        <v>0</v>
      </c>
      <c r="T27" s="38">
        <f t="shared" si="3"/>
        <v>0</v>
      </c>
      <c r="U27" s="37">
        <f>IF(I27=0,0,VLOOKUP(I27,'00'!$A:$F,5,0))+X27</f>
        <v>0</v>
      </c>
      <c r="V27" s="37">
        <f>IF(I27=0,0,VLOOKUP(I27,'00'!$A$1:$F$65536,6,0))</f>
        <v>1.5</v>
      </c>
      <c r="W27" s="37">
        <v>65</v>
      </c>
      <c r="X27" s="30">
        <f t="shared" si="4"/>
        <v>0</v>
      </c>
      <c r="Y27" s="31">
        <f t="shared" si="5"/>
        <v>0</v>
      </c>
      <c r="Z27" s="71">
        <f t="shared" si="6"/>
        <v>0</v>
      </c>
      <c r="AA27" s="71">
        <f t="shared" si="7"/>
        <v>0</v>
      </c>
      <c r="AB27" s="71">
        <f t="shared" si="8"/>
        <v>0</v>
      </c>
      <c r="AC27" s="71"/>
    </row>
    <row r="28" spans="1:29" s="31" customFormat="1" ht="13.5" thickTop="1" thickBot="1">
      <c r="A28" s="32"/>
      <c r="B28" s="3">
        <f>IF(A28=0,0,VLOOKUP(A28,'00'!$A$1:$F$65536,2,0))</f>
        <v>0</v>
      </c>
      <c r="C28" s="5"/>
      <c r="D28" s="3">
        <f>IF(C28=0,0,VLOOKUP(C28,'01'!$A$2:$B$98,2,0))</f>
        <v>0</v>
      </c>
      <c r="E28" s="12"/>
      <c r="F28" s="33" t="s">
        <v>1</v>
      </c>
      <c r="G28" s="34">
        <f t="shared" si="0"/>
        <v>1000000</v>
      </c>
      <c r="H28" s="206">
        <f>IF(A28=0,0,VLOOKUP(A28,'00'!$A:$F,4,0))</f>
        <v>0</v>
      </c>
      <c r="I28" s="162">
        <v>270310</v>
      </c>
      <c r="J28" s="34" t="str">
        <f>IF(I28=0,0,VLOOKUP(I28,'00'!$A$1:$F$65536,2,0))</f>
        <v>DJS704(1)</v>
      </c>
      <c r="K28" s="10">
        <v>23</v>
      </c>
      <c r="L28" s="7" t="str">
        <f>IF(K28=0,0,VLOOKUP(K28,'01'!$A$2:$B$98,2,0))</f>
        <v>三区</v>
      </c>
      <c r="M28" s="39">
        <v>1</v>
      </c>
      <c r="N28" s="33" t="s">
        <v>1</v>
      </c>
      <c r="O28" s="35">
        <f t="shared" si="1"/>
        <v>10000</v>
      </c>
      <c r="P28" s="43" t="e">
        <f>IF(I28=0,0,VLOOKUP(I28,'00'!$A:$F,4,0))</f>
        <v>#N/A</v>
      </c>
      <c r="Q28" s="37">
        <f>IF(A28=0,0,VLOOKUP(A28,'00'!$A$1:$F$65536,5,0))</f>
        <v>0</v>
      </c>
      <c r="R28" s="37">
        <f>IF(A28=0,0,VLOOKUP(A28,'00'!$A$1:$G$65536,6,0))</f>
        <v>0</v>
      </c>
      <c r="S28" s="38">
        <f t="shared" si="2"/>
        <v>0</v>
      </c>
      <c r="T28" s="38">
        <f t="shared" si="3"/>
        <v>0</v>
      </c>
      <c r="U28" s="37">
        <f>IF(I28=0,0,VLOOKUP(I28,'00'!$A:$F,5,0))+X28</f>
        <v>37</v>
      </c>
      <c r="V28" s="37">
        <f>IF(I28=0,0,VLOOKUP(I28,'00'!$A$1:$F$65536,6,0))</f>
        <v>15</v>
      </c>
      <c r="W28" s="30"/>
      <c r="X28" s="30">
        <f t="shared" si="4"/>
        <v>0</v>
      </c>
      <c r="Y28" s="31">
        <f t="shared" si="5"/>
        <v>0</v>
      </c>
      <c r="Z28" s="71">
        <f t="shared" si="6"/>
        <v>0</v>
      </c>
      <c r="AA28" s="71">
        <f t="shared" si="7"/>
        <v>0</v>
      </c>
      <c r="AB28" s="71">
        <f t="shared" si="8"/>
        <v>0</v>
      </c>
      <c r="AC28" s="71">
        <f t="shared" ref="AC28:AC37" si="11">+U28*M28</f>
        <v>37</v>
      </c>
    </row>
    <row r="29" spans="1:29" s="31" customFormat="1" ht="13.5" thickTop="1" thickBot="1">
      <c r="A29" s="32"/>
      <c r="B29" s="3">
        <f>IF(A29=0,0,VLOOKUP(A29,'00'!$A$1:$F$65536,2,0))</f>
        <v>0</v>
      </c>
      <c r="C29" s="5"/>
      <c r="D29" s="3">
        <f>IF(C29=0,0,VLOOKUP(C29,'01'!$A$2:$B$98,2,0))</f>
        <v>0</v>
      </c>
      <c r="E29" s="12"/>
      <c r="F29" s="33" t="s">
        <v>1</v>
      </c>
      <c r="G29" s="34">
        <f t="shared" si="0"/>
        <v>1000000</v>
      </c>
      <c r="H29" s="206">
        <f>IF(A29=0,0,VLOOKUP(A29,'00'!$A:$F,4,0))</f>
        <v>0</v>
      </c>
      <c r="I29" s="125">
        <v>270143</v>
      </c>
      <c r="J29" s="34" t="str">
        <f>IF(I29=0,0,VLOOKUP(I29,'00'!$A$1:$F$65536,2,0))</f>
        <v>DJS702(1)</v>
      </c>
      <c r="K29" s="10">
        <v>23</v>
      </c>
      <c r="L29" s="7" t="str">
        <f>IF(K29=0,0,VLOOKUP(K29,'01'!$A$2:$B$98,2,0))</f>
        <v>三区</v>
      </c>
      <c r="M29" s="97">
        <v>1</v>
      </c>
      <c r="N29" s="33" t="s">
        <v>1</v>
      </c>
      <c r="O29" s="35">
        <f t="shared" si="1"/>
        <v>10000</v>
      </c>
      <c r="P29" s="43">
        <f>IF(I29=0,0,VLOOKUP(I29,'00'!$A:$F,4,0))</f>
        <v>1082516</v>
      </c>
      <c r="Q29" s="37">
        <f>IF(A29=0,0,VLOOKUP(A29,'00'!$A$1:$F$65536,5,0))</f>
        <v>0</v>
      </c>
      <c r="R29" s="37">
        <f>IF(A29=0,0,VLOOKUP(A29,'00'!$A$1:$G$65536,6,0))</f>
        <v>0</v>
      </c>
      <c r="S29" s="38">
        <f t="shared" si="2"/>
        <v>0</v>
      </c>
      <c r="T29" s="38">
        <f t="shared" si="3"/>
        <v>0</v>
      </c>
      <c r="U29" s="37">
        <f>IF(I29=0,0,VLOOKUP(I29,'00'!$A:$F,5,0))+X29</f>
        <v>37</v>
      </c>
      <c r="V29" s="37">
        <f>IF(I29=0,0,VLOOKUP(I29,'00'!$A$1:$F$65536,6,0))</f>
        <v>15</v>
      </c>
      <c r="W29" s="30"/>
      <c r="X29" s="30">
        <f t="shared" si="4"/>
        <v>0</v>
      </c>
      <c r="Y29" s="31">
        <f t="shared" si="5"/>
        <v>0</v>
      </c>
      <c r="Z29" s="71">
        <f t="shared" si="6"/>
        <v>0</v>
      </c>
      <c r="AA29" s="71">
        <f t="shared" si="7"/>
        <v>0</v>
      </c>
      <c r="AB29" s="71">
        <f t="shared" si="8"/>
        <v>0</v>
      </c>
      <c r="AC29" s="71">
        <f t="shared" si="11"/>
        <v>37</v>
      </c>
    </row>
    <row r="30" spans="1:29" s="31" customFormat="1" ht="13.5" thickTop="1" thickBot="1">
      <c r="A30" s="32"/>
      <c r="B30" s="3">
        <f>IF(A30=0,0,VLOOKUP(A30,'00'!$A$1:$F$65536,2,0))</f>
        <v>0</v>
      </c>
      <c r="C30" s="5"/>
      <c r="D30" s="3">
        <f>IF(C30=0,0,VLOOKUP(C30,'01'!$A$2:$B$98,2,0))</f>
        <v>0</v>
      </c>
      <c r="E30" s="12"/>
      <c r="F30" s="33" t="s">
        <v>1</v>
      </c>
      <c r="G30" s="34">
        <f t="shared" si="0"/>
        <v>1000000</v>
      </c>
      <c r="H30" s="206">
        <f>IF(A30=0,0,VLOOKUP(A30,'00'!$A:$F,4,0))</f>
        <v>0</v>
      </c>
      <c r="I30" s="125">
        <v>270389</v>
      </c>
      <c r="J30" s="34" t="str">
        <f>IF(I30=0,0,VLOOKUP(I30,'00'!$A$1:$F$65536,2,0))</f>
        <v>CES024(1)</v>
      </c>
      <c r="K30" s="10">
        <v>2</v>
      </c>
      <c r="L30" s="7" t="str">
        <f>IF(K30=0,0,VLOOKUP(K30,'01'!$A$2:$B$98,2,0))</f>
        <v>挤出</v>
      </c>
      <c r="M30" s="97">
        <v>8</v>
      </c>
      <c r="N30" s="33" t="s">
        <v>1</v>
      </c>
      <c r="O30" s="35">
        <f t="shared" si="1"/>
        <v>10000</v>
      </c>
      <c r="P30" s="43" t="e">
        <f>IF(I30=0,0,VLOOKUP(I30,'00'!$A:$F,4,0))</f>
        <v>#N/A</v>
      </c>
      <c r="Q30" s="37">
        <f>IF(A30=0,0,VLOOKUP(A30,'00'!$A$1:$F$65536,5,0))</f>
        <v>0</v>
      </c>
      <c r="R30" s="37">
        <f>IF(A30=0,0,VLOOKUP(A30,'00'!$A$1:$G$65536,6,0))</f>
        <v>0</v>
      </c>
      <c r="S30" s="38">
        <f t="shared" si="2"/>
        <v>0</v>
      </c>
      <c r="T30" s="38">
        <f t="shared" si="3"/>
        <v>0</v>
      </c>
      <c r="U30" s="37">
        <f>IF(I30=0,0,VLOOKUP(I30,'00'!$A:$F,5,0))+X30</f>
        <v>32</v>
      </c>
      <c r="V30" s="37">
        <f>IF(I30=0,0,VLOOKUP(I30,'00'!$A$1:$F$65536,6,0))</f>
        <v>30</v>
      </c>
      <c r="W30" s="30"/>
      <c r="X30" s="30">
        <f t="shared" si="4"/>
        <v>0</v>
      </c>
      <c r="Y30" s="31">
        <f t="shared" si="5"/>
        <v>0</v>
      </c>
      <c r="Z30" s="71">
        <f t="shared" si="6"/>
        <v>0</v>
      </c>
      <c r="AA30" s="71">
        <f t="shared" si="7"/>
        <v>0</v>
      </c>
      <c r="AB30" s="71">
        <f t="shared" si="8"/>
        <v>0</v>
      </c>
      <c r="AC30" s="71">
        <f t="shared" si="11"/>
        <v>256</v>
      </c>
    </row>
    <row r="31" spans="1:29" s="31" customFormat="1" ht="13.5" thickTop="1" thickBot="1">
      <c r="A31" s="32"/>
      <c r="B31" s="3">
        <f>IF(A31=0,0,VLOOKUP(A31,'00'!$A$1:$F$65536,2,0))</f>
        <v>0</v>
      </c>
      <c r="C31" s="5"/>
      <c r="D31" s="3">
        <f>IF(C31=0,0,VLOOKUP(C31,'01'!$A$2:$B$98,2,0))</f>
        <v>0</v>
      </c>
      <c r="E31" s="12"/>
      <c r="F31" s="33" t="s">
        <v>1</v>
      </c>
      <c r="G31" s="34">
        <f t="shared" si="0"/>
        <v>1000000</v>
      </c>
      <c r="H31" s="206">
        <f>IF(A31=0,0,VLOOKUP(A31,'00'!$A:$F,4,0))</f>
        <v>0</v>
      </c>
      <c r="I31" s="125"/>
      <c r="J31" s="34">
        <f>IF(I31=0,0,VLOOKUP(I31,'00'!$A$1:$F$65536,2,0))</f>
        <v>0</v>
      </c>
      <c r="K31" s="10"/>
      <c r="L31" s="7">
        <f>IF(K31=0,0,VLOOKUP(K31,'01'!$A$2:$B$98,2,0))</f>
        <v>0</v>
      </c>
      <c r="M31" s="97"/>
      <c r="N31" s="33" t="s">
        <v>1</v>
      </c>
      <c r="O31" s="35">
        <f t="shared" si="1"/>
        <v>10000</v>
      </c>
      <c r="P31" s="43">
        <f>IF(I31=0,0,VLOOKUP(I31,'00'!$A:$F,4,0))</f>
        <v>0</v>
      </c>
      <c r="Q31" s="37">
        <f>IF(A31=0,0,VLOOKUP(A31,'00'!$A$1:$F$65536,5,0))</f>
        <v>0</v>
      </c>
      <c r="R31" s="37">
        <f>IF(A31=0,0,VLOOKUP(A31,'00'!$A$1:$G$65536,6,0))</f>
        <v>0</v>
      </c>
      <c r="S31" s="38">
        <f t="shared" si="2"/>
        <v>0</v>
      </c>
      <c r="T31" s="38">
        <f t="shared" si="3"/>
        <v>0</v>
      </c>
      <c r="U31" s="37">
        <f>IF(I31=0,0,VLOOKUP(I31,'00'!$A:$F,5,0))+X31</f>
        <v>0</v>
      </c>
      <c r="V31" s="37">
        <f>IF(I31=0,0,VLOOKUP(I31,'00'!$A$1:$F$65536,6,0))</f>
        <v>0</v>
      </c>
      <c r="W31" s="30"/>
      <c r="X31" s="30">
        <f t="shared" si="4"/>
        <v>0</v>
      </c>
      <c r="Y31" s="31">
        <f t="shared" si="5"/>
        <v>0</v>
      </c>
      <c r="Z31" s="71">
        <f t="shared" si="6"/>
        <v>0</v>
      </c>
      <c r="AA31" s="71">
        <f t="shared" si="7"/>
        <v>0</v>
      </c>
      <c r="AB31" s="71">
        <f t="shared" si="8"/>
        <v>0</v>
      </c>
      <c r="AC31" s="71">
        <f t="shared" si="11"/>
        <v>0</v>
      </c>
    </row>
    <row r="32" spans="1:29" s="31" customFormat="1" ht="13.5" thickTop="1" thickBot="1">
      <c r="A32" s="32"/>
      <c r="B32" s="3">
        <f>IF(A32=0,0,VLOOKUP(A32,'00'!$A$1:$F$65536,2,0))</f>
        <v>0</v>
      </c>
      <c r="C32" s="5"/>
      <c r="D32" s="3">
        <f>IF(C32=0,0,VLOOKUP(C32,'01'!$A$2:$B$98,2,0))</f>
        <v>0</v>
      </c>
      <c r="E32" s="12"/>
      <c r="F32" s="33" t="s">
        <v>1</v>
      </c>
      <c r="G32" s="34">
        <f t="shared" si="0"/>
        <v>1000000</v>
      </c>
      <c r="H32" s="206">
        <f>IF(A32=0,0,VLOOKUP(A32,'00'!$A:$F,4,0))</f>
        <v>0</v>
      </c>
      <c r="I32" s="125"/>
      <c r="J32" s="34">
        <f>IF(I32=0,0,VLOOKUP(I32,'00'!$A$1:$F$65536,2,0))</f>
        <v>0</v>
      </c>
      <c r="K32" s="10"/>
      <c r="L32" s="7">
        <f>IF(K32=0,0,VLOOKUP(K32,'01'!$A$2:$B$98,2,0))</f>
        <v>0</v>
      </c>
      <c r="M32" s="97"/>
      <c r="N32" s="33" t="s">
        <v>1</v>
      </c>
      <c r="O32" s="35">
        <f t="shared" si="1"/>
        <v>10000</v>
      </c>
      <c r="P32" s="43">
        <f>IF(I32=0,0,VLOOKUP(I32,'00'!$A:$F,4,0))</f>
        <v>0</v>
      </c>
      <c r="Q32" s="37">
        <f>IF(A32=0,0,VLOOKUP(A32,'00'!$A$1:$F$65536,5,0))</f>
        <v>0</v>
      </c>
      <c r="R32" s="37">
        <f>IF(A32=0,0,VLOOKUP(A32,'00'!$A$1:$G$65536,6,0))</f>
        <v>0</v>
      </c>
      <c r="S32" s="38">
        <f t="shared" si="2"/>
        <v>0</v>
      </c>
      <c r="T32" s="38">
        <f t="shared" si="3"/>
        <v>0</v>
      </c>
      <c r="U32" s="37">
        <f>IF(I32=0,0,VLOOKUP(I32,'00'!$A:$F,5,0))+X32</f>
        <v>0</v>
      </c>
      <c r="V32" s="37">
        <f>IF(I32=0,0,VLOOKUP(I32,'00'!$A$1:$F$65536,6,0))</f>
        <v>0</v>
      </c>
      <c r="W32" s="30"/>
      <c r="X32" s="30">
        <f t="shared" si="4"/>
        <v>0</v>
      </c>
      <c r="Y32" s="31">
        <f t="shared" si="5"/>
        <v>0</v>
      </c>
      <c r="Z32" s="71">
        <f t="shared" si="6"/>
        <v>0</v>
      </c>
      <c r="AA32" s="71">
        <f t="shared" si="7"/>
        <v>0</v>
      </c>
      <c r="AB32" s="71">
        <f t="shared" si="8"/>
        <v>0</v>
      </c>
      <c r="AC32" s="71">
        <f t="shared" si="11"/>
        <v>0</v>
      </c>
    </row>
    <row r="33" spans="1:29" s="31" customFormat="1" ht="13.5" thickTop="1" thickBot="1">
      <c r="A33" s="32"/>
      <c r="B33" s="3">
        <f>IF(A33=0,0,VLOOKUP(A33,'00'!$A$1:$F$65536,2,0))</f>
        <v>0</v>
      </c>
      <c r="C33" s="5"/>
      <c r="D33" s="3">
        <f>IF(C33=0,0,VLOOKUP(C33,'01'!$A$2:$B$98,2,0))</f>
        <v>0</v>
      </c>
      <c r="E33" s="12"/>
      <c r="F33" s="33" t="s">
        <v>1</v>
      </c>
      <c r="G33" s="34">
        <f t="shared" si="0"/>
        <v>1000000</v>
      </c>
      <c r="H33" s="206">
        <f>IF(A33=0,0,VLOOKUP(A33,'00'!$A:$F,4,0))</f>
        <v>0</v>
      </c>
      <c r="I33" s="125"/>
      <c r="J33" s="34">
        <f>IF(I33=0,0,VLOOKUP(I33,'00'!$A$1:$F$65536,2,0))</f>
        <v>0</v>
      </c>
      <c r="K33" s="10"/>
      <c r="L33" s="7">
        <f>IF(K33=0,0,VLOOKUP(K33,'01'!$A$2:$B$98,2,0))</f>
        <v>0</v>
      </c>
      <c r="M33" s="97"/>
      <c r="N33" s="33" t="s">
        <v>1</v>
      </c>
      <c r="O33" s="35">
        <f t="shared" si="1"/>
        <v>10000</v>
      </c>
      <c r="P33" s="43">
        <f>IF(I33=0,0,VLOOKUP(I33,'00'!$A:$F,4,0))</f>
        <v>0</v>
      </c>
      <c r="Q33" s="37">
        <f>IF(A33=0,0,VLOOKUP(A33,'00'!$A$1:$F$65536,5,0))</f>
        <v>0</v>
      </c>
      <c r="R33" s="37">
        <f>IF(A33=0,0,VLOOKUP(A33,'00'!$A$1:$G$65536,6,0))</f>
        <v>0</v>
      </c>
      <c r="S33" s="38">
        <f t="shared" si="2"/>
        <v>0</v>
      </c>
      <c r="T33" s="38">
        <f t="shared" si="3"/>
        <v>0</v>
      </c>
      <c r="U33" s="37">
        <f>IF(I33=0,0,VLOOKUP(I33,'00'!$A:$F,5,0))+X33</f>
        <v>0</v>
      </c>
      <c r="V33" s="37">
        <f>IF(I33=0,0,VLOOKUP(I33,'00'!$A$1:$F$65536,6,0))</f>
        <v>0</v>
      </c>
      <c r="W33" s="30"/>
      <c r="X33" s="30">
        <f t="shared" si="4"/>
        <v>0</v>
      </c>
      <c r="Y33" s="31">
        <f t="shared" si="5"/>
        <v>0</v>
      </c>
      <c r="Z33" s="71">
        <f t="shared" si="6"/>
        <v>0</v>
      </c>
      <c r="AA33" s="71">
        <f t="shared" si="7"/>
        <v>0</v>
      </c>
      <c r="AB33" s="71">
        <f t="shared" si="8"/>
        <v>0</v>
      </c>
      <c r="AC33" s="71">
        <f t="shared" si="11"/>
        <v>0</v>
      </c>
    </row>
    <row r="34" spans="1:29" s="31" customFormat="1" ht="13.5" thickTop="1" thickBot="1">
      <c r="A34" s="32"/>
      <c r="B34" s="3">
        <f>IF(A34=0,0,VLOOKUP(A34,'00'!$A$1:$F$65536,2,0))</f>
        <v>0</v>
      </c>
      <c r="C34" s="5"/>
      <c r="D34" s="3">
        <f>IF(C34=0,0,VLOOKUP(C34,'01'!$A$2:$B$98,2,0))</f>
        <v>0</v>
      </c>
      <c r="E34" s="12"/>
      <c r="F34" s="33" t="s">
        <v>1</v>
      </c>
      <c r="G34" s="34">
        <f t="shared" si="0"/>
        <v>1000000</v>
      </c>
      <c r="H34" s="206">
        <f>IF(A34=0,0,VLOOKUP(A34,'00'!$A:$F,4,0))</f>
        <v>0</v>
      </c>
      <c r="I34" s="125"/>
      <c r="J34" s="34">
        <f>IF(I34=0,0,VLOOKUP(I34,'00'!$A$1:$F$65536,2,0))</f>
        <v>0</v>
      </c>
      <c r="K34" s="10"/>
      <c r="L34" s="7">
        <f>IF(K34=0,0,VLOOKUP(K34,'01'!$A$2:$B$98,2,0))</f>
        <v>0</v>
      </c>
      <c r="M34" s="97"/>
      <c r="N34" s="78" t="s">
        <v>1</v>
      </c>
      <c r="O34" s="47">
        <f t="shared" si="1"/>
        <v>10000</v>
      </c>
      <c r="P34" s="79">
        <f>IF(I34=0,0,VLOOKUP(I34,'00'!$A:$F,4,0))</f>
        <v>0</v>
      </c>
      <c r="Q34" s="37">
        <f>IF(A34=0,0,VLOOKUP(A34,'00'!$A$1:$F$65536,5,0))</f>
        <v>0</v>
      </c>
      <c r="R34" s="37">
        <f>IF(A34=0,0,VLOOKUP(A34,'00'!$A$1:$G$65536,6,0))</f>
        <v>0</v>
      </c>
      <c r="S34" s="38">
        <f t="shared" si="2"/>
        <v>0</v>
      </c>
      <c r="T34" s="38">
        <f t="shared" si="3"/>
        <v>0</v>
      </c>
      <c r="U34" s="37">
        <f>IF(I34=0,0,VLOOKUP(I34,'00'!$A:$F,5,0))+X34</f>
        <v>0</v>
      </c>
      <c r="V34" s="37">
        <f>IF(I34=0,0,VLOOKUP(I34,'00'!$A$1:$F$65536,6,0))</f>
        <v>0</v>
      </c>
      <c r="W34" s="30"/>
      <c r="X34" s="30">
        <f t="shared" si="4"/>
        <v>0</v>
      </c>
      <c r="Y34" s="31">
        <f t="shared" si="5"/>
        <v>0</v>
      </c>
      <c r="Z34" s="71">
        <f t="shared" si="6"/>
        <v>0</v>
      </c>
      <c r="AA34" s="71">
        <f t="shared" si="7"/>
        <v>0</v>
      </c>
      <c r="AB34" s="71">
        <f t="shared" si="8"/>
        <v>0</v>
      </c>
      <c r="AC34" s="71">
        <f t="shared" si="11"/>
        <v>0</v>
      </c>
    </row>
    <row r="35" spans="1:29" s="31" customFormat="1" ht="13.5" thickTop="1" thickBot="1">
      <c r="A35" s="32"/>
      <c r="B35" s="3">
        <f>IF(A35=0,0,VLOOKUP(A35,'00'!$A$1:$F$65536,2,0))</f>
        <v>0</v>
      </c>
      <c r="C35" s="5"/>
      <c r="D35" s="3">
        <f>IF(C35=0,0,VLOOKUP(C35,'01'!$A$2:$B$98,2,0))</f>
        <v>0</v>
      </c>
      <c r="E35" s="12"/>
      <c r="F35" s="33" t="s">
        <v>1</v>
      </c>
      <c r="G35" s="34">
        <f t="shared" si="0"/>
        <v>1000000</v>
      </c>
      <c r="H35" s="206">
        <f>IF(A35=0,0,VLOOKUP(A35,'00'!$A:$F,4,0))</f>
        <v>0</v>
      </c>
      <c r="I35" s="125"/>
      <c r="J35" s="34">
        <f>IF(I35=0,0,VLOOKUP(I35,'00'!$A$1:$F$65536,2,0))</f>
        <v>0</v>
      </c>
      <c r="K35" s="10"/>
      <c r="L35" s="7">
        <f>IF(K35=0,0,VLOOKUP(K35,'01'!$A$2:$B$98,2,0))</f>
        <v>0</v>
      </c>
      <c r="M35" s="97"/>
      <c r="N35" s="33" t="s">
        <v>1</v>
      </c>
      <c r="O35" s="35">
        <f t="shared" si="1"/>
        <v>10000</v>
      </c>
      <c r="P35" s="43">
        <f>IF(I35=0,0,VLOOKUP(I35,'00'!$A:$F,4,0))</f>
        <v>0</v>
      </c>
      <c r="Q35" s="37">
        <f>IF(A35=0,0,VLOOKUP(A35,'00'!$A$1:$F$65536,5,0))</f>
        <v>0</v>
      </c>
      <c r="R35" s="37">
        <f>IF(A35=0,0,VLOOKUP(A35,'00'!$A$1:$G$65536,6,0))</f>
        <v>0</v>
      </c>
      <c r="S35" s="38">
        <f t="shared" si="2"/>
        <v>0</v>
      </c>
      <c r="T35" s="38">
        <f t="shared" si="3"/>
        <v>0</v>
      </c>
      <c r="U35" s="37">
        <f>IF(I35=0,0,VLOOKUP(I35,'00'!$A:$F,5,0))+X35</f>
        <v>0</v>
      </c>
      <c r="V35" s="37">
        <f>IF(I35=0,0,VLOOKUP(I35,'00'!$A$1:$F$65536,6,0))</f>
        <v>0</v>
      </c>
      <c r="W35" s="30"/>
      <c r="X35" s="30">
        <f t="shared" si="4"/>
        <v>0</v>
      </c>
      <c r="Y35" s="31">
        <f t="shared" si="5"/>
        <v>0</v>
      </c>
      <c r="Z35" s="71">
        <f t="shared" si="6"/>
        <v>0</v>
      </c>
      <c r="AA35" s="71">
        <f t="shared" si="7"/>
        <v>0</v>
      </c>
      <c r="AB35" s="71">
        <f t="shared" si="8"/>
        <v>0</v>
      </c>
      <c r="AC35" s="71">
        <f t="shared" si="11"/>
        <v>0</v>
      </c>
    </row>
    <row r="36" spans="1:29" s="31" customFormat="1" ht="13.5" thickTop="1" thickBot="1">
      <c r="A36" s="32"/>
      <c r="B36" s="3">
        <f>IF(A36=0,0,VLOOKUP(A36,'00'!$A$1:$F$65536,2,0))</f>
        <v>0</v>
      </c>
      <c r="C36" s="5"/>
      <c r="D36" s="3">
        <f>IF(C36=0,0,VLOOKUP(C36,'01'!$A$2:$B$98,2,0))</f>
        <v>0</v>
      </c>
      <c r="E36" s="12"/>
      <c r="F36" s="33" t="s">
        <v>1</v>
      </c>
      <c r="G36" s="34">
        <f t="shared" si="0"/>
        <v>1000000</v>
      </c>
      <c r="H36" s="206">
        <f>IF(A36=0,0,VLOOKUP(A36,'00'!$A:$F,4,0))</f>
        <v>0</v>
      </c>
      <c r="I36" s="125"/>
      <c r="J36" s="34">
        <f>IF(I36=0,0,VLOOKUP(I36,'00'!$A$1:$F$65536,2,0))</f>
        <v>0</v>
      </c>
      <c r="K36" s="10"/>
      <c r="L36" s="7">
        <f>IF(K36=0,0,VLOOKUP(K36,'01'!$A$2:$B$98,2,0))</f>
        <v>0</v>
      </c>
      <c r="M36" s="97"/>
      <c r="N36" s="33" t="s">
        <v>1</v>
      </c>
      <c r="O36" s="35">
        <f t="shared" si="1"/>
        <v>10000</v>
      </c>
      <c r="P36" s="43">
        <f>IF(I36=0,0,VLOOKUP(I36,'00'!$A:$F,4,0))</f>
        <v>0</v>
      </c>
      <c r="Q36" s="37">
        <f>IF(A36=0,0,VLOOKUP(A36,'00'!$A$1:$F$65536,5,0))</f>
        <v>0</v>
      </c>
      <c r="R36" s="37">
        <f>IF(A36=0,0,VLOOKUP(A36,'00'!$A$1:$G$65536,6,0))</f>
        <v>0</v>
      </c>
      <c r="S36" s="38">
        <f t="shared" si="2"/>
        <v>0</v>
      </c>
      <c r="T36" s="38">
        <f t="shared" si="3"/>
        <v>0</v>
      </c>
      <c r="U36" s="37">
        <f>IF(I36=0,0,VLOOKUP(I36,'00'!$A:$F,5,0))+X36</f>
        <v>0</v>
      </c>
      <c r="V36" s="37">
        <f>IF(I36=0,0,VLOOKUP(I36,'00'!$A$1:$F$65536,6,0))</f>
        <v>0</v>
      </c>
      <c r="W36" s="30"/>
      <c r="X36" s="30">
        <f t="shared" si="4"/>
        <v>0</v>
      </c>
      <c r="Y36" s="31">
        <f t="shared" si="5"/>
        <v>0</v>
      </c>
      <c r="Z36" s="71">
        <f t="shared" si="6"/>
        <v>0</v>
      </c>
      <c r="AA36" s="71">
        <f t="shared" si="7"/>
        <v>0</v>
      </c>
      <c r="AB36" s="71">
        <f t="shared" si="8"/>
        <v>0</v>
      </c>
      <c r="AC36" s="71">
        <f t="shared" si="11"/>
        <v>0</v>
      </c>
    </row>
    <row r="37" spans="1:29" s="31" customFormat="1" ht="13.5" thickTop="1" thickBot="1">
      <c r="A37" s="32"/>
      <c r="B37" s="108">
        <f>IF(A37=0,0,VLOOKUP(A37,'00'!$A$1:$F$65536,2,0))</f>
        <v>0</v>
      </c>
      <c r="C37" s="109"/>
      <c r="D37" s="108">
        <f>IF(C37=0,0,VLOOKUP(C37,'01'!$A$2:$B$98,2,0))</f>
        <v>0</v>
      </c>
      <c r="E37" s="110"/>
      <c r="F37" s="78" t="s">
        <v>298</v>
      </c>
      <c r="G37" s="56">
        <f t="shared" si="0"/>
        <v>0</v>
      </c>
      <c r="H37" s="60">
        <f>IF(A37=0,0,VLOOKUP(A37,'00'!$A:$F,4,0))</f>
        <v>0</v>
      </c>
      <c r="I37" s="80"/>
      <c r="J37" s="34">
        <f>IF(I37=0,0,VLOOKUP(I37,'00'!$A$1:$F$65536,2,0))</f>
        <v>0</v>
      </c>
      <c r="K37" s="81"/>
      <c r="L37" s="82">
        <f>IF(K37=0,0,VLOOKUP(K37,'01'!$A$2:$B$98,2,0))</f>
        <v>0</v>
      </c>
      <c r="M37" s="83"/>
      <c r="N37" s="84" t="s">
        <v>1</v>
      </c>
      <c r="O37" s="85">
        <f t="shared" si="1"/>
        <v>10000</v>
      </c>
      <c r="P37" s="86">
        <f>IF(I37=0,0,VLOOKUP(I37,'00'!$A:$F,4,0))</f>
        <v>0</v>
      </c>
      <c r="Q37" s="37">
        <f>IF(A37=0,0,VLOOKUP(A37,'00'!$A$1:$F$65536,5,0))</f>
        <v>0</v>
      </c>
      <c r="R37" s="37">
        <f>IF(A37=0,0,VLOOKUP(A37,'00'!$A$1:$G$65536,6,0))</f>
        <v>0</v>
      </c>
      <c r="S37" s="38">
        <f t="shared" si="2"/>
        <v>0</v>
      </c>
      <c r="T37" s="38">
        <f t="shared" si="3"/>
        <v>1</v>
      </c>
      <c r="U37" s="37">
        <f>IF(I37=0,0,VLOOKUP(I37,'00'!$A:$F,5,0))+X37</f>
        <v>0</v>
      </c>
      <c r="V37" s="37">
        <f>IF(I37=0,0,VLOOKUP(I37,'00'!$A$1:$F$65536,6,0))</f>
        <v>0</v>
      </c>
      <c r="W37" s="30"/>
      <c r="X37" s="30">
        <f t="shared" si="4"/>
        <v>0</v>
      </c>
      <c r="Y37" s="31">
        <f t="shared" si="5"/>
        <v>0</v>
      </c>
      <c r="Z37" s="71">
        <f t="shared" si="6"/>
        <v>0</v>
      </c>
      <c r="AA37" s="71">
        <f t="shared" si="7"/>
        <v>0</v>
      </c>
      <c r="AB37" s="71">
        <f t="shared" si="8"/>
        <v>0</v>
      </c>
      <c r="AC37" s="71">
        <f t="shared" si="11"/>
        <v>0</v>
      </c>
    </row>
    <row r="38" spans="1:29" s="31" customFormat="1" ht="13.5" thickTop="1" thickBot="1">
      <c r="A38" s="57" t="s">
        <v>303</v>
      </c>
      <c r="B38" s="255" t="s">
        <v>354</v>
      </c>
      <c r="C38" s="236"/>
      <c r="D38" s="236"/>
      <c r="E38" s="236"/>
      <c r="F38" s="236"/>
      <c r="G38" s="236"/>
      <c r="H38" s="237"/>
      <c r="I38" s="238"/>
      <c r="J38" s="236"/>
      <c r="K38" s="236"/>
      <c r="L38" s="328" t="s">
        <v>305</v>
      </c>
      <c r="M38" s="328"/>
      <c r="N38" s="328"/>
      <c r="O38" s="328"/>
      <c r="P38" s="329"/>
      <c r="Q38" s="37"/>
      <c r="R38" s="37"/>
      <c r="S38" s="38"/>
      <c r="T38" s="38"/>
      <c r="U38" s="54"/>
      <c r="V38" s="54"/>
      <c r="W38" s="30"/>
      <c r="X38" s="30"/>
      <c r="Z38" s="71"/>
      <c r="AA38" s="71"/>
      <c r="AB38" s="71"/>
      <c r="AC38" s="71"/>
    </row>
    <row r="39" spans="1:29" s="31" customFormat="1" ht="13.5" thickTop="1" thickBot="1">
      <c r="A39" s="58" t="s">
        <v>306</v>
      </c>
      <c r="B39" s="212" t="s">
        <v>355</v>
      </c>
      <c r="C39" s="212"/>
      <c r="D39" s="212"/>
      <c r="E39" s="212"/>
      <c r="F39" s="212"/>
      <c r="G39" s="212"/>
      <c r="H39" s="213"/>
      <c r="I39" s="240"/>
      <c r="J39" s="241"/>
      <c r="K39" s="241"/>
      <c r="L39" s="241"/>
      <c r="M39" s="241"/>
      <c r="N39" s="241"/>
      <c r="O39" s="241"/>
      <c r="P39" s="242"/>
      <c r="Q39" s="37"/>
      <c r="R39" s="37"/>
      <c r="S39" s="38"/>
      <c r="T39" s="38"/>
      <c r="U39" s="54"/>
      <c r="V39" s="54"/>
      <c r="W39" s="30"/>
      <c r="X39" s="30"/>
      <c r="Z39" s="71"/>
      <c r="AA39" s="71"/>
      <c r="AB39" s="71"/>
      <c r="AC39" s="71"/>
    </row>
    <row r="40" spans="1:29" s="31" customFormat="1" ht="13.5" thickTop="1" thickBot="1">
      <c r="A40" s="58" t="s">
        <v>40</v>
      </c>
      <c r="B40" s="219"/>
      <c r="C40" s="219"/>
      <c r="D40" s="219"/>
      <c r="E40" s="219"/>
      <c r="F40" s="219"/>
      <c r="G40" s="219"/>
      <c r="H40" s="222"/>
      <c r="I40" s="240"/>
      <c r="J40" s="241"/>
      <c r="K40" s="241"/>
      <c r="L40" s="241"/>
      <c r="M40" s="241"/>
      <c r="N40" s="241"/>
      <c r="O40" s="241"/>
      <c r="P40" s="242"/>
      <c r="Q40" s="37"/>
      <c r="R40" s="37"/>
      <c r="S40" s="38"/>
      <c r="T40" s="38"/>
      <c r="U40" s="54"/>
      <c r="V40" s="54"/>
      <c r="W40" s="30"/>
      <c r="X40" s="30"/>
      <c r="Z40" s="71"/>
      <c r="AA40" s="71"/>
      <c r="AB40" s="71"/>
      <c r="AC40" s="71"/>
    </row>
    <row r="41" spans="1:29" s="31" customFormat="1" ht="13.5" thickTop="1" thickBot="1">
      <c r="A41" s="58" t="s">
        <v>41</v>
      </c>
      <c r="B41" s="219"/>
      <c r="C41" s="219"/>
      <c r="D41" s="219"/>
      <c r="E41" s="219"/>
      <c r="F41" s="219"/>
      <c r="G41" s="219"/>
      <c r="H41" s="222"/>
      <c r="I41" s="136"/>
      <c r="J41" s="256"/>
      <c r="K41" s="256"/>
      <c r="L41" s="256"/>
      <c r="M41" s="256"/>
      <c r="N41" s="256"/>
      <c r="O41" s="256"/>
      <c r="P41" s="256"/>
      <c r="Q41" s="257"/>
      <c r="R41" s="258"/>
      <c r="S41" s="38"/>
      <c r="T41" s="38"/>
      <c r="U41" s="54"/>
      <c r="V41" s="54"/>
      <c r="W41" s="30"/>
      <c r="X41" s="30"/>
      <c r="Z41" s="71"/>
      <c r="AA41" s="71"/>
      <c r="AB41" s="71"/>
      <c r="AC41" s="71"/>
    </row>
    <row r="42" spans="1:29" s="31" customFormat="1" ht="13.5" thickTop="1" thickBot="1">
      <c r="A42" s="58" t="s">
        <v>42</v>
      </c>
      <c r="B42" s="225"/>
      <c r="C42" s="219"/>
      <c r="D42" s="219"/>
      <c r="E42" s="219"/>
      <c r="F42" s="219"/>
      <c r="G42" s="219"/>
      <c r="I42" s="259"/>
      <c r="J42" s="260"/>
      <c r="K42" s="260"/>
      <c r="L42" s="260"/>
      <c r="M42" s="260"/>
      <c r="N42" s="260"/>
      <c r="O42" s="260"/>
      <c r="P42" s="261"/>
      <c r="Q42" s="37"/>
      <c r="R42" s="37"/>
      <c r="S42" s="38"/>
      <c r="T42" s="38"/>
      <c r="U42" s="54"/>
      <c r="V42" s="54"/>
      <c r="W42" s="30"/>
      <c r="X42" s="30"/>
      <c r="Z42" s="71"/>
      <c r="AA42" s="71"/>
      <c r="AB42" s="71"/>
      <c r="AC42" s="71"/>
    </row>
    <row r="43" spans="1:29" s="31" customFormat="1" ht="13.5" thickTop="1" thickBot="1">
      <c r="A43" s="98" t="s">
        <v>43</v>
      </c>
      <c r="B43" s="219"/>
      <c r="C43" s="220"/>
      <c r="D43" s="220"/>
      <c r="E43" s="220"/>
      <c r="F43" s="220"/>
      <c r="G43" s="220"/>
      <c r="H43" s="221"/>
      <c r="I43" s="336"/>
      <c r="J43" s="337"/>
      <c r="K43" s="337"/>
      <c r="L43" s="337"/>
      <c r="M43" s="337"/>
      <c r="N43" s="337"/>
      <c r="O43" s="337"/>
      <c r="P43" s="338"/>
      <c r="Q43" s="37"/>
      <c r="R43" s="37"/>
      <c r="S43" s="38"/>
      <c r="T43" s="38"/>
      <c r="U43" s="54"/>
      <c r="V43" s="54"/>
      <c r="W43" s="30"/>
      <c r="X43" s="30"/>
      <c r="Z43" s="71"/>
      <c r="AA43" s="71"/>
      <c r="AB43" s="71"/>
      <c r="AC43" s="71"/>
    </row>
    <row r="44" spans="1:29" s="31" customFormat="1" ht="13.5" thickTop="1" thickBot="1">
      <c r="A44" s="314" t="s">
        <v>313</v>
      </c>
      <c r="B44" s="53" t="s">
        <v>67</v>
      </c>
      <c r="C44" s="305" t="s">
        <v>314</v>
      </c>
      <c r="D44" s="306"/>
      <c r="E44" s="307"/>
      <c r="F44" s="274" t="s">
        <v>68</v>
      </c>
      <c r="G44" s="275"/>
      <c r="H44" s="276"/>
      <c r="I44" s="282" t="s">
        <v>315</v>
      </c>
      <c r="J44" s="53" t="s">
        <v>67</v>
      </c>
      <c r="K44" s="305" t="s">
        <v>314</v>
      </c>
      <c r="L44" s="306"/>
      <c r="M44" s="307"/>
      <c r="N44" s="274" t="s">
        <v>68</v>
      </c>
      <c r="O44" s="275"/>
      <c r="P44" s="276"/>
      <c r="Q44" s="37"/>
      <c r="R44" s="37"/>
      <c r="S44" s="38"/>
      <c r="T44" s="38"/>
      <c r="U44" s="54"/>
      <c r="V44" s="54"/>
      <c r="W44" s="30"/>
      <c r="X44" s="30"/>
      <c r="Z44" s="71"/>
      <c r="AA44" s="71"/>
      <c r="AB44" s="71"/>
      <c r="AC44" s="71"/>
    </row>
    <row r="45" spans="1:29" s="31" customFormat="1" ht="13.5" thickTop="1" thickBot="1">
      <c r="A45" s="315" t="s">
        <v>286</v>
      </c>
      <c r="B45" s="34" t="s">
        <v>299</v>
      </c>
      <c r="C45" s="285">
        <f>+SUMIF(F:F,B45,Y:Y)*Q48</f>
        <v>0</v>
      </c>
      <c r="D45" s="286"/>
      <c r="E45" s="288"/>
      <c r="F45" s="285">
        <f>(SUMPRODUCT(M5:M15,V5:V15)+W5*V5)*Q48</f>
        <v>0</v>
      </c>
      <c r="G45" s="286"/>
      <c r="H45" s="287"/>
      <c r="I45" s="283" t="s">
        <v>286</v>
      </c>
      <c r="J45" s="34" t="s">
        <v>350</v>
      </c>
      <c r="K45" s="317"/>
      <c r="L45" s="318"/>
      <c r="M45" s="124">
        <f>IF(K45=0,0,K50/K45*1000)</f>
        <v>0</v>
      </c>
      <c r="N45" s="124"/>
      <c r="O45" s="215"/>
      <c r="P45" s="216"/>
      <c r="Q45" s="37"/>
      <c r="R45" s="37"/>
      <c r="S45" s="38"/>
      <c r="T45" s="38"/>
      <c r="U45" s="54"/>
      <c r="V45" s="54"/>
      <c r="W45" s="30"/>
      <c r="X45" s="30"/>
      <c r="Z45" s="71"/>
      <c r="AA45" s="71"/>
      <c r="AB45" s="71"/>
      <c r="AC45" s="71"/>
    </row>
    <row r="46" spans="1:29" s="31" customFormat="1" ht="13.5" thickTop="1" thickBot="1">
      <c r="A46" s="315">
        <v>270172</v>
      </c>
      <c r="B46" s="34" t="s">
        <v>301</v>
      </c>
      <c r="C46" s="285">
        <f>+SUMIF(F:F,B46,Y:Y)*Q48</f>
        <v>0</v>
      </c>
      <c r="D46" s="286"/>
      <c r="E46" s="288"/>
      <c r="F46" s="285">
        <f>(SUMPRODUCT(M16:M26,V16:V26)+W16*V16)*Q48</f>
        <v>0</v>
      </c>
      <c r="G46" s="286"/>
      <c r="H46" s="287"/>
      <c r="I46" s="283">
        <v>270172</v>
      </c>
      <c r="J46" s="34" t="s">
        <v>351</v>
      </c>
      <c r="K46" s="317"/>
      <c r="L46" s="318"/>
      <c r="M46" s="124">
        <f>IF(K46=0,0,K51/K46*1000)</f>
        <v>0</v>
      </c>
      <c r="N46" s="124"/>
      <c r="O46" s="215"/>
      <c r="P46" s="216"/>
      <c r="Q46" s="37"/>
      <c r="R46" s="37"/>
      <c r="S46" s="38"/>
      <c r="T46" s="38"/>
      <c r="U46" s="54"/>
      <c r="V46" s="54"/>
      <c r="W46" s="30"/>
      <c r="X46" s="30"/>
      <c r="Z46" s="71"/>
      <c r="AA46" s="71"/>
      <c r="AB46" s="71"/>
      <c r="AC46" s="71"/>
    </row>
    <row r="47" spans="1:29" s="31" customFormat="1" ht="13.5" thickTop="1" thickBot="1">
      <c r="A47" s="315">
        <v>270127</v>
      </c>
      <c r="B47" s="34" t="s">
        <v>302</v>
      </c>
      <c r="C47" s="285">
        <f>+SUMIF(F:F,B47,Y:Y)*Q48</f>
        <v>0</v>
      </c>
      <c r="D47" s="286"/>
      <c r="E47" s="288"/>
      <c r="F47" s="285">
        <f>(SUMPRODUCT(M27:M37,V27:V37)+W27*V27)*Q48</f>
        <v>0</v>
      </c>
      <c r="G47" s="286"/>
      <c r="H47" s="287"/>
      <c r="I47" s="283">
        <v>270127</v>
      </c>
      <c r="J47" s="34" t="s">
        <v>352</v>
      </c>
      <c r="K47" s="317"/>
      <c r="L47" s="318"/>
      <c r="M47" s="124">
        <f>IF(K47=0,0,K52/K47*1000)</f>
        <v>0</v>
      </c>
      <c r="N47" s="124"/>
      <c r="O47" s="215"/>
      <c r="P47" s="216"/>
      <c r="Q47" s="37"/>
      <c r="R47" s="37"/>
      <c r="S47" s="38"/>
      <c r="T47" s="38"/>
      <c r="U47" s="54"/>
      <c r="V47" s="54"/>
      <c r="W47" s="30"/>
      <c r="X47" s="30"/>
      <c r="Z47" s="71"/>
      <c r="AA47" s="71"/>
      <c r="AB47" s="71"/>
      <c r="AC47" s="71"/>
    </row>
    <row r="48" spans="1:29" s="31" customFormat="1" ht="13.5" thickTop="1" thickBot="1">
      <c r="A48" s="316">
        <v>270127</v>
      </c>
      <c r="B48" s="107" t="s">
        <v>319</v>
      </c>
      <c r="C48" s="289">
        <f>SUM(C45:E47)</f>
        <v>0</v>
      </c>
      <c r="D48" s="290"/>
      <c r="E48" s="291"/>
      <c r="F48" s="289">
        <f>SUM(F45:H47)</f>
        <v>0</v>
      </c>
      <c r="G48" s="290"/>
      <c r="H48" s="300"/>
      <c r="I48" s="284">
        <v>270127</v>
      </c>
      <c r="J48" s="107" t="s">
        <v>319</v>
      </c>
      <c r="K48" s="301">
        <f>SUM(K45:L47)</f>
        <v>0</v>
      </c>
      <c r="L48" s="302"/>
      <c r="M48" s="120">
        <f>IF(K48=0,0,K53/K48*1000)</f>
        <v>0</v>
      </c>
      <c r="N48" s="121"/>
      <c r="O48" s="210">
        <f>SUM(O45:P47)</f>
        <v>0</v>
      </c>
      <c r="P48" s="211"/>
      <c r="Q48" s="294"/>
      <c r="R48" s="295"/>
      <c r="S48" s="38"/>
      <c r="T48" s="38"/>
      <c r="U48" s="54"/>
      <c r="V48" s="54"/>
      <c r="W48" s="30"/>
      <c r="X48" s="30"/>
      <c r="Z48" s="71"/>
      <c r="AA48" s="71"/>
      <c r="AB48" s="71"/>
      <c r="AC48" s="71"/>
    </row>
    <row r="49" spans="1:29" s="31" customFormat="1" ht="13.5" thickTop="1" thickBot="1">
      <c r="A49" s="315" t="s">
        <v>320</v>
      </c>
      <c r="B49" s="99" t="s">
        <v>291</v>
      </c>
      <c r="C49" s="296" t="s">
        <v>321</v>
      </c>
      <c r="D49" s="325"/>
      <c r="E49" s="100" t="s">
        <v>322</v>
      </c>
      <c r="F49" s="101" t="s">
        <v>323</v>
      </c>
      <c r="G49" s="101"/>
      <c r="H49" s="102" t="s">
        <v>319</v>
      </c>
      <c r="I49" s="315" t="s">
        <v>324</v>
      </c>
      <c r="J49" s="99" t="s">
        <v>291</v>
      </c>
      <c r="K49" s="296" t="s">
        <v>319</v>
      </c>
      <c r="L49" s="297"/>
      <c r="M49" s="103" t="s">
        <v>322</v>
      </c>
      <c r="N49" s="104" t="s">
        <v>323</v>
      </c>
      <c r="O49" s="105"/>
      <c r="P49" s="106" t="s">
        <v>321</v>
      </c>
      <c r="Q49" s="292" t="s">
        <v>325</v>
      </c>
      <c r="R49" s="293"/>
      <c r="S49" s="38"/>
      <c r="T49" s="38"/>
      <c r="U49" s="54"/>
      <c r="V49" s="54"/>
      <c r="W49" s="30"/>
      <c r="X49" s="30"/>
      <c r="Z49" s="71"/>
      <c r="AA49" s="71"/>
      <c r="AB49" s="71"/>
      <c r="AC49" s="71"/>
    </row>
    <row r="50" spans="1:29" s="31" customFormat="1" ht="13.5" thickTop="1" thickBot="1">
      <c r="A50" s="315"/>
      <c r="B50" s="34" t="s">
        <v>299</v>
      </c>
      <c r="C50" s="321">
        <f>SUMIF($N$5:$N$37,B50,$AC$5:$AC$37)/1000</f>
        <v>1.3</v>
      </c>
      <c r="D50" s="322"/>
      <c r="E50" s="191">
        <f>SUMIF($F$5:$F$37,B50,$AA$5:$AA$37)/1000</f>
        <v>0</v>
      </c>
      <c r="F50" s="192">
        <f>SUMIF($F$5:$F$37,B50,$AB$5:$AB$37)/1000</f>
        <v>13.81</v>
      </c>
      <c r="G50" s="192"/>
      <c r="H50" s="207">
        <f>+E50+F50</f>
        <v>13.81</v>
      </c>
      <c r="I50" s="315"/>
      <c r="J50" s="34" t="s">
        <v>299</v>
      </c>
      <c r="K50" s="298">
        <f>SUM(M50:N50)</f>
        <v>0</v>
      </c>
      <c r="L50" s="299"/>
      <c r="M50" s="111"/>
      <c r="N50" s="112"/>
      <c r="O50" s="59"/>
      <c r="P50" s="116"/>
      <c r="Q50" s="145">
        <f>+Q51+Q52</f>
        <v>40.439</v>
      </c>
      <c r="R50" s="144">
        <f>+FLOOR(SUM(SUMPRODUCT(E5:E37,G5:G37,R5:R37))/100000000000,1)/10</f>
        <v>444.6</v>
      </c>
      <c r="S50" s="38"/>
      <c r="T50" s="38"/>
      <c r="U50" s="54"/>
      <c r="V50" s="54"/>
      <c r="W50" s="30"/>
      <c r="X50" s="30"/>
      <c r="Z50" s="71"/>
      <c r="AA50" s="71"/>
      <c r="AB50" s="71"/>
      <c r="AC50" s="71"/>
    </row>
    <row r="51" spans="1:29" s="31" customFormat="1" ht="15.75" thickTop="1" thickBot="1">
      <c r="A51" s="315"/>
      <c r="B51" s="34" t="s">
        <v>301</v>
      </c>
      <c r="C51" s="321">
        <f>SUMIF($N$5:$N$37,B51,$AC$5:$AC$37)/1000</f>
        <v>0.88800000000000001</v>
      </c>
      <c r="D51" s="322"/>
      <c r="E51" s="191">
        <f>SUMIF($F$5:$F$37,B51,$AA$5:$AA$37)/1000</f>
        <v>0</v>
      </c>
      <c r="F51" s="192">
        <f>SUMIF($F$5:$F$37,B51,$AB$5:$AB$37)/1000</f>
        <v>14.297000000000001</v>
      </c>
      <c r="G51" s="192"/>
      <c r="H51" s="207">
        <f>+E51+F51</f>
        <v>14.297000000000001</v>
      </c>
      <c r="I51" s="315"/>
      <c r="J51" s="206" t="s">
        <v>301</v>
      </c>
      <c r="K51" s="298">
        <f>SUM(M51:N51)</f>
        <v>0</v>
      </c>
      <c r="L51" s="299"/>
      <c r="M51" s="111"/>
      <c r="N51" s="112"/>
      <c r="O51" s="59"/>
      <c r="P51" s="116"/>
      <c r="Q51" s="145">
        <f>+H53</f>
        <v>40.439</v>
      </c>
      <c r="R51" s="144">
        <f>+SUMPRODUCT(E5:E37,G5:G37,R5:R37)-R50*1000000000000-R52*1000000</f>
        <v>477</v>
      </c>
      <c r="S51" s="38"/>
      <c r="T51" s="38"/>
      <c r="U51" s="17"/>
      <c r="V51" s="17"/>
      <c r="W51" s="30"/>
      <c r="X51" s="30"/>
      <c r="Z51" s="71"/>
      <c r="AA51" s="71"/>
      <c r="AB51" s="71"/>
      <c r="AC51" s="71"/>
    </row>
    <row r="52" spans="1:29" s="31" customFormat="1" ht="15.75" thickTop="1" thickBot="1">
      <c r="A52" s="315"/>
      <c r="B52" s="34" t="s">
        <v>302</v>
      </c>
      <c r="C52" s="321">
        <f>SUMIF($N$5:$N$37,B52,$AC$5:$AC$37)/1000</f>
        <v>0.33</v>
      </c>
      <c r="D52" s="322"/>
      <c r="E52" s="191">
        <f>SUMIF($F$5:$F$37,B52,$AA$5:$AA$37)/1000</f>
        <v>10.792</v>
      </c>
      <c r="F52" s="192">
        <f>SUMIF($F$5:$F$37,B52,$AB$5:$AB$37)/1000</f>
        <v>1.54</v>
      </c>
      <c r="G52" s="192"/>
      <c r="H52" s="207">
        <f>+E52+F52</f>
        <v>12.332000000000001</v>
      </c>
      <c r="I52" s="315"/>
      <c r="J52" s="60" t="s">
        <v>302</v>
      </c>
      <c r="K52" s="298">
        <f>SUM(M52:N52)</f>
        <v>0</v>
      </c>
      <c r="L52" s="299"/>
      <c r="M52" s="111"/>
      <c r="N52" s="113"/>
      <c r="O52" s="61"/>
      <c r="P52" s="116"/>
      <c r="Q52" s="145">
        <f>SUMPRODUCT(E5:E37,T5:T37,Q5:Q37)/1000</f>
        <v>0</v>
      </c>
      <c r="R52" s="144">
        <f>+FLOOR(MOD(SUMPRODUCT(E5:E37,G5:G37,R5:R37),100000000000)/100000,1)/10</f>
        <v>447.4</v>
      </c>
      <c r="S52" s="38"/>
      <c r="T52" s="38"/>
      <c r="U52" s="17"/>
      <c r="V52" s="17"/>
      <c r="W52" s="30"/>
      <c r="X52" s="30"/>
      <c r="Z52" s="71"/>
      <c r="AA52" s="71"/>
      <c r="AB52" s="71"/>
      <c r="AC52" s="71"/>
    </row>
    <row r="53" spans="1:29" s="31" customFormat="1" ht="15.75" thickTop="1" thickBot="1">
      <c r="A53" s="320"/>
      <c r="B53" s="62" t="s">
        <v>319</v>
      </c>
      <c r="C53" s="323">
        <f>SUM(C50:C52)</f>
        <v>2.5180000000000002</v>
      </c>
      <c r="D53" s="324"/>
      <c r="E53" s="149">
        <f>SUM(E50:E52)</f>
        <v>10.792</v>
      </c>
      <c r="F53" s="147">
        <f>SUM(F50:F52)</f>
        <v>29.646999999999998</v>
      </c>
      <c r="G53" s="147"/>
      <c r="H53" s="148">
        <f>SUM(H50:H52)</f>
        <v>40.439</v>
      </c>
      <c r="I53" s="320"/>
      <c r="J53" s="63" t="s">
        <v>319</v>
      </c>
      <c r="K53" s="326">
        <f>+M53+N53</f>
        <v>0</v>
      </c>
      <c r="L53" s="327"/>
      <c r="M53" s="114">
        <f>SUM(M50:M52)</f>
        <v>0</v>
      </c>
      <c r="N53" s="115">
        <f>SUM(N50:N52)</f>
        <v>0</v>
      </c>
      <c r="O53" s="64">
        <f>SUM(O50:O52)</f>
        <v>0</v>
      </c>
      <c r="P53" s="117">
        <f>SUM(P50:P52)</f>
        <v>0</v>
      </c>
      <c r="Q53" s="145">
        <f>SUMPRODUCT(Q5:Q28,E5:E28)/1000</f>
        <v>40.439</v>
      </c>
      <c r="R53" s="144">
        <f>SUM(R50:R52)</f>
        <v>1369</v>
      </c>
      <c r="S53" s="38">
        <v>0</v>
      </c>
      <c r="T53" s="38"/>
      <c r="U53" s="17"/>
      <c r="V53" s="17"/>
      <c r="W53" s="30"/>
      <c r="X53" s="30"/>
      <c r="Z53" s="71"/>
      <c r="AA53" s="71"/>
      <c r="AB53" s="71"/>
      <c r="AC53" s="71"/>
    </row>
    <row r="54" spans="1:29" s="66" customFormat="1" ht="25.5">
      <c r="A54" s="319" t="s">
        <v>326</v>
      </c>
      <c r="B54" s="319"/>
      <c r="C54" s="319"/>
      <c r="D54" s="319"/>
      <c r="E54" s="319"/>
      <c r="F54" s="319"/>
      <c r="G54" s="319"/>
      <c r="H54" s="319"/>
      <c r="I54" s="319" t="s">
        <v>327</v>
      </c>
      <c r="J54" s="319"/>
      <c r="K54" s="319"/>
      <c r="L54" s="319"/>
      <c r="M54" s="319"/>
      <c r="N54" s="319"/>
      <c r="O54" s="319"/>
      <c r="P54" s="319"/>
      <c r="Q54" s="14"/>
      <c r="R54" s="15">
        <v>0</v>
      </c>
      <c r="S54" s="16"/>
      <c r="T54" s="16"/>
      <c r="U54" s="17"/>
      <c r="V54" s="17"/>
      <c r="W54" s="65"/>
      <c r="X54" s="65"/>
      <c r="Z54" s="69"/>
      <c r="AA54" s="69"/>
      <c r="AB54" s="69"/>
      <c r="AC54" s="69"/>
    </row>
    <row r="55" spans="1:29" s="66" customFormat="1">
      <c r="A55" s="67"/>
      <c r="B55" s="67"/>
      <c r="C55" s="67"/>
      <c r="D55" s="67"/>
      <c r="E55" s="67"/>
      <c r="F55" s="77"/>
      <c r="G55" s="68"/>
      <c r="H55" s="67"/>
      <c r="I55" s="67"/>
      <c r="J55" s="69"/>
      <c r="K55" s="69"/>
      <c r="L55" s="69"/>
      <c r="M55" s="69"/>
      <c r="N55" s="67"/>
      <c r="O55" s="70"/>
      <c r="P55" s="69"/>
      <c r="Q55" s="14">
        <v>0</v>
      </c>
      <c r="R55" s="15">
        <v>0</v>
      </c>
      <c r="S55" s="16"/>
      <c r="T55" s="16"/>
      <c r="U55" s="17"/>
      <c r="V55" s="17"/>
      <c r="W55" s="65"/>
      <c r="X55" s="65"/>
      <c r="Z55" s="69"/>
      <c r="AA55" s="69"/>
      <c r="AB55" s="69"/>
      <c r="AC55" s="69"/>
    </row>
    <row r="56" spans="1:29" s="66" customFormat="1">
      <c r="A56" s="67"/>
      <c r="B56" s="67"/>
      <c r="C56" s="67"/>
      <c r="D56" s="67"/>
      <c r="E56" s="67"/>
      <c r="F56" s="69"/>
      <c r="G56" s="68"/>
      <c r="H56" s="67"/>
      <c r="I56" s="67"/>
      <c r="J56" s="69"/>
      <c r="K56" s="69"/>
      <c r="L56" s="69"/>
      <c r="M56" s="71"/>
      <c r="N56" s="72"/>
      <c r="O56" s="70"/>
      <c r="P56" s="69"/>
      <c r="Q56" s="14">
        <v>0</v>
      </c>
      <c r="R56" s="15"/>
      <c r="S56" s="16"/>
      <c r="T56" s="16"/>
      <c r="U56" s="17"/>
      <c r="V56" s="17"/>
      <c r="W56" s="65"/>
      <c r="X56" s="65"/>
      <c r="Z56" s="69"/>
      <c r="AA56" s="69"/>
      <c r="AB56" s="69"/>
      <c r="AC56" s="69"/>
    </row>
    <row r="57" spans="1:29" s="66" customFormat="1">
      <c r="A57" s="67"/>
      <c r="B57" s="67"/>
      <c r="C57" s="67"/>
      <c r="D57" s="67"/>
      <c r="E57" s="67"/>
      <c r="F57" s="67"/>
      <c r="G57" s="68"/>
      <c r="H57" s="67"/>
      <c r="I57" s="69"/>
      <c r="J57" s="73"/>
      <c r="K57" s="73"/>
      <c r="L57" s="73"/>
      <c r="M57" s="69"/>
      <c r="N57" s="67"/>
      <c r="O57" s="70"/>
      <c r="P57" s="69"/>
      <c r="Q57" s="14"/>
      <c r="R57" s="15"/>
      <c r="S57" s="16"/>
      <c r="T57" s="16"/>
      <c r="U57" s="17"/>
      <c r="V57" s="17"/>
      <c r="W57" s="65"/>
      <c r="X57" s="65"/>
      <c r="Z57" s="69"/>
      <c r="AA57" s="69"/>
      <c r="AB57" s="69"/>
      <c r="AC57" s="69"/>
    </row>
    <row r="58" spans="1:29" s="66" customFormat="1">
      <c r="A58" s="67"/>
      <c r="B58" s="67"/>
      <c r="C58" s="67"/>
      <c r="D58" s="67"/>
      <c r="E58" s="67"/>
      <c r="F58" s="67"/>
      <c r="G58" s="68"/>
      <c r="H58" s="67"/>
      <c r="I58" s="67"/>
      <c r="J58" s="69"/>
      <c r="K58" s="69"/>
      <c r="L58" s="69"/>
      <c r="M58" s="69"/>
      <c r="N58" s="67"/>
      <c r="O58" s="70"/>
      <c r="P58" s="69"/>
      <c r="Q58" s="14"/>
      <c r="R58" s="15"/>
      <c r="S58" s="16"/>
      <c r="T58" s="16"/>
      <c r="U58" s="17"/>
      <c r="V58" s="17"/>
      <c r="W58" s="65"/>
      <c r="X58" s="65"/>
      <c r="Z58" s="69"/>
      <c r="AA58" s="69"/>
      <c r="AB58" s="69"/>
      <c r="AC58" s="69"/>
    </row>
    <row r="59" spans="1:29" s="66" customFormat="1">
      <c r="A59" s="67"/>
      <c r="B59" s="67"/>
      <c r="C59" s="67"/>
      <c r="D59" s="67"/>
      <c r="E59" s="67"/>
      <c r="F59" s="67"/>
      <c r="G59" s="68"/>
      <c r="H59" s="67"/>
      <c r="I59" s="67"/>
      <c r="J59" s="69"/>
      <c r="K59" s="69"/>
      <c r="L59" s="69"/>
      <c r="M59" s="69"/>
      <c r="N59" s="67"/>
      <c r="O59" s="70"/>
      <c r="P59" s="69"/>
      <c r="Q59" s="14"/>
      <c r="R59" s="15"/>
      <c r="S59" s="16"/>
      <c r="T59" s="16"/>
      <c r="U59" s="17"/>
      <c r="V59" s="17"/>
      <c r="W59" s="65"/>
      <c r="X59" s="65"/>
      <c r="Z59" s="69"/>
      <c r="AA59" s="69"/>
      <c r="AB59" s="69"/>
      <c r="AC59" s="69"/>
    </row>
    <row r="60" spans="1:29" s="66" customFormat="1">
      <c r="A60" s="67"/>
      <c r="B60" s="67"/>
      <c r="C60" s="67"/>
      <c r="D60" s="67"/>
      <c r="E60" s="67"/>
      <c r="F60" s="67"/>
      <c r="G60" s="68"/>
      <c r="H60" s="67"/>
      <c r="I60" s="67"/>
      <c r="J60" s="69"/>
      <c r="K60" s="69"/>
      <c r="L60" s="69"/>
      <c r="M60" s="69"/>
      <c r="N60" s="67"/>
      <c r="O60" s="70"/>
      <c r="P60" s="69"/>
      <c r="Q60" s="14"/>
      <c r="R60" s="15"/>
      <c r="S60" s="16"/>
      <c r="T60" s="16"/>
      <c r="U60" s="17"/>
      <c r="V60" s="17"/>
      <c r="W60" s="65"/>
      <c r="X60" s="65"/>
      <c r="Z60" s="69"/>
      <c r="AA60" s="69"/>
      <c r="AB60" s="69"/>
      <c r="AC60" s="69"/>
    </row>
    <row r="61" spans="1:29" s="66" customFormat="1">
      <c r="A61" s="67"/>
      <c r="B61" s="67"/>
      <c r="C61" s="67"/>
      <c r="D61" s="67"/>
      <c r="E61" s="67"/>
      <c r="F61" s="67"/>
      <c r="G61" s="68"/>
      <c r="H61" s="67"/>
      <c r="I61" s="67"/>
      <c r="J61" s="69"/>
      <c r="K61" s="69"/>
      <c r="L61" s="69"/>
      <c r="M61" s="69"/>
      <c r="N61" s="67"/>
      <c r="O61" s="70"/>
      <c r="P61" s="69"/>
      <c r="Q61" s="14"/>
      <c r="R61" s="15"/>
      <c r="S61" s="16"/>
      <c r="T61" s="16"/>
      <c r="U61" s="17"/>
      <c r="V61" s="17"/>
      <c r="W61" s="65"/>
      <c r="X61" s="65"/>
      <c r="Z61" s="69"/>
      <c r="AA61" s="69"/>
      <c r="AB61" s="69"/>
      <c r="AC61" s="69"/>
    </row>
    <row r="62" spans="1:29" s="66" customFormat="1">
      <c r="A62" s="67"/>
      <c r="B62" s="67"/>
      <c r="C62" s="67"/>
      <c r="D62" s="67"/>
      <c r="E62" s="67"/>
      <c r="F62" s="67"/>
      <c r="G62" s="68"/>
      <c r="H62" s="67"/>
      <c r="I62" s="67"/>
      <c r="J62" s="69"/>
      <c r="K62" s="69"/>
      <c r="L62" s="69"/>
      <c r="M62" s="69"/>
      <c r="N62" s="67"/>
      <c r="O62" s="70"/>
      <c r="P62" s="69"/>
      <c r="Q62" s="14"/>
      <c r="R62" s="15"/>
      <c r="S62" s="16"/>
      <c r="T62" s="16"/>
      <c r="U62" s="17"/>
      <c r="V62" s="17"/>
      <c r="W62" s="65"/>
      <c r="X62" s="65"/>
      <c r="Z62" s="69"/>
      <c r="AA62" s="69"/>
      <c r="AB62" s="69"/>
      <c r="AC62" s="69"/>
    </row>
    <row r="63" spans="1:29" s="66" customFormat="1">
      <c r="A63" s="67"/>
      <c r="B63" s="67"/>
      <c r="C63" s="67"/>
      <c r="D63" s="67"/>
      <c r="E63" s="67"/>
      <c r="F63" s="67"/>
      <c r="G63" s="68"/>
      <c r="H63" s="67"/>
      <c r="I63" s="67"/>
      <c r="J63" s="69"/>
      <c r="K63" s="69"/>
      <c r="L63" s="69"/>
      <c r="M63" s="69"/>
      <c r="N63" s="67"/>
      <c r="O63" s="70"/>
      <c r="P63" s="69"/>
      <c r="Q63" s="14"/>
      <c r="R63" s="15"/>
      <c r="S63" s="16"/>
      <c r="T63" s="16"/>
      <c r="U63" s="17"/>
      <c r="V63" s="17"/>
      <c r="W63" s="65"/>
      <c r="X63" s="65"/>
      <c r="Z63" s="69"/>
      <c r="AA63" s="69"/>
      <c r="AB63" s="69"/>
      <c r="AC63" s="69"/>
    </row>
    <row r="64" spans="1:29" s="66" customFormat="1">
      <c r="A64" s="67"/>
      <c r="B64" s="67"/>
      <c r="C64" s="67"/>
      <c r="D64" s="67"/>
      <c r="E64" s="67"/>
      <c r="F64" s="67"/>
      <c r="G64" s="68"/>
      <c r="H64" s="67"/>
      <c r="I64" s="67"/>
      <c r="J64" s="69"/>
      <c r="K64" s="69"/>
      <c r="L64" s="69"/>
      <c r="M64" s="69"/>
      <c r="N64" s="67"/>
      <c r="O64" s="70"/>
      <c r="P64" s="69"/>
      <c r="Q64" s="14"/>
      <c r="R64" s="15"/>
      <c r="S64" s="16"/>
      <c r="T64" s="16"/>
      <c r="U64" s="17"/>
      <c r="V64" s="17"/>
      <c r="W64" s="65"/>
      <c r="X64" s="65"/>
      <c r="Z64" s="69"/>
      <c r="AA64" s="69"/>
      <c r="AB64" s="69"/>
      <c r="AC64" s="69"/>
    </row>
    <row r="65" spans="1:29" s="66" customFormat="1">
      <c r="A65" s="67"/>
      <c r="B65" s="67"/>
      <c r="C65" s="67"/>
      <c r="D65" s="67"/>
      <c r="E65" s="67"/>
      <c r="F65" s="67"/>
      <c r="G65" s="68"/>
      <c r="H65" s="67"/>
      <c r="I65" s="67"/>
      <c r="J65" s="69"/>
      <c r="K65" s="69"/>
      <c r="L65" s="69"/>
      <c r="M65" s="69"/>
      <c r="N65" s="67"/>
      <c r="O65" s="70"/>
      <c r="P65" s="69"/>
      <c r="Q65" s="14"/>
      <c r="R65" s="15"/>
      <c r="S65" s="16"/>
      <c r="T65" s="16"/>
      <c r="U65" s="17"/>
      <c r="V65" s="17"/>
      <c r="W65" s="65"/>
      <c r="X65" s="65"/>
      <c r="Z65" s="69"/>
      <c r="AA65" s="69"/>
      <c r="AB65" s="69"/>
      <c r="AC65" s="69"/>
    </row>
    <row r="66" spans="1:29" s="66" customFormat="1">
      <c r="A66" s="67"/>
      <c r="B66" s="67"/>
      <c r="C66" s="67"/>
      <c r="D66" s="67"/>
      <c r="E66" s="67"/>
      <c r="F66" s="67"/>
      <c r="G66" s="68"/>
      <c r="H66" s="67"/>
      <c r="I66" s="67"/>
      <c r="J66" s="69"/>
      <c r="K66" s="69"/>
      <c r="L66" s="69"/>
      <c r="M66" s="69"/>
      <c r="N66" s="67"/>
      <c r="O66" s="70"/>
      <c r="P66" s="69"/>
      <c r="Q66" s="14"/>
      <c r="R66" s="15"/>
      <c r="S66" s="16"/>
      <c r="T66" s="16"/>
      <c r="U66" s="17"/>
      <c r="V66" s="17"/>
      <c r="W66" s="65"/>
      <c r="X66" s="65"/>
      <c r="Z66" s="69"/>
      <c r="AA66" s="69"/>
      <c r="AB66" s="69"/>
      <c r="AC66" s="69"/>
    </row>
    <row r="67" spans="1:29" s="66" customFormat="1">
      <c r="A67" s="67"/>
      <c r="B67" s="67"/>
      <c r="C67" s="67"/>
      <c r="D67" s="67"/>
      <c r="E67" s="67"/>
      <c r="F67" s="67"/>
      <c r="G67" s="68"/>
      <c r="H67" s="67"/>
      <c r="I67" s="67"/>
      <c r="J67" s="69"/>
      <c r="K67" s="69"/>
      <c r="L67" s="69"/>
      <c r="M67" s="69"/>
      <c r="N67" s="67"/>
      <c r="O67" s="70"/>
      <c r="P67" s="69"/>
      <c r="Q67" s="14"/>
      <c r="R67" s="15"/>
      <c r="S67" s="16"/>
      <c r="T67" s="16"/>
      <c r="U67" s="17"/>
      <c r="V67" s="17"/>
      <c r="W67" s="65"/>
      <c r="X67" s="65"/>
      <c r="Z67" s="69"/>
      <c r="AA67" s="69"/>
      <c r="AB67" s="69"/>
      <c r="AC67" s="69"/>
    </row>
    <row r="68" spans="1:29" s="66" customFormat="1">
      <c r="A68" s="67"/>
      <c r="B68" s="67"/>
      <c r="C68" s="67"/>
      <c r="D68" s="67"/>
      <c r="E68" s="67"/>
      <c r="F68" s="67"/>
      <c r="G68" s="68"/>
      <c r="H68" s="67"/>
      <c r="I68" s="67"/>
      <c r="J68" s="69"/>
      <c r="K68" s="69"/>
      <c r="L68" s="69"/>
      <c r="M68" s="69"/>
      <c r="N68" s="67"/>
      <c r="O68" s="70"/>
      <c r="P68" s="69"/>
      <c r="Q68" s="14"/>
      <c r="R68" s="15"/>
      <c r="S68" s="16"/>
      <c r="T68" s="16"/>
      <c r="U68" s="17"/>
      <c r="V68" s="17"/>
      <c r="W68" s="65"/>
      <c r="X68" s="65"/>
      <c r="Z68" s="69"/>
      <c r="AA68" s="69"/>
      <c r="AB68" s="69"/>
      <c r="AC68" s="69"/>
    </row>
    <row r="69" spans="1:29" s="66" customFormat="1">
      <c r="A69" s="67"/>
      <c r="B69" s="67"/>
      <c r="C69" s="67"/>
      <c r="D69" s="67"/>
      <c r="E69" s="67"/>
      <c r="F69" s="67"/>
      <c r="G69" s="68"/>
      <c r="H69" s="67"/>
      <c r="I69" s="67"/>
      <c r="J69" s="69"/>
      <c r="K69" s="69"/>
      <c r="L69" s="69"/>
      <c r="M69" s="69"/>
      <c r="N69" s="67"/>
      <c r="O69" s="70"/>
      <c r="P69" s="69"/>
      <c r="Q69" s="14"/>
      <c r="R69" s="15"/>
      <c r="S69" s="16"/>
      <c r="T69" s="16"/>
      <c r="U69" s="17"/>
      <c r="V69" s="17"/>
      <c r="W69" s="65"/>
      <c r="X69" s="65"/>
      <c r="Z69" s="69"/>
      <c r="AA69" s="69"/>
      <c r="AB69" s="69"/>
      <c r="AC69" s="69"/>
    </row>
    <row r="70" spans="1:29" s="66" customFormat="1">
      <c r="A70" s="67"/>
      <c r="B70" s="67"/>
      <c r="C70" s="67"/>
      <c r="D70" s="67"/>
      <c r="E70" s="67"/>
      <c r="F70" s="67"/>
      <c r="G70" s="68"/>
      <c r="H70" s="67"/>
      <c r="I70" s="67"/>
      <c r="J70" s="69"/>
      <c r="K70" s="69"/>
      <c r="L70" s="69"/>
      <c r="M70" s="69"/>
      <c r="N70" s="67"/>
      <c r="O70" s="70"/>
      <c r="P70" s="69"/>
      <c r="Q70" s="14"/>
      <c r="R70" s="15"/>
      <c r="S70" s="16"/>
      <c r="T70" s="16"/>
      <c r="U70" s="17"/>
      <c r="V70" s="17"/>
      <c r="W70" s="65"/>
      <c r="X70" s="65"/>
      <c r="Z70" s="69"/>
      <c r="AA70" s="69"/>
      <c r="AB70" s="69"/>
      <c r="AC70" s="69"/>
    </row>
    <row r="71" spans="1:29" s="66" customFormat="1">
      <c r="A71" s="67"/>
      <c r="B71" s="67"/>
      <c r="C71" s="67"/>
      <c r="D71" s="67"/>
      <c r="E71" s="67"/>
      <c r="F71" s="67"/>
      <c r="G71" s="68"/>
      <c r="H71" s="67"/>
      <c r="I71" s="67"/>
      <c r="J71" s="69"/>
      <c r="K71" s="69"/>
      <c r="L71" s="69"/>
      <c r="M71" s="69"/>
      <c r="N71" s="67"/>
      <c r="O71" s="70"/>
      <c r="P71" s="69"/>
      <c r="Q71" s="14"/>
      <c r="R71" s="15"/>
      <c r="S71" s="16"/>
      <c r="T71" s="16"/>
      <c r="U71" s="17"/>
      <c r="V71" s="17"/>
      <c r="W71" s="65"/>
      <c r="X71" s="65"/>
      <c r="Z71" s="69"/>
      <c r="AA71" s="69"/>
      <c r="AB71" s="69"/>
      <c r="AC71" s="69"/>
    </row>
    <row r="72" spans="1:29" s="66" customFormat="1">
      <c r="A72" s="67"/>
      <c r="B72" s="67"/>
      <c r="C72" s="67"/>
      <c r="D72" s="67"/>
      <c r="E72" s="67"/>
      <c r="F72" s="67"/>
      <c r="G72" s="68"/>
      <c r="H72" s="67"/>
      <c r="I72" s="67"/>
      <c r="J72" s="69"/>
      <c r="K72" s="69"/>
      <c r="L72" s="69"/>
      <c r="M72" s="69"/>
      <c r="N72" s="67"/>
      <c r="O72" s="70"/>
      <c r="P72" s="69"/>
      <c r="Q72" s="14"/>
      <c r="R72" s="15"/>
      <c r="S72" s="16"/>
      <c r="T72" s="16"/>
      <c r="U72" s="17"/>
      <c r="V72" s="17"/>
      <c r="W72" s="65"/>
      <c r="X72" s="65"/>
      <c r="Z72" s="69"/>
      <c r="AA72" s="69"/>
      <c r="AB72" s="69"/>
      <c r="AC72" s="69"/>
    </row>
    <row r="73" spans="1:29" s="66" customFormat="1">
      <c r="A73" s="67"/>
      <c r="B73" s="67"/>
      <c r="C73" s="67"/>
      <c r="D73" s="67"/>
      <c r="E73" s="67"/>
      <c r="F73" s="67"/>
      <c r="G73" s="68"/>
      <c r="H73" s="67"/>
      <c r="I73" s="67"/>
      <c r="J73" s="69"/>
      <c r="K73" s="69"/>
      <c r="L73" s="69"/>
      <c r="M73" s="69"/>
      <c r="N73" s="67"/>
      <c r="O73" s="70"/>
      <c r="P73" s="69"/>
      <c r="Q73" s="14"/>
      <c r="R73" s="15"/>
      <c r="S73" s="16"/>
      <c r="T73" s="16"/>
      <c r="U73" s="17"/>
      <c r="V73" s="17"/>
      <c r="W73" s="65"/>
      <c r="X73" s="65"/>
      <c r="Z73" s="69"/>
      <c r="AA73" s="69"/>
      <c r="AB73" s="69"/>
      <c r="AC73" s="69"/>
    </row>
    <row r="74" spans="1:29" s="66" customFormat="1">
      <c r="A74" s="67"/>
      <c r="B74" s="67"/>
      <c r="C74" s="67"/>
      <c r="D74" s="67"/>
      <c r="E74" s="67"/>
      <c r="F74" s="67"/>
      <c r="G74" s="68"/>
      <c r="H74" s="67"/>
      <c r="I74" s="67"/>
      <c r="J74" s="69"/>
      <c r="K74" s="69"/>
      <c r="L74" s="69"/>
      <c r="M74" s="69"/>
      <c r="N74" s="67"/>
      <c r="O74" s="70"/>
      <c r="P74" s="69"/>
      <c r="Q74" s="14"/>
      <c r="R74" s="15"/>
      <c r="S74" s="16"/>
      <c r="T74" s="16"/>
      <c r="U74" s="17"/>
      <c r="V74" s="17"/>
      <c r="W74" s="65"/>
      <c r="X74" s="65"/>
      <c r="Z74" s="69"/>
      <c r="AA74" s="69"/>
      <c r="AB74" s="69"/>
      <c r="AC74" s="69"/>
    </row>
    <row r="75" spans="1:29" s="66" customFormat="1">
      <c r="A75" s="67"/>
      <c r="B75" s="67"/>
      <c r="C75" s="67"/>
      <c r="D75" s="67"/>
      <c r="E75" s="67"/>
      <c r="F75" s="67"/>
      <c r="G75" s="68"/>
      <c r="H75" s="67"/>
      <c r="I75" s="67"/>
      <c r="J75" s="69"/>
      <c r="K75" s="69"/>
      <c r="L75" s="69"/>
      <c r="M75" s="69"/>
      <c r="N75" s="67"/>
      <c r="O75" s="70"/>
      <c r="P75" s="69"/>
      <c r="Q75" s="14"/>
      <c r="R75" s="15"/>
      <c r="S75" s="16"/>
      <c r="T75" s="16"/>
      <c r="U75" s="17"/>
      <c r="V75" s="17"/>
      <c r="W75" s="65"/>
      <c r="X75" s="65"/>
      <c r="Z75" s="69"/>
      <c r="AA75" s="69"/>
      <c r="AB75" s="69"/>
      <c r="AC75" s="69"/>
    </row>
    <row r="76" spans="1:29" s="66" customFormat="1">
      <c r="A76" s="67"/>
      <c r="B76" s="67"/>
      <c r="C76" s="67"/>
      <c r="D76" s="67"/>
      <c r="E76" s="67"/>
      <c r="F76" s="67"/>
      <c r="G76" s="68"/>
      <c r="H76" s="67"/>
      <c r="I76" s="67"/>
      <c r="J76" s="69"/>
      <c r="K76" s="69"/>
      <c r="L76" s="69"/>
      <c r="M76" s="69"/>
      <c r="N76" s="67"/>
      <c r="O76" s="70"/>
      <c r="P76" s="69"/>
      <c r="Q76" s="14"/>
      <c r="R76" s="15"/>
      <c r="S76" s="16"/>
      <c r="T76" s="16"/>
      <c r="U76" s="17"/>
      <c r="V76" s="17"/>
      <c r="W76" s="65"/>
      <c r="X76" s="65"/>
      <c r="Z76" s="69"/>
      <c r="AA76" s="69"/>
      <c r="AB76" s="69"/>
      <c r="AC76" s="69"/>
    </row>
    <row r="77" spans="1:29" s="66" customFormat="1">
      <c r="A77" s="67"/>
      <c r="B77" s="67"/>
      <c r="C77" s="67"/>
      <c r="D77" s="67"/>
      <c r="E77" s="67"/>
      <c r="F77" s="67"/>
      <c r="G77" s="68"/>
      <c r="H77" s="67"/>
      <c r="I77" s="67"/>
      <c r="J77" s="69"/>
      <c r="K77" s="69"/>
      <c r="L77" s="69"/>
      <c r="M77" s="69"/>
      <c r="N77" s="67"/>
      <c r="O77" s="70"/>
      <c r="P77" s="69"/>
      <c r="Q77" s="14"/>
      <c r="R77" s="15"/>
      <c r="S77" s="16"/>
      <c r="T77" s="16"/>
      <c r="U77" s="17"/>
      <c r="V77" s="17"/>
      <c r="W77" s="65"/>
      <c r="X77" s="65"/>
      <c r="Z77" s="69"/>
      <c r="AA77" s="69"/>
      <c r="AB77" s="69"/>
      <c r="AC77" s="69"/>
    </row>
    <row r="78" spans="1:29" s="66" customFormat="1">
      <c r="A78" s="67"/>
      <c r="B78" s="67"/>
      <c r="C78" s="67"/>
      <c r="D78" s="67"/>
      <c r="E78" s="67"/>
      <c r="F78" s="67"/>
      <c r="G78" s="68"/>
      <c r="H78" s="67"/>
      <c r="I78" s="67"/>
      <c r="J78" s="69"/>
      <c r="K78" s="69"/>
      <c r="L78" s="69"/>
      <c r="M78" s="69"/>
      <c r="N78" s="67"/>
      <c r="O78" s="70"/>
      <c r="P78" s="69"/>
      <c r="Q78" s="14"/>
      <c r="R78" s="15"/>
      <c r="S78" s="16"/>
      <c r="T78" s="16"/>
      <c r="U78" s="17"/>
      <c r="V78" s="17"/>
      <c r="W78" s="65"/>
      <c r="X78" s="65"/>
      <c r="Z78" s="69"/>
      <c r="AA78" s="69"/>
      <c r="AB78" s="69"/>
      <c r="AC78" s="69"/>
    </row>
    <row r="79" spans="1:29" s="66" customFormat="1">
      <c r="A79" s="67"/>
      <c r="B79" s="67"/>
      <c r="C79" s="67"/>
      <c r="D79" s="67"/>
      <c r="E79" s="67"/>
      <c r="F79" s="67"/>
      <c r="G79" s="68"/>
      <c r="H79" s="67"/>
      <c r="I79" s="67"/>
      <c r="J79" s="69"/>
      <c r="K79" s="69"/>
      <c r="L79" s="69"/>
      <c r="M79" s="69"/>
      <c r="N79" s="67"/>
      <c r="O79" s="70"/>
      <c r="P79" s="69"/>
      <c r="Q79" s="14"/>
      <c r="R79" s="15"/>
      <c r="S79" s="16"/>
      <c r="T79" s="16"/>
      <c r="U79" s="17"/>
      <c r="V79" s="17"/>
      <c r="W79" s="65"/>
      <c r="X79" s="65"/>
      <c r="Z79" s="69"/>
      <c r="AA79" s="69"/>
      <c r="AB79" s="69"/>
      <c r="AC79" s="69"/>
    </row>
    <row r="80" spans="1:29" s="66" customFormat="1">
      <c r="A80" s="67"/>
      <c r="B80" s="67"/>
      <c r="C80" s="67"/>
      <c r="D80" s="67"/>
      <c r="E80" s="67"/>
      <c r="F80" s="67"/>
      <c r="G80" s="68"/>
      <c r="H80" s="67"/>
      <c r="I80" s="67"/>
      <c r="J80" s="69"/>
      <c r="K80" s="69"/>
      <c r="L80" s="69"/>
      <c r="M80" s="69"/>
      <c r="N80" s="67"/>
      <c r="O80" s="70"/>
      <c r="P80" s="69"/>
      <c r="Q80" s="14"/>
      <c r="R80" s="15"/>
      <c r="S80" s="16"/>
      <c r="T80" s="16"/>
      <c r="U80" s="17"/>
      <c r="V80" s="17"/>
      <c r="W80" s="65"/>
      <c r="X80" s="65"/>
      <c r="Z80" s="69"/>
      <c r="AA80" s="69"/>
      <c r="AB80" s="69"/>
      <c r="AC80" s="69"/>
    </row>
    <row r="81" spans="1:29" s="66" customFormat="1">
      <c r="A81" s="67"/>
      <c r="B81" s="67"/>
      <c r="C81" s="67"/>
      <c r="D81" s="67"/>
      <c r="E81" s="67"/>
      <c r="F81" s="67"/>
      <c r="G81" s="68"/>
      <c r="H81" s="67"/>
      <c r="I81" s="67"/>
      <c r="J81" s="69"/>
      <c r="K81" s="69"/>
      <c r="L81" s="69"/>
      <c r="M81" s="69"/>
      <c r="N81" s="67"/>
      <c r="O81" s="70"/>
      <c r="P81" s="69"/>
      <c r="Q81" s="14"/>
      <c r="R81" s="15"/>
      <c r="S81" s="16"/>
      <c r="T81" s="16"/>
      <c r="U81" s="17"/>
      <c r="V81" s="17"/>
      <c r="W81" s="65"/>
      <c r="X81" s="65"/>
      <c r="Z81" s="69"/>
      <c r="AA81" s="69"/>
      <c r="AB81" s="69"/>
      <c r="AC81" s="69"/>
    </row>
    <row r="82" spans="1:29" s="66" customFormat="1">
      <c r="A82" s="67"/>
      <c r="B82" s="67"/>
      <c r="C82" s="67"/>
      <c r="D82" s="67"/>
      <c r="E82" s="67"/>
      <c r="F82" s="67"/>
      <c r="G82" s="68"/>
      <c r="H82" s="67"/>
      <c r="I82" s="67"/>
      <c r="J82" s="69"/>
      <c r="K82" s="69"/>
      <c r="L82" s="69"/>
      <c r="M82" s="69"/>
      <c r="N82" s="67"/>
      <c r="O82" s="70"/>
      <c r="P82" s="69"/>
      <c r="Q82" s="14"/>
      <c r="R82" s="15"/>
      <c r="S82" s="16"/>
      <c r="T82" s="16"/>
      <c r="U82" s="17"/>
      <c r="V82" s="17"/>
      <c r="W82" s="65"/>
      <c r="X82" s="65"/>
      <c r="Z82" s="69"/>
      <c r="AA82" s="69"/>
      <c r="AB82" s="69"/>
      <c r="AC82" s="69"/>
    </row>
    <row r="83" spans="1:29" s="66" customFormat="1">
      <c r="A83" s="67"/>
      <c r="B83" s="67"/>
      <c r="C83" s="67"/>
      <c r="D83" s="67"/>
      <c r="E83" s="67"/>
      <c r="F83" s="67"/>
      <c r="G83" s="68"/>
      <c r="H83" s="67"/>
      <c r="I83" s="67"/>
      <c r="J83" s="69"/>
      <c r="K83" s="69"/>
      <c r="L83" s="69"/>
      <c r="M83" s="69"/>
      <c r="N83" s="67"/>
      <c r="O83" s="70"/>
      <c r="P83" s="69"/>
      <c r="Q83" s="14"/>
      <c r="R83" s="15"/>
      <c r="S83" s="16"/>
      <c r="T83" s="16"/>
      <c r="U83" s="17"/>
      <c r="V83" s="17"/>
      <c r="W83" s="65"/>
      <c r="X83" s="65"/>
      <c r="Z83" s="69"/>
      <c r="AA83" s="69"/>
      <c r="AB83" s="69"/>
      <c r="AC83" s="69"/>
    </row>
    <row r="84" spans="1:29" s="66" customFormat="1">
      <c r="A84" s="67"/>
      <c r="B84" s="67"/>
      <c r="C84" s="67"/>
      <c r="D84" s="67"/>
      <c r="E84" s="67"/>
      <c r="F84" s="67"/>
      <c r="G84" s="68"/>
      <c r="H84" s="67"/>
      <c r="I84" s="67"/>
      <c r="J84" s="69"/>
      <c r="K84" s="69"/>
      <c r="L84" s="69"/>
      <c r="M84" s="69"/>
      <c r="N84" s="67"/>
      <c r="O84" s="70"/>
      <c r="P84" s="69"/>
      <c r="Q84" s="14"/>
      <c r="R84" s="15"/>
      <c r="S84" s="16"/>
      <c r="T84" s="16"/>
      <c r="U84" s="17"/>
      <c r="V84" s="17"/>
      <c r="W84" s="65"/>
      <c r="X84" s="65"/>
      <c r="Z84" s="69"/>
      <c r="AA84" s="69"/>
      <c r="AB84" s="69"/>
      <c r="AC84" s="69"/>
    </row>
    <row r="85" spans="1:29" s="66" customFormat="1">
      <c r="A85" s="67"/>
      <c r="B85" s="67"/>
      <c r="C85" s="67"/>
      <c r="D85" s="67"/>
      <c r="E85" s="67"/>
      <c r="F85" s="67"/>
      <c r="G85" s="68"/>
      <c r="H85" s="67"/>
      <c r="I85" s="67"/>
      <c r="J85" s="69"/>
      <c r="K85" s="69"/>
      <c r="L85" s="69"/>
      <c r="M85" s="69"/>
      <c r="N85" s="67"/>
      <c r="O85" s="70"/>
      <c r="P85" s="69"/>
      <c r="Q85" s="14"/>
      <c r="R85" s="15"/>
      <c r="S85" s="16"/>
      <c r="T85" s="16"/>
      <c r="U85" s="17"/>
      <c r="V85" s="17"/>
      <c r="W85" s="65"/>
      <c r="X85" s="65"/>
      <c r="Z85" s="69"/>
      <c r="AA85" s="69"/>
      <c r="AB85" s="69"/>
      <c r="AC85" s="69"/>
    </row>
    <row r="86" spans="1:29" s="66" customFormat="1">
      <c r="A86" s="67"/>
      <c r="B86" s="67"/>
      <c r="C86" s="67"/>
      <c r="D86" s="67"/>
      <c r="E86" s="67"/>
      <c r="F86" s="67"/>
      <c r="G86" s="68"/>
      <c r="H86" s="67"/>
      <c r="I86" s="67"/>
      <c r="J86" s="69"/>
      <c r="K86" s="69"/>
      <c r="L86" s="69"/>
      <c r="M86" s="69"/>
      <c r="N86" s="67"/>
      <c r="O86" s="70"/>
      <c r="P86" s="69"/>
      <c r="Q86" s="14"/>
      <c r="R86" s="15"/>
      <c r="S86" s="16"/>
      <c r="T86" s="16"/>
      <c r="U86" s="17"/>
      <c r="V86" s="17"/>
      <c r="W86" s="65"/>
      <c r="X86" s="65"/>
      <c r="Z86" s="69"/>
      <c r="AA86" s="69"/>
      <c r="AB86" s="69"/>
      <c r="AC86" s="69"/>
    </row>
    <row r="87" spans="1:29" s="66" customFormat="1">
      <c r="A87" s="67"/>
      <c r="B87" s="67"/>
      <c r="C87" s="67"/>
      <c r="D87" s="67"/>
      <c r="E87" s="67"/>
      <c r="F87" s="67"/>
      <c r="G87" s="68"/>
      <c r="H87" s="67"/>
      <c r="I87" s="67"/>
      <c r="J87" s="69"/>
      <c r="K87" s="69"/>
      <c r="L87" s="69"/>
      <c r="M87" s="69"/>
      <c r="N87" s="67"/>
      <c r="O87" s="70"/>
      <c r="P87" s="69"/>
      <c r="Q87" s="14"/>
      <c r="R87" s="15"/>
      <c r="S87" s="16"/>
      <c r="T87" s="16"/>
      <c r="U87" s="17"/>
      <c r="V87" s="17"/>
      <c r="W87" s="65"/>
      <c r="X87" s="65"/>
      <c r="Z87" s="69"/>
      <c r="AA87" s="69"/>
      <c r="AB87" s="69"/>
      <c r="AC87" s="69"/>
    </row>
    <row r="88" spans="1:29" s="66" customFormat="1">
      <c r="A88" s="67"/>
      <c r="B88" s="67"/>
      <c r="C88" s="67"/>
      <c r="D88" s="67"/>
      <c r="E88" s="67"/>
      <c r="F88" s="67"/>
      <c r="G88" s="68"/>
      <c r="H88" s="67"/>
      <c r="I88" s="67"/>
      <c r="J88" s="69"/>
      <c r="K88" s="69"/>
      <c r="L88" s="69"/>
      <c r="M88" s="69"/>
      <c r="N88" s="67"/>
      <c r="O88" s="70"/>
      <c r="P88" s="69"/>
      <c r="Q88" s="14"/>
      <c r="R88" s="15"/>
      <c r="S88" s="16"/>
      <c r="T88" s="16"/>
      <c r="U88" s="17"/>
      <c r="V88" s="17"/>
      <c r="W88" s="65"/>
      <c r="X88" s="65"/>
      <c r="Z88" s="69"/>
      <c r="AA88" s="69"/>
      <c r="AB88" s="69"/>
      <c r="AC88" s="69"/>
    </row>
    <row r="89" spans="1:29" s="66" customFormat="1">
      <c r="A89" s="67"/>
      <c r="B89" s="67"/>
      <c r="C89" s="67"/>
      <c r="D89" s="67"/>
      <c r="E89" s="67"/>
      <c r="F89" s="67"/>
      <c r="G89" s="68"/>
      <c r="H89" s="67"/>
      <c r="I89" s="67"/>
      <c r="J89" s="69"/>
      <c r="K89" s="69"/>
      <c r="L89" s="69"/>
      <c r="M89" s="69"/>
      <c r="N89" s="67"/>
      <c r="O89" s="70"/>
      <c r="P89" s="69"/>
      <c r="Q89" s="14"/>
      <c r="R89" s="15"/>
      <c r="S89" s="16"/>
      <c r="T89" s="16"/>
      <c r="U89" s="17"/>
      <c r="V89" s="17"/>
      <c r="W89" s="65"/>
      <c r="X89" s="65"/>
      <c r="Z89" s="69"/>
      <c r="AA89" s="69"/>
      <c r="AB89" s="69"/>
      <c r="AC89" s="69"/>
    </row>
    <row r="90" spans="1:29" s="66" customFormat="1">
      <c r="A90" s="67"/>
      <c r="B90" s="67"/>
      <c r="C90" s="67"/>
      <c r="D90" s="67"/>
      <c r="E90" s="67"/>
      <c r="F90" s="67"/>
      <c r="G90" s="68"/>
      <c r="H90" s="67"/>
      <c r="I90" s="67"/>
      <c r="J90" s="69"/>
      <c r="K90" s="69"/>
      <c r="L90" s="69"/>
      <c r="M90" s="69"/>
      <c r="N90" s="67"/>
      <c r="O90" s="70"/>
      <c r="P90" s="69"/>
      <c r="Q90" s="14"/>
      <c r="R90" s="15"/>
      <c r="S90" s="16"/>
      <c r="T90" s="16"/>
      <c r="U90" s="17"/>
      <c r="V90" s="17"/>
      <c r="W90" s="65"/>
      <c r="X90" s="65"/>
      <c r="Z90" s="69"/>
      <c r="AA90" s="69"/>
      <c r="AB90" s="69"/>
      <c r="AC90" s="69"/>
    </row>
    <row r="91" spans="1:29" s="66" customFormat="1">
      <c r="A91" s="67"/>
      <c r="B91" s="67"/>
      <c r="C91" s="67"/>
      <c r="D91" s="67"/>
      <c r="E91" s="67"/>
      <c r="F91" s="67"/>
      <c r="G91" s="68"/>
      <c r="H91" s="67"/>
      <c r="I91" s="67"/>
      <c r="J91" s="69"/>
      <c r="K91" s="69"/>
      <c r="L91" s="69"/>
      <c r="M91" s="69"/>
      <c r="N91" s="67"/>
      <c r="O91" s="70"/>
      <c r="P91" s="69"/>
      <c r="Q91" s="14"/>
      <c r="R91" s="15"/>
      <c r="S91" s="16"/>
      <c r="T91" s="16"/>
      <c r="U91" s="17"/>
      <c r="V91" s="17"/>
      <c r="W91" s="65"/>
      <c r="X91" s="65"/>
      <c r="Z91" s="69"/>
      <c r="AA91" s="69"/>
      <c r="AB91" s="69"/>
      <c r="AC91" s="69"/>
    </row>
    <row r="92" spans="1:29" s="66" customFormat="1">
      <c r="A92" s="67"/>
      <c r="B92" s="67"/>
      <c r="C92" s="67"/>
      <c r="D92" s="67"/>
      <c r="E92" s="67"/>
      <c r="F92" s="67"/>
      <c r="G92" s="68"/>
      <c r="H92" s="67"/>
      <c r="I92" s="67"/>
      <c r="J92" s="69"/>
      <c r="K92" s="69"/>
      <c r="L92" s="69"/>
      <c r="M92" s="69"/>
      <c r="N92" s="67"/>
      <c r="O92" s="70"/>
      <c r="P92" s="69"/>
      <c r="Q92" s="14"/>
      <c r="R92" s="15"/>
      <c r="S92" s="16"/>
      <c r="T92" s="16"/>
      <c r="U92" s="17"/>
      <c r="V92" s="17"/>
      <c r="W92" s="65"/>
      <c r="X92" s="65"/>
      <c r="Z92" s="69"/>
      <c r="AA92" s="69"/>
      <c r="AB92" s="69"/>
      <c r="AC92" s="69"/>
    </row>
    <row r="93" spans="1:29" s="66" customFormat="1">
      <c r="A93" s="67"/>
      <c r="B93" s="67"/>
      <c r="C93" s="67"/>
      <c r="D93" s="67"/>
      <c r="E93" s="67"/>
      <c r="F93" s="67"/>
      <c r="G93" s="68"/>
      <c r="H93" s="67"/>
      <c r="I93" s="67"/>
      <c r="J93" s="69"/>
      <c r="K93" s="69"/>
      <c r="L93" s="69"/>
      <c r="M93" s="69"/>
      <c r="N93" s="67"/>
      <c r="O93" s="70"/>
      <c r="P93" s="69"/>
      <c r="Q93" s="14"/>
      <c r="R93" s="15"/>
      <c r="S93" s="16"/>
      <c r="T93" s="16"/>
      <c r="U93" s="17"/>
      <c r="V93" s="17"/>
      <c r="W93" s="65"/>
      <c r="X93" s="65"/>
      <c r="Z93" s="69"/>
      <c r="AA93" s="69"/>
      <c r="AB93" s="69"/>
      <c r="AC93" s="69"/>
    </row>
    <row r="94" spans="1:29" s="66" customFormat="1">
      <c r="A94" s="67"/>
      <c r="B94" s="67"/>
      <c r="C94" s="67"/>
      <c r="D94" s="67"/>
      <c r="E94" s="67"/>
      <c r="F94" s="67"/>
      <c r="G94" s="68"/>
      <c r="H94" s="67"/>
      <c r="I94" s="67"/>
      <c r="J94" s="69"/>
      <c r="K94" s="69"/>
      <c r="L94" s="69"/>
      <c r="M94" s="69"/>
      <c r="N94" s="67"/>
      <c r="O94" s="70"/>
      <c r="P94" s="69"/>
      <c r="Q94" s="14"/>
      <c r="R94" s="15"/>
      <c r="S94" s="16"/>
      <c r="T94" s="16"/>
      <c r="U94" s="17"/>
      <c r="V94" s="17"/>
      <c r="W94" s="65"/>
      <c r="X94" s="65"/>
      <c r="Z94" s="69"/>
      <c r="AA94" s="69"/>
      <c r="AB94" s="69"/>
      <c r="AC94" s="69"/>
    </row>
    <row r="95" spans="1:29" s="66" customFormat="1">
      <c r="A95" s="67"/>
      <c r="B95" s="67"/>
      <c r="C95" s="67"/>
      <c r="D95" s="67"/>
      <c r="E95" s="67"/>
      <c r="F95" s="67"/>
      <c r="G95" s="68"/>
      <c r="H95" s="67"/>
      <c r="I95" s="67"/>
      <c r="J95" s="69"/>
      <c r="K95" s="69"/>
      <c r="L95" s="69"/>
      <c r="M95" s="69"/>
      <c r="N95" s="67"/>
      <c r="O95" s="70"/>
      <c r="P95" s="69"/>
      <c r="Q95" s="14"/>
      <c r="R95" s="15"/>
      <c r="S95" s="16"/>
      <c r="T95" s="16"/>
      <c r="U95" s="17"/>
      <c r="V95" s="17"/>
      <c r="W95" s="65"/>
      <c r="X95" s="65"/>
      <c r="Z95" s="69"/>
      <c r="AA95" s="69"/>
      <c r="AB95" s="69"/>
      <c r="AC95" s="69"/>
    </row>
    <row r="96" spans="1:29" s="66" customFormat="1">
      <c r="A96" s="67"/>
      <c r="B96" s="67"/>
      <c r="C96" s="67"/>
      <c r="D96" s="67"/>
      <c r="E96" s="67"/>
      <c r="F96" s="67"/>
      <c r="G96" s="68"/>
      <c r="H96" s="67"/>
      <c r="I96" s="67"/>
      <c r="J96" s="69"/>
      <c r="K96" s="69"/>
      <c r="L96" s="69"/>
      <c r="M96" s="69"/>
      <c r="N96" s="67"/>
      <c r="O96" s="70"/>
      <c r="P96" s="69"/>
      <c r="Q96" s="14"/>
      <c r="R96" s="15"/>
      <c r="S96" s="16"/>
      <c r="T96" s="16"/>
      <c r="U96" s="17"/>
      <c r="V96" s="17"/>
      <c r="W96" s="65"/>
      <c r="X96" s="65"/>
      <c r="Z96" s="69"/>
      <c r="AA96" s="69"/>
      <c r="AB96" s="69"/>
      <c r="AC96" s="69"/>
    </row>
    <row r="97" spans="1:29" s="66" customFormat="1">
      <c r="A97" s="67"/>
      <c r="B97" s="67"/>
      <c r="C97" s="67"/>
      <c r="D97" s="67"/>
      <c r="E97" s="67"/>
      <c r="F97" s="67"/>
      <c r="G97" s="68"/>
      <c r="H97" s="67"/>
      <c r="I97" s="67"/>
      <c r="J97" s="69"/>
      <c r="K97" s="69"/>
      <c r="L97" s="69"/>
      <c r="M97" s="69"/>
      <c r="N97" s="67"/>
      <c r="O97" s="70"/>
      <c r="P97" s="69"/>
      <c r="Q97" s="14"/>
      <c r="R97" s="15"/>
      <c r="S97" s="16"/>
      <c r="T97" s="16"/>
      <c r="U97" s="17"/>
      <c r="V97" s="17"/>
      <c r="W97" s="65"/>
      <c r="X97" s="65"/>
      <c r="Z97" s="69"/>
      <c r="AA97" s="69"/>
      <c r="AB97" s="69"/>
      <c r="AC97" s="69"/>
    </row>
    <row r="98" spans="1:29" s="66" customFormat="1">
      <c r="A98" s="67"/>
      <c r="B98" s="67"/>
      <c r="C98" s="67"/>
      <c r="D98" s="67"/>
      <c r="E98" s="67"/>
      <c r="F98" s="67"/>
      <c r="G98" s="68"/>
      <c r="H98" s="67"/>
      <c r="I98" s="67"/>
      <c r="J98" s="69"/>
      <c r="K98" s="69"/>
      <c r="L98" s="69"/>
      <c r="M98" s="69"/>
      <c r="N98" s="67"/>
      <c r="O98" s="70"/>
      <c r="P98" s="69"/>
      <c r="Q98" s="14"/>
      <c r="R98" s="15"/>
      <c r="S98" s="16"/>
      <c r="T98" s="16"/>
      <c r="U98" s="17"/>
      <c r="V98" s="17"/>
      <c r="W98" s="65"/>
      <c r="X98" s="65"/>
      <c r="Z98" s="69"/>
      <c r="AA98" s="69"/>
      <c r="AB98" s="69"/>
      <c r="AC98" s="69"/>
    </row>
    <row r="99" spans="1:29" s="66" customFormat="1">
      <c r="A99" s="67"/>
      <c r="B99" s="67"/>
      <c r="C99" s="67"/>
      <c r="D99" s="67"/>
      <c r="E99" s="67"/>
      <c r="F99" s="67"/>
      <c r="G99" s="68"/>
      <c r="H99" s="67"/>
      <c r="I99" s="67"/>
      <c r="J99" s="69"/>
      <c r="K99" s="69"/>
      <c r="L99" s="69"/>
      <c r="M99" s="69"/>
      <c r="N99" s="67"/>
      <c r="O99" s="70"/>
      <c r="P99" s="69"/>
      <c r="Q99" s="14"/>
      <c r="R99" s="15"/>
      <c r="S99" s="16"/>
      <c r="T99" s="16"/>
      <c r="U99" s="17"/>
      <c r="V99" s="17"/>
      <c r="W99" s="65"/>
      <c r="X99" s="65"/>
      <c r="Z99" s="69"/>
      <c r="AA99" s="69"/>
      <c r="AB99" s="69"/>
      <c r="AC99" s="69"/>
    </row>
    <row r="100" spans="1:29" s="66" customFormat="1">
      <c r="A100" s="67"/>
      <c r="B100" s="67"/>
      <c r="C100" s="67"/>
      <c r="D100" s="67"/>
      <c r="E100" s="67"/>
      <c r="F100" s="67"/>
      <c r="G100" s="68"/>
      <c r="H100" s="67"/>
      <c r="I100" s="67"/>
      <c r="J100" s="69"/>
      <c r="K100" s="69"/>
      <c r="L100" s="69"/>
      <c r="M100" s="69"/>
      <c r="N100" s="67"/>
      <c r="O100" s="70"/>
      <c r="P100" s="69"/>
      <c r="Q100" s="14"/>
      <c r="R100" s="15"/>
      <c r="S100" s="16"/>
      <c r="T100" s="16"/>
      <c r="U100" s="17"/>
      <c r="V100" s="17"/>
      <c r="W100" s="65"/>
      <c r="X100" s="65"/>
      <c r="Z100" s="69"/>
      <c r="AA100" s="69"/>
      <c r="AB100" s="69"/>
      <c r="AC100" s="69"/>
    </row>
    <row r="101" spans="1:29" s="66" customFormat="1">
      <c r="A101" s="67"/>
      <c r="B101" s="67"/>
      <c r="C101" s="67"/>
      <c r="D101" s="67"/>
      <c r="E101" s="67"/>
      <c r="F101" s="67"/>
      <c r="G101" s="68"/>
      <c r="H101" s="67"/>
      <c r="I101" s="67"/>
      <c r="J101" s="69"/>
      <c r="K101" s="69"/>
      <c r="L101" s="69"/>
      <c r="M101" s="69"/>
      <c r="N101" s="67"/>
      <c r="O101" s="70"/>
      <c r="P101" s="69"/>
      <c r="Q101" s="14"/>
      <c r="R101" s="15"/>
      <c r="S101" s="16"/>
      <c r="T101" s="16"/>
      <c r="U101" s="17"/>
      <c r="V101" s="17"/>
      <c r="W101" s="65"/>
      <c r="X101" s="65"/>
      <c r="Z101" s="69"/>
      <c r="AA101" s="69"/>
      <c r="AB101" s="69"/>
      <c r="AC101" s="69"/>
    </row>
    <row r="102" spans="1:29" s="66" customFormat="1">
      <c r="A102" s="67"/>
      <c r="B102" s="67"/>
      <c r="C102" s="67"/>
      <c r="D102" s="67"/>
      <c r="E102" s="67"/>
      <c r="F102" s="67"/>
      <c r="G102" s="68"/>
      <c r="H102" s="67"/>
      <c r="I102" s="67"/>
      <c r="J102" s="69"/>
      <c r="K102" s="69"/>
      <c r="L102" s="69"/>
      <c r="M102" s="69"/>
      <c r="N102" s="67"/>
      <c r="O102" s="70"/>
      <c r="P102" s="69"/>
      <c r="Q102" s="14"/>
      <c r="R102" s="15"/>
      <c r="S102" s="16"/>
      <c r="T102" s="16"/>
      <c r="U102" s="17"/>
      <c r="V102" s="17"/>
      <c r="W102" s="65"/>
      <c r="X102" s="65"/>
      <c r="Z102" s="69"/>
      <c r="AA102" s="69"/>
      <c r="AB102" s="69"/>
      <c r="AC102" s="69"/>
    </row>
    <row r="103" spans="1:29" s="66" customFormat="1">
      <c r="A103" s="67"/>
      <c r="B103" s="67"/>
      <c r="C103" s="67"/>
      <c r="D103" s="67"/>
      <c r="E103" s="67"/>
      <c r="F103" s="67"/>
      <c r="G103" s="68"/>
      <c r="H103" s="67"/>
      <c r="I103" s="67"/>
      <c r="J103" s="69"/>
      <c r="K103" s="69"/>
      <c r="L103" s="69"/>
      <c r="M103" s="69"/>
      <c r="N103" s="67"/>
      <c r="O103" s="70"/>
      <c r="P103" s="69"/>
      <c r="Q103" s="14"/>
      <c r="R103" s="15"/>
      <c r="S103" s="16"/>
      <c r="T103" s="16"/>
      <c r="U103" s="17"/>
      <c r="V103" s="17"/>
      <c r="W103" s="65"/>
      <c r="X103" s="65"/>
      <c r="Z103" s="69"/>
      <c r="AA103" s="69"/>
      <c r="AB103" s="69"/>
      <c r="AC103" s="69"/>
    </row>
    <row r="104" spans="1:29" s="66" customFormat="1">
      <c r="A104" s="67"/>
      <c r="B104" s="67"/>
      <c r="C104" s="67"/>
      <c r="D104" s="67"/>
      <c r="E104" s="67"/>
      <c r="F104" s="67"/>
      <c r="G104" s="68"/>
      <c r="H104" s="67"/>
      <c r="I104" s="67"/>
      <c r="J104" s="69"/>
      <c r="K104" s="69"/>
      <c r="L104" s="69"/>
      <c r="M104" s="69"/>
      <c r="N104" s="67"/>
      <c r="O104" s="70"/>
      <c r="P104" s="69"/>
      <c r="Q104" s="14"/>
      <c r="R104" s="15"/>
      <c r="S104" s="16"/>
      <c r="T104" s="16"/>
      <c r="U104" s="17"/>
      <c r="V104" s="17"/>
      <c r="W104" s="65"/>
      <c r="X104" s="65"/>
      <c r="Z104" s="69"/>
      <c r="AA104" s="69"/>
      <c r="AB104" s="69"/>
      <c r="AC104" s="69"/>
    </row>
    <row r="105" spans="1:29" s="66" customFormat="1">
      <c r="A105" s="67"/>
      <c r="B105" s="67"/>
      <c r="C105" s="67"/>
      <c r="D105" s="67"/>
      <c r="E105" s="67"/>
      <c r="F105" s="67"/>
      <c r="G105" s="68"/>
      <c r="H105" s="67"/>
      <c r="I105" s="67"/>
      <c r="J105" s="69"/>
      <c r="K105" s="69"/>
      <c r="L105" s="69"/>
      <c r="M105" s="69"/>
      <c r="N105" s="67"/>
      <c r="O105" s="70"/>
      <c r="P105" s="69"/>
      <c r="Q105" s="14"/>
      <c r="R105" s="15"/>
      <c r="S105" s="16"/>
      <c r="T105" s="16"/>
      <c r="U105" s="17"/>
      <c r="V105" s="17"/>
      <c r="W105" s="65"/>
      <c r="X105" s="65"/>
      <c r="Z105" s="69"/>
      <c r="AA105" s="69"/>
      <c r="AB105" s="69"/>
      <c r="AC105" s="69"/>
    </row>
    <row r="106" spans="1:29" s="66" customFormat="1">
      <c r="A106" s="67"/>
      <c r="B106" s="67"/>
      <c r="C106" s="67"/>
      <c r="D106" s="67"/>
      <c r="E106" s="67"/>
      <c r="F106" s="67"/>
      <c r="G106" s="68"/>
      <c r="H106" s="67"/>
      <c r="I106" s="67"/>
      <c r="J106" s="69"/>
      <c r="K106" s="69"/>
      <c r="L106" s="69"/>
      <c r="M106" s="69"/>
      <c r="N106" s="67"/>
      <c r="O106" s="70"/>
      <c r="P106" s="69"/>
      <c r="Q106" s="14"/>
      <c r="R106" s="15"/>
      <c r="S106" s="16"/>
      <c r="T106" s="16"/>
      <c r="U106" s="17"/>
      <c r="V106" s="17"/>
      <c r="W106" s="65"/>
      <c r="X106" s="65"/>
      <c r="Z106" s="69"/>
      <c r="AA106" s="69"/>
      <c r="AB106" s="69"/>
      <c r="AC106" s="69"/>
    </row>
    <row r="107" spans="1:29" s="66" customFormat="1">
      <c r="A107" s="67"/>
      <c r="B107" s="67"/>
      <c r="C107" s="67"/>
      <c r="D107" s="67"/>
      <c r="E107" s="67"/>
      <c r="F107" s="67"/>
      <c r="G107" s="68"/>
      <c r="H107" s="67"/>
      <c r="I107" s="67"/>
      <c r="J107" s="69"/>
      <c r="K107" s="69"/>
      <c r="L107" s="69"/>
      <c r="M107" s="69"/>
      <c r="N107" s="67"/>
      <c r="O107" s="70"/>
      <c r="P107" s="69"/>
      <c r="Q107" s="14"/>
      <c r="R107" s="15"/>
      <c r="S107" s="16"/>
      <c r="T107" s="16"/>
      <c r="U107" s="17"/>
      <c r="V107" s="17"/>
      <c r="W107" s="65"/>
      <c r="X107" s="65"/>
      <c r="Z107" s="69"/>
      <c r="AA107" s="69"/>
      <c r="AB107" s="69"/>
      <c r="AC107" s="69"/>
    </row>
    <row r="108" spans="1:29" s="66" customFormat="1">
      <c r="A108" s="67"/>
      <c r="B108" s="67"/>
      <c r="C108" s="67"/>
      <c r="D108" s="67"/>
      <c r="E108" s="67"/>
      <c r="F108" s="67"/>
      <c r="G108" s="68"/>
      <c r="H108" s="67"/>
      <c r="I108" s="67"/>
      <c r="J108" s="69"/>
      <c r="K108" s="69"/>
      <c r="L108" s="69"/>
      <c r="M108" s="69"/>
      <c r="N108" s="67"/>
      <c r="O108" s="70"/>
      <c r="P108" s="69"/>
      <c r="Q108" s="14"/>
      <c r="R108" s="15"/>
      <c r="S108" s="16"/>
      <c r="T108" s="16"/>
      <c r="U108" s="17"/>
      <c r="V108" s="17"/>
      <c r="W108" s="65"/>
      <c r="X108" s="65"/>
      <c r="Z108" s="69"/>
      <c r="AA108" s="69"/>
      <c r="AB108" s="69"/>
      <c r="AC108" s="69"/>
    </row>
    <row r="109" spans="1:29" s="66" customFormat="1">
      <c r="A109" s="67"/>
      <c r="B109" s="67"/>
      <c r="C109" s="67"/>
      <c r="D109" s="67"/>
      <c r="E109" s="67"/>
      <c r="F109" s="67"/>
      <c r="G109" s="68"/>
      <c r="H109" s="67"/>
      <c r="I109" s="67"/>
      <c r="J109" s="69"/>
      <c r="K109" s="69"/>
      <c r="L109" s="69"/>
      <c r="M109" s="69"/>
      <c r="N109" s="67"/>
      <c r="O109" s="70"/>
      <c r="P109" s="69"/>
      <c r="Q109" s="14"/>
      <c r="R109" s="15"/>
      <c r="S109" s="16"/>
      <c r="T109" s="16"/>
      <c r="U109" s="17"/>
      <c r="V109" s="17"/>
      <c r="W109" s="65"/>
      <c r="X109" s="65"/>
      <c r="Z109" s="69"/>
      <c r="AA109" s="69"/>
      <c r="AB109" s="69"/>
      <c r="AC109" s="69"/>
    </row>
    <row r="110" spans="1:29" s="66" customFormat="1">
      <c r="A110" s="67"/>
      <c r="B110" s="67"/>
      <c r="C110" s="67"/>
      <c r="D110" s="67"/>
      <c r="E110" s="67"/>
      <c r="F110" s="67"/>
      <c r="G110" s="68"/>
      <c r="H110" s="67"/>
      <c r="I110" s="67"/>
      <c r="J110" s="69"/>
      <c r="K110" s="69"/>
      <c r="L110" s="69"/>
      <c r="M110" s="69"/>
      <c r="N110" s="67"/>
      <c r="O110" s="70"/>
      <c r="P110" s="69"/>
      <c r="Q110" s="14"/>
      <c r="R110" s="15"/>
      <c r="S110" s="16"/>
      <c r="T110" s="16"/>
      <c r="U110" s="17"/>
      <c r="V110" s="17"/>
      <c r="W110" s="65"/>
      <c r="X110" s="65"/>
      <c r="Z110" s="69"/>
      <c r="AA110" s="69"/>
      <c r="AB110" s="69"/>
      <c r="AC110" s="69"/>
    </row>
    <row r="111" spans="1:29" s="66" customFormat="1">
      <c r="A111" s="67"/>
      <c r="B111" s="67"/>
      <c r="C111" s="67"/>
      <c r="D111" s="67"/>
      <c r="E111" s="67"/>
      <c r="F111" s="67"/>
      <c r="G111" s="68"/>
      <c r="H111" s="67"/>
      <c r="I111" s="67"/>
      <c r="J111" s="69"/>
      <c r="K111" s="69"/>
      <c r="L111" s="69"/>
      <c r="M111" s="69"/>
      <c r="N111" s="67"/>
      <c r="O111" s="70"/>
      <c r="P111" s="69"/>
      <c r="Q111" s="14"/>
      <c r="R111" s="15"/>
      <c r="S111" s="16"/>
      <c r="T111" s="16"/>
      <c r="U111" s="17"/>
      <c r="V111" s="17"/>
      <c r="W111" s="65"/>
      <c r="X111" s="65"/>
      <c r="Z111" s="69"/>
      <c r="AA111" s="69"/>
      <c r="AB111" s="69"/>
      <c r="AC111" s="69"/>
    </row>
    <row r="112" spans="1:29" s="66" customFormat="1">
      <c r="A112" s="67"/>
      <c r="B112" s="67"/>
      <c r="C112" s="67"/>
      <c r="D112" s="67"/>
      <c r="E112" s="67"/>
      <c r="F112" s="67"/>
      <c r="G112" s="68"/>
      <c r="H112" s="67"/>
      <c r="I112" s="67"/>
      <c r="J112" s="69"/>
      <c r="K112" s="69"/>
      <c r="L112" s="69"/>
      <c r="M112" s="69"/>
      <c r="N112" s="67"/>
      <c r="O112" s="70"/>
      <c r="P112" s="69"/>
      <c r="Q112" s="14"/>
      <c r="R112" s="15"/>
      <c r="S112" s="16"/>
      <c r="T112" s="16"/>
      <c r="U112" s="17"/>
      <c r="V112" s="17"/>
      <c r="W112" s="65"/>
      <c r="X112" s="65"/>
      <c r="Z112" s="69"/>
      <c r="AA112" s="69"/>
      <c r="AB112" s="69"/>
      <c r="AC112" s="69"/>
    </row>
    <row r="113" spans="1:29" s="66" customFormat="1">
      <c r="A113" s="67"/>
      <c r="B113" s="67"/>
      <c r="C113" s="67"/>
      <c r="D113" s="67"/>
      <c r="E113" s="67"/>
      <c r="F113" s="67"/>
      <c r="G113" s="68"/>
      <c r="H113" s="67"/>
      <c r="I113" s="67"/>
      <c r="J113" s="69"/>
      <c r="K113" s="69"/>
      <c r="L113" s="69"/>
      <c r="M113" s="69"/>
      <c r="N113" s="67"/>
      <c r="O113" s="70"/>
      <c r="P113" s="69"/>
      <c r="Q113" s="14"/>
      <c r="R113" s="15"/>
      <c r="S113" s="16"/>
      <c r="T113" s="16"/>
      <c r="U113" s="17"/>
      <c r="V113" s="17"/>
      <c r="W113" s="65"/>
      <c r="X113" s="65"/>
      <c r="Z113" s="69"/>
      <c r="AA113" s="69"/>
      <c r="AB113" s="69"/>
      <c r="AC113" s="69"/>
    </row>
    <row r="114" spans="1:29" s="66" customFormat="1">
      <c r="A114" s="67"/>
      <c r="B114" s="67"/>
      <c r="C114" s="67"/>
      <c r="D114" s="67"/>
      <c r="E114" s="67"/>
      <c r="F114" s="67"/>
      <c r="G114" s="68"/>
      <c r="H114" s="67"/>
      <c r="I114" s="67"/>
      <c r="J114" s="69"/>
      <c r="K114" s="69"/>
      <c r="L114" s="69"/>
      <c r="M114" s="69"/>
      <c r="N114" s="67"/>
      <c r="O114" s="70"/>
      <c r="P114" s="69"/>
      <c r="Q114" s="14"/>
      <c r="R114" s="15"/>
      <c r="S114" s="16"/>
      <c r="T114" s="16"/>
      <c r="U114" s="17"/>
      <c r="V114" s="17"/>
      <c r="W114" s="65"/>
      <c r="X114" s="65"/>
      <c r="Z114" s="69"/>
      <c r="AA114" s="69"/>
      <c r="AB114" s="69"/>
      <c r="AC114" s="69"/>
    </row>
    <row r="115" spans="1:29" s="66" customFormat="1">
      <c r="A115" s="67"/>
      <c r="B115" s="67"/>
      <c r="C115" s="67"/>
      <c r="D115" s="67"/>
      <c r="E115" s="67"/>
      <c r="F115" s="67"/>
      <c r="G115" s="67"/>
      <c r="H115" s="67"/>
      <c r="I115" s="67"/>
      <c r="J115" s="69"/>
      <c r="K115" s="69"/>
      <c r="L115" s="69"/>
      <c r="M115" s="69"/>
      <c r="N115" s="67"/>
      <c r="O115" s="70"/>
      <c r="P115" s="69"/>
      <c r="Q115" s="14"/>
      <c r="R115" s="15"/>
      <c r="S115" s="16"/>
      <c r="T115" s="16"/>
      <c r="U115" s="17"/>
      <c r="V115" s="17"/>
      <c r="W115" s="65"/>
      <c r="X115" s="65"/>
      <c r="Z115" s="69"/>
      <c r="AA115" s="69"/>
      <c r="AB115" s="69"/>
      <c r="AC115" s="69"/>
    </row>
    <row r="116" spans="1:29" s="66" customFormat="1">
      <c r="A116" s="67"/>
      <c r="B116" s="67"/>
      <c r="C116" s="67"/>
      <c r="D116" s="67"/>
      <c r="E116" s="67"/>
      <c r="F116" s="67"/>
      <c r="G116" s="67"/>
      <c r="H116" s="67"/>
      <c r="I116" s="67"/>
      <c r="J116" s="69"/>
      <c r="K116" s="69"/>
      <c r="L116" s="69"/>
      <c r="M116" s="69"/>
      <c r="N116" s="67"/>
      <c r="O116" s="70"/>
      <c r="P116" s="69"/>
      <c r="Q116" s="14"/>
      <c r="R116" s="15"/>
      <c r="S116" s="16"/>
      <c r="T116" s="16"/>
      <c r="U116" s="17"/>
      <c r="V116" s="17"/>
      <c r="W116" s="65"/>
      <c r="X116" s="65"/>
      <c r="Z116" s="69"/>
      <c r="AA116" s="69"/>
      <c r="AB116" s="69"/>
      <c r="AC116" s="69"/>
    </row>
    <row r="117" spans="1:29" s="66" customFormat="1">
      <c r="A117" s="67"/>
      <c r="B117" s="67"/>
      <c r="C117" s="67"/>
      <c r="D117" s="67"/>
      <c r="E117" s="67"/>
      <c r="F117" s="67"/>
      <c r="G117" s="67"/>
      <c r="H117" s="67"/>
      <c r="I117" s="67"/>
      <c r="J117" s="69"/>
      <c r="K117" s="69"/>
      <c r="L117" s="69"/>
      <c r="M117" s="69"/>
      <c r="N117" s="67"/>
      <c r="O117" s="70"/>
      <c r="P117" s="69"/>
      <c r="Q117" s="14"/>
      <c r="R117" s="15"/>
      <c r="S117" s="16"/>
      <c r="T117" s="16"/>
      <c r="U117" s="17"/>
      <c r="V117" s="17"/>
      <c r="W117" s="65"/>
      <c r="X117" s="65"/>
      <c r="Z117" s="69"/>
      <c r="AA117" s="69"/>
      <c r="AB117" s="69"/>
      <c r="AC117" s="69"/>
    </row>
    <row r="118" spans="1:29" s="66" customFormat="1">
      <c r="A118" s="67"/>
      <c r="B118" s="67"/>
      <c r="C118" s="67"/>
      <c r="D118" s="67"/>
      <c r="E118" s="67"/>
      <c r="F118" s="67"/>
      <c r="G118" s="67"/>
      <c r="H118" s="67"/>
      <c r="I118" s="67"/>
      <c r="J118" s="69"/>
      <c r="K118" s="69"/>
      <c r="L118" s="69"/>
      <c r="M118" s="69"/>
      <c r="N118" s="67"/>
      <c r="O118" s="70"/>
      <c r="P118" s="69"/>
      <c r="Q118" s="14"/>
      <c r="R118" s="15"/>
      <c r="S118" s="16"/>
      <c r="T118" s="16"/>
      <c r="U118" s="17"/>
      <c r="V118" s="17"/>
      <c r="W118" s="65"/>
      <c r="X118" s="65"/>
      <c r="Z118" s="69"/>
      <c r="AA118" s="69"/>
      <c r="AB118" s="69"/>
      <c r="AC118" s="69"/>
    </row>
    <row r="119" spans="1:29" s="66" customFormat="1">
      <c r="A119" s="67"/>
      <c r="B119" s="67"/>
      <c r="C119" s="67"/>
      <c r="D119" s="67"/>
      <c r="E119" s="67"/>
      <c r="F119" s="67"/>
      <c r="G119" s="67"/>
      <c r="H119" s="67"/>
      <c r="I119" s="67"/>
      <c r="J119" s="69"/>
      <c r="K119" s="69"/>
      <c r="L119" s="69"/>
      <c r="M119" s="69"/>
      <c r="N119" s="67"/>
      <c r="O119" s="70"/>
      <c r="P119" s="69"/>
      <c r="Q119" s="14"/>
      <c r="R119" s="15"/>
      <c r="S119" s="16"/>
      <c r="T119" s="16"/>
      <c r="U119" s="17"/>
      <c r="V119" s="17"/>
      <c r="W119" s="65"/>
      <c r="X119" s="65"/>
      <c r="Z119" s="69"/>
      <c r="AA119" s="69"/>
      <c r="AB119" s="69"/>
      <c r="AC119" s="69"/>
    </row>
    <row r="120" spans="1:29" s="66" customFormat="1">
      <c r="A120" s="67"/>
      <c r="B120" s="67"/>
      <c r="C120" s="67"/>
      <c r="D120" s="67"/>
      <c r="E120" s="67"/>
      <c r="F120" s="67"/>
      <c r="G120" s="67"/>
      <c r="H120" s="67"/>
      <c r="I120" s="67"/>
      <c r="J120" s="69"/>
      <c r="K120" s="69"/>
      <c r="L120" s="69"/>
      <c r="M120" s="69"/>
      <c r="N120" s="67"/>
      <c r="O120" s="70"/>
      <c r="P120" s="69"/>
      <c r="Q120" s="14"/>
      <c r="R120" s="15"/>
      <c r="S120" s="16"/>
      <c r="T120" s="16"/>
      <c r="U120" s="17"/>
      <c r="V120" s="17"/>
      <c r="W120" s="65"/>
      <c r="X120" s="65"/>
      <c r="Z120" s="69"/>
      <c r="AA120" s="69"/>
      <c r="AB120" s="69"/>
      <c r="AC120" s="69"/>
    </row>
    <row r="121" spans="1:29" s="66" customFormat="1">
      <c r="A121" s="67"/>
      <c r="B121" s="67"/>
      <c r="C121" s="67"/>
      <c r="D121" s="67"/>
      <c r="E121" s="67"/>
      <c r="F121" s="67"/>
      <c r="G121" s="67"/>
      <c r="H121" s="67"/>
      <c r="I121" s="67"/>
      <c r="J121" s="69"/>
      <c r="K121" s="69"/>
      <c r="L121" s="69"/>
      <c r="M121" s="69"/>
      <c r="N121" s="67"/>
      <c r="O121" s="70"/>
      <c r="P121" s="69"/>
      <c r="Q121" s="14"/>
      <c r="R121" s="15"/>
      <c r="S121" s="16"/>
      <c r="T121" s="16"/>
      <c r="U121" s="17"/>
      <c r="V121" s="17"/>
      <c r="W121" s="65"/>
      <c r="X121" s="65"/>
      <c r="Z121" s="69"/>
      <c r="AA121" s="69"/>
      <c r="AB121" s="69"/>
      <c r="AC121" s="69"/>
    </row>
    <row r="122" spans="1:29" s="66" customFormat="1">
      <c r="A122" s="67"/>
      <c r="B122" s="67"/>
      <c r="C122" s="67"/>
      <c r="D122" s="67"/>
      <c r="E122" s="67"/>
      <c r="F122" s="67"/>
      <c r="G122" s="67"/>
      <c r="H122" s="67"/>
      <c r="I122" s="67"/>
      <c r="J122" s="69"/>
      <c r="K122" s="69"/>
      <c r="L122" s="69"/>
      <c r="M122" s="69"/>
      <c r="N122" s="67"/>
      <c r="O122" s="70"/>
      <c r="P122" s="69"/>
      <c r="Q122" s="14"/>
      <c r="R122" s="15"/>
      <c r="S122" s="16"/>
      <c r="T122" s="16"/>
      <c r="U122" s="17"/>
      <c r="V122" s="17"/>
      <c r="W122" s="65"/>
      <c r="X122" s="65"/>
      <c r="Z122" s="69"/>
      <c r="AA122" s="69"/>
      <c r="AB122" s="69"/>
      <c r="AC122" s="69"/>
    </row>
    <row r="123" spans="1:29">
      <c r="B123" s="67"/>
      <c r="C123" s="67"/>
      <c r="D123" s="67"/>
      <c r="E123" s="67"/>
      <c r="F123" s="67"/>
      <c r="G123" s="67"/>
      <c r="H123" s="67"/>
      <c r="I123" s="67"/>
      <c r="J123" s="69"/>
      <c r="K123" s="69"/>
      <c r="L123" s="69"/>
      <c r="M123" s="69"/>
      <c r="N123" s="67"/>
      <c r="O123" s="70"/>
      <c r="P123" s="69"/>
    </row>
    <row r="124" spans="1:29">
      <c r="B124" s="67"/>
      <c r="C124" s="67"/>
      <c r="D124" s="67"/>
      <c r="E124" s="67"/>
      <c r="F124" s="67"/>
      <c r="G124" s="67"/>
      <c r="H124" s="67"/>
      <c r="I124" s="67"/>
      <c r="J124" s="69"/>
      <c r="K124" s="69"/>
      <c r="L124" s="69"/>
      <c r="M124" s="69"/>
      <c r="N124" s="67"/>
      <c r="O124" s="70"/>
      <c r="P124" s="69"/>
    </row>
    <row r="125" spans="1:29">
      <c r="B125" s="67"/>
      <c r="C125" s="67"/>
      <c r="D125" s="67"/>
      <c r="E125" s="67"/>
      <c r="F125" s="67"/>
      <c r="G125" s="67"/>
      <c r="H125" s="67"/>
      <c r="I125" s="67"/>
      <c r="J125" s="69"/>
      <c r="K125" s="69"/>
      <c r="L125" s="69"/>
      <c r="M125" s="69"/>
      <c r="N125" s="67"/>
      <c r="O125" s="70"/>
      <c r="P125" s="69"/>
    </row>
    <row r="126" spans="1:29">
      <c r="B126" s="67"/>
      <c r="C126" s="67"/>
      <c r="D126" s="67"/>
      <c r="E126" s="67"/>
      <c r="F126" s="67"/>
      <c r="G126" s="67"/>
      <c r="H126" s="67"/>
      <c r="I126" s="67"/>
      <c r="J126" s="69"/>
      <c r="K126" s="69"/>
      <c r="L126" s="69"/>
      <c r="M126" s="69"/>
      <c r="N126" s="67"/>
      <c r="O126" s="70"/>
      <c r="P126" s="69"/>
    </row>
    <row r="127" spans="1:29">
      <c r="B127" s="67"/>
      <c r="C127" s="67"/>
      <c r="D127" s="67"/>
      <c r="E127" s="67"/>
      <c r="F127" s="67"/>
      <c r="G127" s="67"/>
      <c r="H127" s="67"/>
      <c r="I127" s="67"/>
      <c r="J127" s="69"/>
      <c r="K127" s="69"/>
      <c r="L127" s="69"/>
      <c r="M127" s="69"/>
      <c r="N127" s="67"/>
      <c r="O127" s="70"/>
      <c r="P127" s="69"/>
    </row>
    <row r="128" spans="1:29">
      <c r="B128" s="67"/>
      <c r="C128" s="67"/>
      <c r="D128" s="67"/>
      <c r="E128" s="67"/>
      <c r="F128" s="67"/>
      <c r="G128" s="67"/>
      <c r="H128" s="67"/>
      <c r="I128" s="67"/>
      <c r="J128" s="69"/>
      <c r="K128" s="69"/>
      <c r="L128" s="69"/>
      <c r="M128" s="69"/>
      <c r="N128" s="67"/>
      <c r="O128" s="70"/>
      <c r="P128" s="69"/>
    </row>
    <row r="129" spans="2:16">
      <c r="B129" s="67"/>
      <c r="C129" s="67"/>
      <c r="D129" s="67"/>
      <c r="E129" s="67"/>
      <c r="F129" s="67"/>
      <c r="G129" s="67"/>
      <c r="H129" s="67"/>
      <c r="I129" s="67"/>
      <c r="J129" s="69"/>
      <c r="K129" s="69"/>
      <c r="L129" s="69"/>
      <c r="M129" s="69"/>
      <c r="N129" s="67"/>
      <c r="O129" s="70"/>
      <c r="P129" s="69"/>
    </row>
    <row r="130" spans="2:16">
      <c r="B130" s="67"/>
      <c r="C130" s="67"/>
      <c r="D130" s="67"/>
      <c r="E130" s="67"/>
      <c r="F130" s="67"/>
      <c r="G130" s="67"/>
      <c r="H130" s="67"/>
      <c r="I130" s="67"/>
      <c r="J130" s="69"/>
      <c r="K130" s="69"/>
      <c r="L130" s="69"/>
      <c r="M130" s="69"/>
      <c r="N130" s="67"/>
      <c r="O130" s="70"/>
      <c r="P130" s="69"/>
    </row>
    <row r="131" spans="2:16">
      <c r="B131" s="67"/>
      <c r="C131" s="67"/>
      <c r="D131" s="67"/>
      <c r="E131" s="67"/>
      <c r="F131" s="67"/>
      <c r="G131" s="67"/>
      <c r="H131" s="67"/>
      <c r="I131" s="67"/>
      <c r="J131" s="69"/>
      <c r="K131" s="69"/>
      <c r="L131" s="69"/>
      <c r="M131" s="69"/>
      <c r="N131" s="67"/>
      <c r="O131" s="70"/>
      <c r="P131" s="69"/>
    </row>
    <row r="132" spans="2:16">
      <c r="B132" s="67"/>
      <c r="C132" s="67"/>
      <c r="D132" s="67"/>
      <c r="E132" s="67"/>
      <c r="F132" s="67"/>
      <c r="G132" s="67"/>
      <c r="H132" s="67"/>
      <c r="I132" s="67"/>
      <c r="J132" s="69"/>
      <c r="K132" s="69"/>
      <c r="L132" s="69"/>
      <c r="M132" s="69"/>
      <c r="N132" s="67"/>
      <c r="O132" s="70"/>
      <c r="P132" s="69"/>
    </row>
    <row r="133" spans="2:16">
      <c r="B133" s="67"/>
      <c r="C133" s="67"/>
      <c r="D133" s="67"/>
      <c r="E133" s="67"/>
      <c r="F133" s="67"/>
      <c r="G133" s="67"/>
      <c r="H133" s="67"/>
      <c r="I133" s="67"/>
      <c r="J133" s="69"/>
      <c r="K133" s="69"/>
      <c r="L133" s="69"/>
      <c r="M133" s="69"/>
      <c r="N133" s="67"/>
      <c r="O133" s="70"/>
      <c r="P133" s="69"/>
    </row>
    <row r="134" spans="2:16">
      <c r="B134" s="67"/>
      <c r="C134" s="67"/>
      <c r="D134" s="67"/>
      <c r="E134" s="67"/>
      <c r="F134" s="67"/>
      <c r="G134" s="67"/>
      <c r="H134" s="67"/>
      <c r="I134" s="67"/>
      <c r="J134" s="69"/>
      <c r="K134" s="69"/>
      <c r="L134" s="69"/>
      <c r="M134" s="69"/>
      <c r="N134" s="67"/>
      <c r="O134" s="70"/>
      <c r="P134" s="69"/>
    </row>
    <row r="135" spans="2:16">
      <c r="B135" s="67"/>
      <c r="C135" s="67"/>
      <c r="D135" s="67"/>
      <c r="E135" s="67"/>
      <c r="F135" s="67"/>
      <c r="G135" s="67"/>
      <c r="H135" s="67"/>
      <c r="I135" s="67"/>
      <c r="J135" s="69"/>
      <c r="K135" s="69"/>
      <c r="L135" s="69"/>
      <c r="M135" s="69"/>
      <c r="N135" s="67"/>
      <c r="O135" s="70"/>
      <c r="P135" s="69"/>
    </row>
    <row r="136" spans="2:16">
      <c r="B136" s="67"/>
      <c r="C136" s="67"/>
      <c r="D136" s="67"/>
      <c r="E136" s="67"/>
      <c r="F136" s="67"/>
      <c r="G136" s="67"/>
      <c r="H136" s="67"/>
      <c r="I136" s="67"/>
      <c r="J136" s="69"/>
      <c r="K136" s="69"/>
      <c r="L136" s="69"/>
      <c r="M136" s="69"/>
      <c r="N136" s="67"/>
      <c r="O136" s="70"/>
      <c r="P136" s="69"/>
    </row>
    <row r="137" spans="2:16">
      <c r="B137" s="67"/>
      <c r="C137" s="67"/>
      <c r="D137" s="67"/>
      <c r="E137" s="67"/>
      <c r="F137" s="67"/>
      <c r="G137" s="67"/>
      <c r="H137" s="67"/>
      <c r="I137" s="67"/>
      <c r="J137" s="69"/>
      <c r="K137" s="69"/>
      <c r="L137" s="69"/>
      <c r="M137" s="69"/>
      <c r="N137" s="67"/>
      <c r="O137" s="70"/>
      <c r="P137" s="69"/>
    </row>
    <row r="138" spans="2:16">
      <c r="B138" s="67"/>
      <c r="C138" s="67"/>
      <c r="D138" s="67"/>
      <c r="E138" s="67"/>
      <c r="F138" s="67"/>
      <c r="G138" s="67"/>
      <c r="H138" s="67"/>
      <c r="I138" s="67"/>
      <c r="J138" s="69"/>
      <c r="K138" s="69"/>
      <c r="L138" s="69"/>
      <c r="M138" s="69"/>
      <c r="N138" s="67"/>
      <c r="O138" s="70"/>
      <c r="P138" s="69"/>
    </row>
    <row r="139" spans="2:16">
      <c r="B139" s="67"/>
      <c r="C139" s="67"/>
      <c r="D139" s="67"/>
      <c r="E139" s="67"/>
      <c r="F139" s="67"/>
      <c r="G139" s="67"/>
      <c r="H139" s="67"/>
      <c r="I139" s="67"/>
      <c r="J139" s="69"/>
      <c r="K139" s="69"/>
      <c r="L139" s="69"/>
      <c r="M139" s="69"/>
      <c r="N139" s="67"/>
      <c r="O139" s="70"/>
      <c r="P139" s="69"/>
    </row>
    <row r="140" spans="2:16">
      <c r="B140" s="67"/>
      <c r="C140" s="67"/>
      <c r="D140" s="67"/>
      <c r="E140" s="67"/>
      <c r="F140" s="67"/>
      <c r="G140" s="67"/>
      <c r="H140" s="67"/>
      <c r="I140" s="67"/>
      <c r="J140" s="69"/>
      <c r="K140" s="69"/>
      <c r="L140" s="69"/>
      <c r="M140" s="69"/>
      <c r="N140" s="67"/>
      <c r="O140" s="70"/>
      <c r="P140" s="69"/>
    </row>
    <row r="141" spans="2:16">
      <c r="B141" s="67"/>
      <c r="C141" s="67"/>
      <c r="D141" s="67"/>
      <c r="E141" s="67"/>
      <c r="F141" s="67"/>
      <c r="G141" s="67"/>
      <c r="H141" s="67"/>
      <c r="I141" s="67"/>
      <c r="J141" s="69"/>
      <c r="K141" s="69"/>
      <c r="L141" s="69"/>
      <c r="M141" s="69"/>
      <c r="N141" s="67"/>
      <c r="O141" s="70"/>
      <c r="P141" s="69"/>
    </row>
    <row r="142" spans="2:16">
      <c r="B142" s="67"/>
      <c r="C142" s="67"/>
      <c r="D142" s="67"/>
      <c r="E142" s="67"/>
      <c r="F142" s="67"/>
      <c r="G142" s="67"/>
      <c r="H142" s="67"/>
      <c r="I142" s="67"/>
      <c r="J142" s="69"/>
      <c r="K142" s="69"/>
      <c r="L142" s="69"/>
      <c r="M142" s="69"/>
      <c r="N142" s="67"/>
      <c r="O142" s="70"/>
      <c r="P142" s="69"/>
    </row>
    <row r="143" spans="2:16">
      <c r="B143" s="67"/>
      <c r="C143" s="67"/>
      <c r="D143" s="67"/>
      <c r="E143" s="67"/>
      <c r="F143" s="67"/>
      <c r="G143" s="67"/>
      <c r="H143" s="67"/>
      <c r="I143" s="67"/>
      <c r="J143" s="69"/>
      <c r="K143" s="69"/>
      <c r="L143" s="69"/>
      <c r="M143" s="69"/>
      <c r="N143" s="67"/>
      <c r="O143" s="70"/>
      <c r="P143" s="69"/>
    </row>
    <row r="144" spans="2:16">
      <c r="B144" s="67"/>
      <c r="C144" s="67"/>
      <c r="D144" s="67"/>
      <c r="E144" s="67"/>
      <c r="F144" s="67"/>
      <c r="G144" s="67"/>
      <c r="H144" s="67"/>
      <c r="I144" s="67"/>
      <c r="J144" s="69"/>
      <c r="K144" s="69"/>
      <c r="L144" s="69"/>
      <c r="M144" s="69"/>
      <c r="N144" s="67"/>
      <c r="O144" s="70"/>
      <c r="P144" s="69"/>
    </row>
    <row r="145" spans="2:16">
      <c r="B145" s="67"/>
      <c r="C145" s="67"/>
      <c r="D145" s="67"/>
      <c r="E145" s="67"/>
      <c r="F145" s="67"/>
      <c r="G145" s="67"/>
      <c r="H145" s="67"/>
      <c r="I145" s="67"/>
      <c r="J145" s="69"/>
      <c r="K145" s="69"/>
      <c r="L145" s="69"/>
      <c r="M145" s="69"/>
      <c r="N145" s="67"/>
      <c r="O145" s="70"/>
      <c r="P145" s="69"/>
    </row>
    <row r="146" spans="2:16">
      <c r="B146" s="67"/>
      <c r="C146" s="67"/>
      <c r="D146" s="67"/>
      <c r="E146" s="67"/>
      <c r="F146" s="67"/>
      <c r="G146" s="67"/>
      <c r="H146" s="67"/>
      <c r="I146" s="67"/>
      <c r="J146" s="69"/>
      <c r="K146" s="69"/>
      <c r="L146" s="69"/>
      <c r="M146" s="69"/>
      <c r="N146" s="67"/>
      <c r="O146" s="70"/>
      <c r="P146" s="69"/>
    </row>
    <row r="147" spans="2:16">
      <c r="B147" s="67"/>
      <c r="C147" s="67"/>
      <c r="D147" s="67"/>
      <c r="E147" s="67"/>
      <c r="F147" s="67"/>
      <c r="G147" s="67"/>
      <c r="H147" s="67"/>
      <c r="I147" s="67"/>
      <c r="J147" s="69"/>
      <c r="K147" s="69"/>
      <c r="L147" s="69"/>
      <c r="M147" s="69"/>
      <c r="N147" s="67"/>
      <c r="O147" s="70"/>
      <c r="P147" s="69"/>
    </row>
    <row r="148" spans="2:16">
      <c r="B148" s="67"/>
      <c r="C148" s="67"/>
      <c r="D148" s="67"/>
      <c r="E148" s="67"/>
      <c r="F148" s="67"/>
      <c r="G148" s="67"/>
      <c r="H148" s="67"/>
      <c r="I148" s="67"/>
      <c r="J148" s="69"/>
      <c r="K148" s="69"/>
      <c r="L148" s="69"/>
      <c r="M148" s="69"/>
      <c r="N148" s="67"/>
      <c r="O148" s="70"/>
      <c r="P148" s="69"/>
    </row>
    <row r="149" spans="2:16">
      <c r="B149" s="67"/>
      <c r="C149" s="67"/>
      <c r="D149" s="67"/>
      <c r="E149" s="67"/>
      <c r="F149" s="67"/>
      <c r="G149" s="67"/>
      <c r="H149" s="67"/>
      <c r="I149" s="67"/>
      <c r="J149" s="69"/>
      <c r="K149" s="69"/>
      <c r="L149" s="69"/>
      <c r="M149" s="69"/>
      <c r="N149" s="67"/>
      <c r="O149" s="70"/>
      <c r="P149" s="69"/>
    </row>
    <row r="150" spans="2:16">
      <c r="B150" s="67"/>
      <c r="C150" s="67"/>
      <c r="D150" s="67"/>
      <c r="E150" s="67"/>
      <c r="F150" s="67"/>
      <c r="G150" s="67"/>
      <c r="H150" s="67"/>
      <c r="I150" s="67"/>
      <c r="J150" s="69"/>
      <c r="K150" s="69"/>
      <c r="L150" s="69"/>
      <c r="M150" s="69"/>
      <c r="N150" s="67"/>
      <c r="O150" s="70"/>
      <c r="P150" s="69"/>
    </row>
    <row r="151" spans="2:16">
      <c r="B151" s="67"/>
      <c r="C151" s="67"/>
      <c r="D151" s="67"/>
      <c r="E151" s="67"/>
      <c r="F151" s="67"/>
      <c r="G151" s="67"/>
      <c r="H151" s="67"/>
      <c r="I151" s="67"/>
      <c r="J151" s="69"/>
      <c r="K151" s="69"/>
      <c r="L151" s="69"/>
      <c r="M151" s="69"/>
      <c r="N151" s="67"/>
      <c r="O151" s="70"/>
      <c r="P151" s="69"/>
    </row>
    <row r="152" spans="2:16">
      <c r="B152" s="67"/>
      <c r="C152" s="67"/>
      <c r="D152" s="67"/>
      <c r="E152" s="67"/>
      <c r="F152" s="67"/>
      <c r="G152" s="67"/>
      <c r="H152" s="67"/>
      <c r="I152" s="67"/>
      <c r="J152" s="69"/>
      <c r="K152" s="69"/>
      <c r="L152" s="69"/>
      <c r="M152" s="69"/>
      <c r="N152" s="67"/>
      <c r="O152" s="70"/>
      <c r="P152" s="69"/>
    </row>
    <row r="153" spans="2:16">
      <c r="B153" s="67"/>
      <c r="C153" s="67"/>
      <c r="D153" s="67"/>
      <c r="E153" s="67"/>
      <c r="F153" s="67"/>
      <c r="G153" s="67"/>
      <c r="H153" s="67"/>
      <c r="I153" s="67"/>
      <c r="J153" s="69"/>
      <c r="K153" s="69"/>
      <c r="L153" s="69"/>
      <c r="M153" s="69"/>
      <c r="N153" s="67"/>
      <c r="O153" s="70"/>
      <c r="P153" s="69"/>
    </row>
    <row r="154" spans="2:16">
      <c r="B154" s="67"/>
      <c r="C154" s="67"/>
      <c r="D154" s="67"/>
      <c r="E154" s="67"/>
      <c r="F154" s="67"/>
      <c r="G154" s="67"/>
      <c r="H154" s="67"/>
      <c r="I154" s="67"/>
      <c r="J154" s="69"/>
      <c r="K154" s="69"/>
      <c r="L154" s="69"/>
      <c r="M154" s="69"/>
      <c r="N154" s="67"/>
      <c r="O154" s="70"/>
      <c r="P154" s="69"/>
    </row>
    <row r="155" spans="2:16">
      <c r="B155" s="67"/>
      <c r="C155" s="67"/>
      <c r="D155" s="67"/>
      <c r="E155" s="67"/>
      <c r="F155" s="67"/>
      <c r="G155" s="67"/>
      <c r="H155" s="67"/>
      <c r="I155" s="67"/>
      <c r="J155" s="69"/>
      <c r="K155" s="69"/>
      <c r="L155" s="69"/>
      <c r="M155" s="69"/>
      <c r="N155" s="67"/>
      <c r="O155" s="70"/>
      <c r="P155" s="69"/>
    </row>
    <row r="156" spans="2:16">
      <c r="B156" s="67"/>
      <c r="C156" s="67"/>
      <c r="D156" s="67"/>
      <c r="E156" s="67"/>
      <c r="F156" s="67"/>
      <c r="G156" s="67"/>
      <c r="H156" s="67"/>
      <c r="I156" s="67"/>
      <c r="J156" s="69"/>
      <c r="K156" s="69"/>
      <c r="L156" s="69"/>
      <c r="M156" s="69"/>
      <c r="N156" s="67"/>
      <c r="O156" s="70"/>
      <c r="P156" s="69"/>
    </row>
    <row r="157" spans="2:16">
      <c r="B157" s="67"/>
      <c r="C157" s="67"/>
      <c r="D157" s="67"/>
      <c r="E157" s="67"/>
      <c r="F157" s="67"/>
      <c r="G157" s="67"/>
      <c r="H157" s="67"/>
      <c r="I157" s="67"/>
      <c r="J157" s="69"/>
      <c r="K157" s="69"/>
      <c r="L157" s="69"/>
      <c r="M157" s="69"/>
      <c r="N157" s="67"/>
      <c r="O157" s="70"/>
      <c r="P157" s="69"/>
    </row>
    <row r="158" spans="2:16">
      <c r="B158" s="67"/>
      <c r="C158" s="67"/>
      <c r="D158" s="67"/>
      <c r="E158" s="67"/>
      <c r="F158" s="67"/>
      <c r="G158" s="67"/>
      <c r="H158" s="67"/>
      <c r="I158" s="67"/>
      <c r="J158" s="69"/>
      <c r="K158" s="69"/>
      <c r="L158" s="69"/>
      <c r="M158" s="69"/>
      <c r="N158" s="67"/>
      <c r="O158" s="70"/>
      <c r="P158" s="69"/>
    </row>
    <row r="159" spans="2:16">
      <c r="B159" s="67"/>
      <c r="C159" s="67"/>
      <c r="D159" s="67"/>
      <c r="E159" s="67"/>
      <c r="F159" s="67"/>
      <c r="G159" s="67"/>
      <c r="H159" s="67"/>
      <c r="I159" s="67"/>
      <c r="J159" s="69"/>
      <c r="K159" s="69"/>
      <c r="L159" s="69"/>
      <c r="M159" s="69"/>
      <c r="N159" s="67"/>
      <c r="O159" s="70"/>
      <c r="P159" s="69"/>
    </row>
    <row r="160" spans="2:16">
      <c r="B160" s="67"/>
      <c r="C160" s="67"/>
      <c r="D160" s="67"/>
      <c r="E160" s="67"/>
      <c r="F160" s="67"/>
      <c r="G160" s="67"/>
      <c r="H160" s="67"/>
      <c r="I160" s="67"/>
      <c r="J160" s="69"/>
      <c r="K160" s="69"/>
      <c r="L160" s="69"/>
      <c r="M160" s="69"/>
      <c r="N160" s="67"/>
      <c r="O160" s="70"/>
      <c r="P160" s="69"/>
    </row>
    <row r="161" spans="2:16">
      <c r="B161" s="67"/>
      <c r="C161" s="67"/>
      <c r="D161" s="67"/>
      <c r="E161" s="67"/>
      <c r="F161" s="67"/>
      <c r="G161" s="67"/>
      <c r="H161" s="67"/>
      <c r="I161" s="67"/>
      <c r="J161" s="69"/>
      <c r="K161" s="69"/>
      <c r="L161" s="69"/>
      <c r="M161" s="69"/>
      <c r="N161" s="67"/>
      <c r="O161" s="70"/>
      <c r="P161" s="69"/>
    </row>
    <row r="162" spans="2:16">
      <c r="B162" s="67"/>
      <c r="C162" s="67"/>
      <c r="D162" s="67"/>
      <c r="E162" s="67"/>
      <c r="F162" s="67"/>
      <c r="G162" s="67"/>
      <c r="H162" s="67"/>
      <c r="I162" s="67"/>
      <c r="J162" s="69"/>
      <c r="K162" s="69"/>
      <c r="L162" s="69"/>
      <c r="M162" s="69"/>
      <c r="N162" s="67"/>
      <c r="O162" s="70"/>
      <c r="P162" s="69"/>
    </row>
    <row r="163" spans="2:16">
      <c r="B163" s="67"/>
      <c r="C163" s="67"/>
      <c r="D163" s="67"/>
      <c r="E163" s="67"/>
      <c r="F163" s="67"/>
      <c r="G163" s="67"/>
      <c r="H163" s="67"/>
      <c r="I163" s="67"/>
      <c r="J163" s="69"/>
      <c r="K163" s="69"/>
      <c r="L163" s="69"/>
      <c r="M163" s="69"/>
      <c r="N163" s="67"/>
      <c r="O163" s="70"/>
      <c r="P163" s="69"/>
    </row>
    <row r="164" spans="2:16">
      <c r="B164" s="67"/>
      <c r="C164" s="67"/>
      <c r="D164" s="67"/>
      <c r="E164" s="67"/>
      <c r="F164" s="67"/>
      <c r="G164" s="67"/>
      <c r="H164" s="67"/>
      <c r="I164" s="67"/>
      <c r="J164" s="69"/>
      <c r="K164" s="69"/>
      <c r="L164" s="69"/>
      <c r="M164" s="69"/>
      <c r="N164" s="67"/>
      <c r="O164" s="70"/>
      <c r="P164" s="69"/>
    </row>
    <row r="165" spans="2:16">
      <c r="B165" s="67"/>
      <c r="C165" s="67"/>
      <c r="D165" s="67"/>
      <c r="E165" s="67"/>
      <c r="F165" s="67"/>
      <c r="G165" s="67"/>
      <c r="H165" s="67"/>
      <c r="I165" s="67"/>
      <c r="J165" s="69"/>
      <c r="K165" s="69"/>
      <c r="L165" s="69"/>
      <c r="M165" s="69"/>
      <c r="N165" s="67"/>
      <c r="O165" s="70"/>
      <c r="P165" s="69"/>
    </row>
    <row r="166" spans="2:16">
      <c r="B166" s="67"/>
      <c r="C166" s="67"/>
      <c r="D166" s="67"/>
      <c r="E166" s="67"/>
      <c r="F166" s="67"/>
      <c r="G166" s="67"/>
      <c r="H166" s="67"/>
      <c r="I166" s="67"/>
      <c r="J166" s="69"/>
      <c r="K166" s="69"/>
      <c r="L166" s="69"/>
      <c r="M166" s="69"/>
      <c r="N166" s="67"/>
      <c r="O166" s="70"/>
      <c r="P166" s="69"/>
    </row>
    <row r="167" spans="2:16">
      <c r="B167" s="67"/>
      <c r="C167" s="67"/>
      <c r="D167" s="67"/>
      <c r="E167" s="67"/>
      <c r="F167" s="67"/>
      <c r="G167" s="67"/>
      <c r="H167" s="67"/>
      <c r="I167" s="67"/>
      <c r="J167" s="69"/>
      <c r="K167" s="69"/>
      <c r="L167" s="69"/>
      <c r="M167" s="69"/>
      <c r="N167" s="67"/>
      <c r="O167" s="70"/>
      <c r="P167" s="69"/>
    </row>
    <row r="168" spans="2:16">
      <c r="B168" s="67"/>
      <c r="C168" s="67"/>
      <c r="D168" s="67"/>
      <c r="E168" s="67"/>
      <c r="F168" s="67"/>
      <c r="G168" s="67"/>
      <c r="H168" s="67"/>
      <c r="I168" s="67"/>
      <c r="J168" s="69"/>
      <c r="K168" s="69"/>
      <c r="L168" s="69"/>
      <c r="M168" s="69"/>
      <c r="N168" s="67"/>
      <c r="O168" s="70"/>
      <c r="P168" s="69"/>
    </row>
    <row r="169" spans="2:16">
      <c r="B169" s="67"/>
      <c r="C169" s="67"/>
      <c r="D169" s="67"/>
      <c r="E169" s="67"/>
      <c r="F169" s="67"/>
      <c r="G169" s="67"/>
      <c r="H169" s="67"/>
      <c r="I169" s="67"/>
      <c r="J169" s="69"/>
      <c r="K169" s="69"/>
      <c r="L169" s="69"/>
      <c r="M169" s="69"/>
      <c r="N169" s="67"/>
      <c r="O169" s="70"/>
      <c r="P169" s="69"/>
    </row>
    <row r="170" spans="2:16">
      <c r="B170" s="67"/>
      <c r="C170" s="67"/>
      <c r="D170" s="67"/>
      <c r="E170" s="67"/>
      <c r="F170" s="67"/>
      <c r="G170" s="67"/>
      <c r="H170" s="67"/>
      <c r="I170" s="67"/>
      <c r="J170" s="69"/>
      <c r="K170" s="69"/>
      <c r="L170" s="69"/>
      <c r="M170" s="69"/>
      <c r="N170" s="67"/>
      <c r="O170" s="70"/>
      <c r="P170" s="69"/>
    </row>
    <row r="171" spans="2:16">
      <c r="B171" s="67"/>
      <c r="C171" s="67"/>
      <c r="D171" s="67"/>
      <c r="E171" s="67"/>
      <c r="F171" s="67"/>
      <c r="G171" s="67"/>
      <c r="H171" s="67"/>
      <c r="I171" s="67"/>
      <c r="J171" s="69"/>
      <c r="K171" s="69"/>
      <c r="L171" s="69"/>
      <c r="M171" s="69"/>
      <c r="N171" s="67"/>
      <c r="O171" s="70"/>
      <c r="P171" s="69"/>
    </row>
    <row r="172" spans="2:16">
      <c r="B172" s="67"/>
      <c r="C172" s="67"/>
      <c r="D172" s="67"/>
      <c r="E172" s="67"/>
      <c r="F172" s="67"/>
      <c r="G172" s="67"/>
      <c r="H172" s="67"/>
      <c r="I172" s="67"/>
      <c r="J172" s="69"/>
      <c r="K172" s="69"/>
      <c r="L172" s="69"/>
      <c r="M172" s="69"/>
      <c r="N172" s="67"/>
      <c r="O172" s="70"/>
      <c r="P172" s="69"/>
    </row>
    <row r="173" spans="2:16">
      <c r="B173" s="67"/>
      <c r="C173" s="67"/>
      <c r="D173" s="67"/>
      <c r="E173" s="67"/>
      <c r="F173" s="67"/>
      <c r="G173" s="67"/>
      <c r="H173" s="67"/>
      <c r="I173" s="67"/>
      <c r="J173" s="69"/>
      <c r="K173" s="69"/>
      <c r="L173" s="69"/>
      <c r="M173" s="69"/>
      <c r="N173" s="67"/>
      <c r="O173" s="70"/>
      <c r="P173" s="69"/>
    </row>
    <row r="174" spans="2:16">
      <c r="B174" s="67"/>
      <c r="C174" s="67"/>
      <c r="D174" s="67"/>
      <c r="E174" s="67"/>
      <c r="F174" s="67"/>
      <c r="G174" s="67"/>
      <c r="H174" s="67"/>
      <c r="I174" s="67"/>
      <c r="J174" s="69"/>
      <c r="K174" s="69"/>
      <c r="L174" s="69"/>
      <c r="M174" s="69"/>
      <c r="N174" s="67"/>
      <c r="O174" s="70"/>
      <c r="P174" s="69"/>
    </row>
    <row r="175" spans="2:16">
      <c r="B175" s="67"/>
      <c r="C175" s="67"/>
      <c r="D175" s="67"/>
      <c r="E175" s="67"/>
      <c r="F175" s="67"/>
      <c r="G175" s="67"/>
      <c r="H175" s="67"/>
      <c r="I175" s="67"/>
      <c r="J175" s="69"/>
      <c r="K175" s="69"/>
      <c r="L175" s="69"/>
      <c r="M175" s="69"/>
      <c r="N175" s="67"/>
      <c r="O175" s="70"/>
      <c r="P175" s="69"/>
    </row>
    <row r="176" spans="2:16">
      <c r="B176" s="67"/>
      <c r="C176" s="67"/>
      <c r="D176" s="67"/>
      <c r="E176" s="67"/>
      <c r="F176" s="67"/>
      <c r="G176" s="67"/>
      <c r="H176" s="67"/>
      <c r="I176" s="67"/>
      <c r="J176" s="69"/>
      <c r="K176" s="69"/>
      <c r="L176" s="69"/>
      <c r="M176" s="69"/>
      <c r="N176" s="67"/>
      <c r="O176" s="70"/>
      <c r="P176" s="69"/>
    </row>
    <row r="177" spans="2:16">
      <c r="B177" s="67"/>
      <c r="C177" s="67"/>
      <c r="D177" s="67"/>
      <c r="E177" s="67"/>
      <c r="F177" s="67"/>
      <c r="G177" s="67"/>
      <c r="H177" s="67"/>
      <c r="I177" s="67"/>
      <c r="J177" s="69"/>
      <c r="K177" s="69"/>
      <c r="L177" s="69"/>
      <c r="M177" s="69"/>
      <c r="N177" s="67"/>
      <c r="O177" s="70"/>
      <c r="P177" s="69"/>
    </row>
    <row r="178" spans="2:16">
      <c r="B178" s="67"/>
      <c r="C178" s="67"/>
      <c r="D178" s="67"/>
      <c r="E178" s="67"/>
      <c r="F178" s="67"/>
      <c r="G178" s="67"/>
      <c r="H178" s="67"/>
      <c r="I178" s="67"/>
      <c r="J178" s="69"/>
      <c r="K178" s="69"/>
      <c r="L178" s="69"/>
      <c r="M178" s="69"/>
      <c r="N178" s="67"/>
      <c r="O178" s="70"/>
      <c r="P178" s="69"/>
    </row>
    <row r="179" spans="2:16">
      <c r="B179" s="67"/>
      <c r="C179" s="67"/>
      <c r="D179" s="67"/>
      <c r="E179" s="67"/>
      <c r="F179" s="67"/>
      <c r="G179" s="67"/>
      <c r="H179" s="67"/>
      <c r="I179" s="67"/>
      <c r="J179" s="69"/>
      <c r="K179" s="69"/>
      <c r="L179" s="69"/>
      <c r="M179" s="69"/>
      <c r="N179" s="67"/>
      <c r="O179" s="70"/>
      <c r="P179" s="69"/>
    </row>
    <row r="180" spans="2:16">
      <c r="B180" s="67"/>
      <c r="C180" s="67"/>
      <c r="D180" s="67"/>
      <c r="E180" s="67"/>
      <c r="F180" s="67"/>
      <c r="G180" s="67"/>
      <c r="H180" s="67"/>
      <c r="I180" s="67"/>
      <c r="J180" s="69"/>
      <c r="K180" s="69"/>
      <c r="L180" s="69"/>
      <c r="M180" s="69"/>
      <c r="N180" s="67"/>
      <c r="O180" s="70"/>
      <c r="P180" s="69"/>
    </row>
    <row r="181" spans="2:16">
      <c r="B181" s="67"/>
      <c r="C181" s="67"/>
      <c r="D181" s="67"/>
      <c r="E181" s="67"/>
      <c r="F181" s="67"/>
      <c r="G181" s="67"/>
      <c r="H181" s="67"/>
      <c r="I181" s="67"/>
      <c r="J181" s="69"/>
      <c r="K181" s="69"/>
      <c r="L181" s="69"/>
      <c r="M181" s="69"/>
      <c r="N181" s="67"/>
      <c r="O181" s="70"/>
      <c r="P181" s="69"/>
    </row>
    <row r="182" spans="2:16">
      <c r="B182" s="67"/>
      <c r="C182" s="67"/>
      <c r="D182" s="67"/>
      <c r="E182" s="67"/>
      <c r="F182" s="67"/>
      <c r="G182" s="67"/>
      <c r="H182" s="67"/>
      <c r="I182" s="67"/>
      <c r="J182" s="69"/>
      <c r="K182" s="69"/>
      <c r="L182" s="69"/>
      <c r="M182" s="69"/>
      <c r="N182" s="67"/>
      <c r="O182" s="70"/>
      <c r="P182" s="69"/>
    </row>
    <row r="183" spans="2:16">
      <c r="B183" s="67"/>
      <c r="C183" s="67"/>
      <c r="D183" s="67"/>
      <c r="E183" s="67"/>
      <c r="F183" s="67"/>
      <c r="G183" s="67"/>
      <c r="H183" s="67"/>
      <c r="I183" s="67"/>
      <c r="J183" s="69"/>
      <c r="K183" s="69"/>
      <c r="L183" s="69"/>
      <c r="M183" s="69"/>
      <c r="N183" s="67"/>
      <c r="O183" s="70"/>
      <c r="P183" s="69"/>
    </row>
    <row r="184" spans="2:16">
      <c r="B184" s="67"/>
      <c r="C184" s="67"/>
      <c r="D184" s="67"/>
      <c r="E184" s="67"/>
      <c r="F184" s="67"/>
      <c r="G184" s="67"/>
      <c r="H184" s="67"/>
      <c r="I184" s="67"/>
      <c r="J184" s="69"/>
      <c r="K184" s="69"/>
      <c r="L184" s="69"/>
      <c r="M184" s="69"/>
      <c r="N184" s="67"/>
      <c r="O184" s="70"/>
      <c r="P184" s="69"/>
    </row>
    <row r="185" spans="2:16">
      <c r="B185" s="67"/>
      <c r="C185" s="67"/>
      <c r="D185" s="67"/>
      <c r="E185" s="67"/>
      <c r="F185" s="67"/>
      <c r="G185" s="67"/>
      <c r="H185" s="67"/>
      <c r="I185" s="67"/>
      <c r="J185" s="69"/>
      <c r="K185" s="69"/>
      <c r="L185" s="69"/>
      <c r="M185" s="69"/>
      <c r="N185" s="67"/>
      <c r="O185" s="70"/>
      <c r="P185" s="69"/>
    </row>
    <row r="186" spans="2:16">
      <c r="I186" s="67"/>
      <c r="J186" s="69"/>
      <c r="K186" s="69"/>
      <c r="L186" s="69"/>
      <c r="M186" s="69"/>
      <c r="N186" s="67"/>
      <c r="O186" s="70"/>
      <c r="P186" s="69"/>
    </row>
    <row r="187" spans="2:16">
      <c r="I187" s="67"/>
      <c r="J187" s="69"/>
      <c r="K187" s="69"/>
      <c r="L187" s="69"/>
      <c r="M187" s="69"/>
      <c r="N187" s="67"/>
      <c r="O187" s="70"/>
      <c r="P187" s="69"/>
    </row>
    <row r="188" spans="2:16">
      <c r="I188" s="67"/>
      <c r="J188" s="69"/>
      <c r="K188" s="69"/>
      <c r="L188" s="69"/>
      <c r="M188" s="69"/>
      <c r="N188" s="67"/>
      <c r="O188" s="70"/>
      <c r="P188" s="69"/>
    </row>
    <row r="189" spans="2:16">
      <c r="I189" s="67"/>
      <c r="J189" s="69"/>
      <c r="K189" s="69"/>
      <c r="L189" s="69"/>
      <c r="M189" s="69"/>
      <c r="N189" s="67"/>
      <c r="O189" s="70"/>
      <c r="P189" s="69"/>
    </row>
    <row r="190" spans="2:16">
      <c r="I190" s="67"/>
      <c r="J190" s="69"/>
      <c r="K190" s="69"/>
      <c r="L190" s="69"/>
      <c r="M190" s="69"/>
      <c r="N190" s="67"/>
      <c r="O190" s="70"/>
      <c r="P190" s="69"/>
    </row>
    <row r="191" spans="2:16">
      <c r="I191" s="67"/>
      <c r="J191" s="69"/>
      <c r="K191" s="69"/>
      <c r="L191" s="69"/>
      <c r="M191" s="69"/>
      <c r="N191" s="67"/>
      <c r="O191" s="70"/>
      <c r="P191" s="69"/>
    </row>
    <row r="192" spans="2:16">
      <c r="I192" s="67"/>
      <c r="J192" s="69"/>
      <c r="K192" s="69"/>
      <c r="L192" s="69"/>
      <c r="M192" s="69"/>
      <c r="N192" s="67"/>
      <c r="O192" s="70"/>
      <c r="P192" s="69"/>
    </row>
    <row r="193" spans="9:16">
      <c r="I193" s="67"/>
      <c r="J193" s="69"/>
      <c r="K193" s="69"/>
      <c r="L193" s="69"/>
      <c r="M193" s="69"/>
      <c r="N193" s="67"/>
      <c r="O193" s="70"/>
      <c r="P193" s="69"/>
    </row>
    <row r="194" spans="9:16">
      <c r="I194" s="67"/>
      <c r="J194" s="69"/>
      <c r="K194" s="69"/>
      <c r="L194" s="69"/>
      <c r="M194" s="69"/>
      <c r="N194" s="67"/>
      <c r="O194" s="70"/>
      <c r="P194" s="69"/>
    </row>
    <row r="195" spans="9:16">
      <c r="I195" s="67"/>
      <c r="J195" s="69"/>
      <c r="K195" s="69"/>
      <c r="L195" s="69"/>
      <c r="M195" s="69"/>
      <c r="N195" s="67"/>
      <c r="O195" s="70"/>
      <c r="P195" s="69"/>
    </row>
    <row r="196" spans="9:16">
      <c r="I196" s="67"/>
      <c r="J196" s="69"/>
      <c r="K196" s="69"/>
      <c r="L196" s="69"/>
      <c r="M196" s="69"/>
      <c r="N196" s="67"/>
      <c r="O196" s="70"/>
      <c r="P196" s="69"/>
    </row>
    <row r="197" spans="9:16">
      <c r="I197" s="67"/>
      <c r="J197" s="69"/>
      <c r="K197" s="69"/>
      <c r="L197" s="69"/>
      <c r="M197" s="69"/>
      <c r="N197" s="67"/>
      <c r="O197" s="70"/>
      <c r="P197" s="69"/>
    </row>
    <row r="198" spans="9:16">
      <c r="I198" s="67"/>
      <c r="J198" s="69"/>
      <c r="K198" s="69"/>
      <c r="L198" s="69"/>
      <c r="M198" s="69"/>
      <c r="N198" s="67"/>
      <c r="O198" s="70"/>
      <c r="P198" s="69"/>
    </row>
    <row r="199" spans="9:16">
      <c r="I199" s="67"/>
      <c r="J199" s="69"/>
      <c r="K199" s="69"/>
      <c r="L199" s="69"/>
      <c r="M199" s="69"/>
      <c r="N199" s="67"/>
      <c r="O199" s="70"/>
      <c r="P199" s="69"/>
    </row>
    <row r="200" spans="9:16">
      <c r="I200" s="67"/>
      <c r="J200" s="69"/>
      <c r="K200" s="69"/>
      <c r="L200" s="69"/>
      <c r="M200" s="69"/>
      <c r="N200" s="67"/>
      <c r="O200" s="70"/>
      <c r="P200" s="69"/>
    </row>
    <row r="201" spans="9:16">
      <c r="I201" s="67"/>
      <c r="J201" s="69"/>
      <c r="K201" s="69"/>
      <c r="L201" s="69"/>
      <c r="M201" s="69"/>
      <c r="N201" s="67"/>
      <c r="O201" s="70"/>
      <c r="P201" s="69"/>
    </row>
    <row r="202" spans="9:16">
      <c r="I202" s="67"/>
      <c r="J202" s="69"/>
      <c r="K202" s="69"/>
      <c r="L202" s="69"/>
      <c r="M202" s="69"/>
      <c r="N202" s="67"/>
      <c r="O202" s="70"/>
      <c r="P202" s="69"/>
    </row>
    <row r="203" spans="9:16">
      <c r="I203" s="67"/>
      <c r="J203" s="69"/>
      <c r="K203" s="69"/>
      <c r="L203" s="69"/>
      <c r="M203" s="69"/>
      <c r="N203" s="67"/>
      <c r="O203" s="70"/>
      <c r="P203" s="69"/>
    </row>
    <row r="204" spans="9:16">
      <c r="I204" s="67"/>
      <c r="J204" s="69"/>
      <c r="K204" s="69"/>
      <c r="L204" s="69"/>
      <c r="M204" s="69"/>
      <c r="N204" s="67"/>
      <c r="O204" s="70"/>
      <c r="P204" s="69"/>
    </row>
    <row r="205" spans="9:16">
      <c r="I205" s="67"/>
      <c r="J205" s="69"/>
      <c r="K205" s="69"/>
      <c r="L205" s="69"/>
      <c r="M205" s="69"/>
      <c r="N205" s="67"/>
      <c r="O205" s="70"/>
      <c r="P205" s="69"/>
    </row>
    <row r="206" spans="9:16">
      <c r="I206" s="67"/>
      <c r="J206" s="69"/>
      <c r="K206" s="69"/>
      <c r="L206" s="69"/>
      <c r="M206" s="69"/>
      <c r="N206" s="67"/>
      <c r="O206" s="70"/>
      <c r="P206" s="69"/>
    </row>
    <row r="207" spans="9:16">
      <c r="I207" s="67"/>
      <c r="J207" s="69"/>
      <c r="K207" s="69"/>
      <c r="L207" s="69"/>
      <c r="M207" s="69"/>
      <c r="N207" s="67"/>
      <c r="O207" s="70"/>
      <c r="P207" s="69"/>
    </row>
    <row r="208" spans="9:16">
      <c r="I208" s="67"/>
      <c r="J208" s="69"/>
      <c r="K208" s="69"/>
      <c r="L208" s="69"/>
      <c r="M208" s="69"/>
      <c r="N208" s="67"/>
      <c r="O208" s="70"/>
      <c r="P208" s="69"/>
    </row>
    <row r="209" spans="9:16">
      <c r="I209" s="67"/>
      <c r="J209" s="69"/>
      <c r="K209" s="69"/>
      <c r="L209" s="69"/>
      <c r="M209" s="69"/>
      <c r="N209" s="67"/>
      <c r="O209" s="70"/>
      <c r="P209" s="69"/>
    </row>
    <row r="210" spans="9:16">
      <c r="I210" s="67"/>
      <c r="J210" s="69"/>
      <c r="K210" s="69"/>
      <c r="L210" s="69"/>
      <c r="M210" s="69"/>
      <c r="N210" s="67"/>
      <c r="O210" s="70"/>
      <c r="P210" s="69"/>
    </row>
    <row r="211" spans="9:16">
      <c r="I211" s="67"/>
      <c r="J211" s="69"/>
      <c r="K211" s="69"/>
      <c r="L211" s="69"/>
      <c r="M211" s="69"/>
      <c r="N211" s="67"/>
      <c r="O211" s="70"/>
      <c r="P211" s="69"/>
    </row>
    <row r="212" spans="9:16">
      <c r="I212" s="67"/>
      <c r="J212" s="69"/>
      <c r="K212" s="69"/>
      <c r="L212" s="69"/>
      <c r="M212" s="69"/>
      <c r="N212" s="67"/>
      <c r="O212" s="70"/>
      <c r="P212" s="69"/>
    </row>
    <row r="213" spans="9:16">
      <c r="I213" s="67"/>
      <c r="J213" s="69"/>
      <c r="K213" s="69"/>
      <c r="L213" s="69"/>
      <c r="M213" s="69"/>
      <c r="N213" s="67"/>
      <c r="O213" s="70"/>
      <c r="P213" s="69"/>
    </row>
    <row r="214" spans="9:16">
      <c r="I214" s="67"/>
      <c r="J214" s="69"/>
      <c r="K214" s="69"/>
      <c r="L214" s="69"/>
      <c r="M214" s="69"/>
      <c r="N214" s="67"/>
      <c r="O214" s="70"/>
      <c r="P214" s="69"/>
    </row>
    <row r="215" spans="9:16">
      <c r="I215" s="67"/>
      <c r="J215" s="69"/>
      <c r="K215" s="69"/>
      <c r="L215" s="69"/>
      <c r="M215" s="69"/>
      <c r="N215" s="67"/>
      <c r="O215" s="70"/>
      <c r="P215" s="69"/>
    </row>
    <row r="216" spans="9:16">
      <c r="I216" s="67"/>
      <c r="J216" s="69"/>
      <c r="K216" s="69"/>
      <c r="L216" s="69"/>
      <c r="M216" s="69"/>
      <c r="N216" s="67"/>
      <c r="O216" s="70"/>
      <c r="P216" s="69"/>
    </row>
    <row r="217" spans="9:16">
      <c r="I217" s="67"/>
      <c r="J217" s="69"/>
      <c r="K217" s="69"/>
      <c r="L217" s="69"/>
      <c r="M217" s="69"/>
      <c r="N217" s="67"/>
      <c r="O217" s="70"/>
      <c r="P217" s="69"/>
    </row>
    <row r="218" spans="9:16">
      <c r="I218" s="67"/>
      <c r="J218" s="69"/>
      <c r="K218" s="69"/>
      <c r="L218" s="69"/>
      <c r="M218" s="69"/>
      <c r="N218" s="67"/>
      <c r="O218" s="70"/>
      <c r="P218" s="69"/>
    </row>
    <row r="219" spans="9:16">
      <c r="I219" s="67"/>
      <c r="J219" s="69"/>
      <c r="K219" s="69"/>
      <c r="L219" s="69"/>
      <c r="M219" s="69"/>
      <c r="N219" s="67"/>
      <c r="O219" s="70"/>
      <c r="P219" s="69"/>
    </row>
    <row r="220" spans="9:16">
      <c r="I220" s="67"/>
      <c r="J220" s="69"/>
      <c r="K220" s="69"/>
      <c r="L220" s="69"/>
      <c r="M220" s="69"/>
      <c r="N220" s="67"/>
      <c r="O220" s="70"/>
      <c r="P220" s="69"/>
    </row>
    <row r="221" spans="9:16">
      <c r="I221" s="67"/>
      <c r="J221" s="69"/>
      <c r="K221" s="69"/>
      <c r="L221" s="69"/>
      <c r="M221" s="69"/>
      <c r="N221" s="67"/>
      <c r="O221" s="70"/>
      <c r="P221" s="69"/>
    </row>
    <row r="222" spans="9:16">
      <c r="I222" s="67"/>
      <c r="J222" s="69"/>
      <c r="K222" s="69"/>
      <c r="L222" s="69"/>
      <c r="M222" s="69"/>
      <c r="N222" s="67"/>
      <c r="O222" s="70"/>
      <c r="P222" s="69"/>
    </row>
    <row r="223" spans="9:16">
      <c r="I223" s="67"/>
      <c r="J223" s="69"/>
      <c r="K223" s="69"/>
      <c r="L223" s="69"/>
      <c r="M223" s="69"/>
      <c r="N223" s="67"/>
      <c r="O223" s="70"/>
      <c r="P223" s="69"/>
    </row>
    <row r="224" spans="9:16">
      <c r="I224" s="67"/>
      <c r="J224" s="69"/>
      <c r="K224" s="69"/>
      <c r="L224" s="69"/>
      <c r="M224" s="69"/>
      <c r="N224" s="67"/>
      <c r="O224" s="70"/>
      <c r="P224" s="69"/>
    </row>
    <row r="225" spans="9:16">
      <c r="I225" s="67"/>
      <c r="J225" s="69"/>
      <c r="K225" s="69"/>
      <c r="L225" s="69"/>
      <c r="M225" s="69"/>
      <c r="N225" s="67"/>
      <c r="O225" s="70"/>
      <c r="P225" s="69"/>
    </row>
    <row r="226" spans="9:16">
      <c r="I226" s="67"/>
      <c r="J226" s="69"/>
      <c r="K226" s="69"/>
      <c r="L226" s="69"/>
      <c r="M226" s="69"/>
      <c r="N226" s="67"/>
      <c r="O226" s="70"/>
      <c r="P226" s="69"/>
    </row>
    <row r="227" spans="9:16">
      <c r="I227" s="67"/>
      <c r="J227" s="69"/>
      <c r="K227" s="69"/>
      <c r="L227" s="69"/>
      <c r="M227" s="69"/>
      <c r="N227" s="67"/>
      <c r="O227" s="70"/>
      <c r="P227" s="69"/>
    </row>
    <row r="228" spans="9:16">
      <c r="I228" s="67"/>
      <c r="J228" s="69"/>
      <c r="K228" s="69"/>
      <c r="L228" s="69"/>
      <c r="M228" s="69"/>
      <c r="N228" s="67"/>
      <c r="O228" s="70"/>
      <c r="P228" s="69"/>
    </row>
    <row r="229" spans="9:16">
      <c r="I229" s="67"/>
      <c r="J229" s="69"/>
      <c r="K229" s="69"/>
      <c r="L229" s="69"/>
      <c r="M229" s="69"/>
      <c r="N229" s="67"/>
      <c r="O229" s="70"/>
      <c r="P229" s="69"/>
    </row>
    <row r="230" spans="9:16">
      <c r="I230" s="67"/>
      <c r="J230" s="69"/>
      <c r="K230" s="69"/>
      <c r="L230" s="69"/>
      <c r="M230" s="69"/>
      <c r="N230" s="67"/>
      <c r="O230" s="70"/>
      <c r="P230" s="69"/>
    </row>
    <row r="231" spans="9:16">
      <c r="I231" s="67"/>
      <c r="J231" s="69"/>
      <c r="K231" s="69"/>
      <c r="L231" s="69"/>
      <c r="M231" s="69"/>
      <c r="N231" s="67"/>
      <c r="O231" s="70"/>
      <c r="P231" s="69"/>
    </row>
    <row r="232" spans="9:16">
      <c r="I232" s="67"/>
      <c r="J232" s="69"/>
      <c r="K232" s="69"/>
      <c r="L232" s="69"/>
      <c r="M232" s="69"/>
      <c r="N232" s="67"/>
      <c r="O232" s="70"/>
      <c r="P232" s="69"/>
    </row>
    <row r="233" spans="9:16">
      <c r="I233" s="67"/>
      <c r="J233" s="69"/>
      <c r="K233" s="69"/>
      <c r="L233" s="69"/>
      <c r="M233" s="69"/>
      <c r="N233" s="67"/>
      <c r="O233" s="70"/>
      <c r="P233" s="69"/>
    </row>
  </sheetData>
  <mergeCells count="45">
    <mergeCell ref="L38:P38"/>
    <mergeCell ref="A44:A48"/>
    <mergeCell ref="C44:E44"/>
    <mergeCell ref="C45:E45"/>
    <mergeCell ref="C46:E46"/>
    <mergeCell ref="C47:E47"/>
    <mergeCell ref="C48:E48"/>
    <mergeCell ref="F44:H44"/>
    <mergeCell ref="F45:H45"/>
    <mergeCell ref="I43:P43"/>
    <mergeCell ref="K44:M44"/>
    <mergeCell ref="N44:P44"/>
    <mergeCell ref="K45:L45"/>
    <mergeCell ref="I44:I48"/>
    <mergeCell ref="K46:L46"/>
    <mergeCell ref="K48:L48"/>
    <mergeCell ref="U3:V3"/>
    <mergeCell ref="Q3:T3"/>
    <mergeCell ref="C4:D4"/>
    <mergeCell ref="K4:L4"/>
    <mergeCell ref="D3:H3"/>
    <mergeCell ref="I3:J3"/>
    <mergeCell ref="K3:P3"/>
    <mergeCell ref="K49:L49"/>
    <mergeCell ref="K50:L50"/>
    <mergeCell ref="K51:L51"/>
    <mergeCell ref="K47:L47"/>
    <mergeCell ref="Q49:R49"/>
    <mergeCell ref="Q48:R48"/>
    <mergeCell ref="A1:P1"/>
    <mergeCell ref="A3:B3"/>
    <mergeCell ref="A54:H54"/>
    <mergeCell ref="I49:I53"/>
    <mergeCell ref="A49:A53"/>
    <mergeCell ref="C52:D52"/>
    <mergeCell ref="C53:D53"/>
    <mergeCell ref="C51:D51"/>
    <mergeCell ref="C49:D49"/>
    <mergeCell ref="C50:D50"/>
    <mergeCell ref="I54:P54"/>
    <mergeCell ref="K53:L53"/>
    <mergeCell ref="F48:H48"/>
    <mergeCell ref="F46:H46"/>
    <mergeCell ref="F47:H47"/>
    <mergeCell ref="K52:L52"/>
  </mergeCells>
  <phoneticPr fontId="2" type="noConversion"/>
  <printOptions horizontalCentered="1"/>
  <pageMargins left="0" right="0" top="0.19685039370078741" bottom="0.19685039370078741" header="0.23622047244094491" footer="0.23622047244094491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9"/>
  <dimension ref="A1:AC233"/>
  <sheetViews>
    <sheetView showGridLines="0" showZeros="0" workbookViewId="0">
      <selection activeCell="V6" sqref="V6"/>
    </sheetView>
  </sheetViews>
  <sheetFormatPr defaultRowHeight="20.25"/>
  <cols>
    <col min="1" max="1" width="6.7109375" style="74" customWidth="1"/>
    <col min="2" max="2" width="13.140625" style="74" customWidth="1"/>
    <col min="3" max="3" width="2.7109375" style="74" customWidth="1"/>
    <col min="4" max="4" width="5.28515625" style="74" customWidth="1"/>
    <col min="5" max="6" width="7.7109375" style="74" customWidth="1"/>
    <col min="7" max="7" width="2.85546875" style="74" hidden="1" customWidth="1"/>
    <col min="8" max="8" width="7.7109375" style="74" customWidth="1"/>
    <col min="9" max="9" width="6.7109375" style="74" customWidth="1"/>
    <col min="10" max="10" width="14.28515625" style="16" customWidth="1"/>
    <col min="11" max="11" width="2.7109375" style="16" customWidth="1"/>
    <col min="12" max="12" width="6.7109375" style="16" customWidth="1"/>
    <col min="13" max="13" width="6.28515625" style="16" customWidth="1"/>
    <col min="14" max="14" width="6.28515625" style="74" customWidth="1"/>
    <col min="15" max="15" width="12.28515625" style="75" hidden="1" customWidth="1"/>
    <col min="16" max="16" width="8.5703125" style="16" customWidth="1"/>
    <col min="17" max="17" width="8.5703125" style="14" bestFit="1" customWidth="1"/>
    <col min="18" max="18" width="8.5703125" style="15" bestFit="1" customWidth="1"/>
    <col min="19" max="19" width="4.7109375" style="16" bestFit="1" customWidth="1"/>
    <col min="20" max="20" width="3.85546875" style="16" bestFit="1" customWidth="1"/>
    <col min="21" max="22" width="5.7109375" style="17" bestFit="1" customWidth="1"/>
    <col min="23" max="23" width="9.140625" style="18"/>
    <col min="24" max="24" width="0" style="18" hidden="1" customWidth="1"/>
    <col min="25" max="25" width="0" style="17" hidden="1" customWidth="1"/>
    <col min="26" max="29" width="5.7109375" style="16" hidden="1" customWidth="1"/>
    <col min="30" max="71" width="0" style="17" hidden="1" customWidth="1"/>
    <col min="72" max="16384" width="9.140625" style="17"/>
  </cols>
  <sheetData>
    <row r="1" spans="1:29" ht="33.75">
      <c r="A1" s="303" t="s">
        <v>156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</row>
    <row r="2" spans="1:29" ht="31.5">
      <c r="A2" s="118"/>
      <c r="B2" s="118"/>
      <c r="C2" s="118"/>
      <c r="D2" s="118"/>
      <c r="E2" s="118"/>
      <c r="F2" s="118"/>
      <c r="G2" s="118"/>
      <c r="H2" s="118"/>
      <c r="J2" s="119"/>
      <c r="K2" s="119"/>
      <c r="L2" s="119"/>
      <c r="M2" s="119"/>
      <c r="N2" s="119"/>
      <c r="O2" s="119"/>
      <c r="P2" s="119"/>
    </row>
    <row r="3" spans="1:29" ht="23.25" thickBot="1">
      <c r="A3" s="304" t="s">
        <v>157</v>
      </c>
      <c r="B3" s="304"/>
      <c r="C3" s="208"/>
      <c r="D3" s="279">
        <f>'[1]1'!D3+6</f>
        <v>41588</v>
      </c>
      <c r="E3" s="279"/>
      <c r="F3" s="279"/>
      <c r="G3" s="279"/>
      <c r="H3" s="279"/>
      <c r="I3" s="280" t="str">
        <f>IF(WEEKDAY(D3,2)=7,"星期日",IF(WEEKDAY(D3,2)=6,"星期六",IF(WEEKDAY(D3,2)=5,"星期五",IF(WEEKDAY(D3,2)=4,"星期四",IF(WEEKDAY(D3,2)=3,"星期三",IF(WEEKDAY(D3,2)=2,"星期二",IF(WEEKDAY(D3,2)=1,"星期一",WEEKDAY(D3,2))))))))</f>
        <v>星期日</v>
      </c>
      <c r="J3" s="280"/>
      <c r="K3" s="281">
        <f>D3-40908-366</f>
        <v>314</v>
      </c>
      <c r="L3" s="281"/>
      <c r="M3" s="281"/>
      <c r="N3" s="281"/>
      <c r="O3" s="281"/>
      <c r="P3" s="281"/>
      <c r="Q3" s="273" t="s">
        <v>63</v>
      </c>
      <c r="R3" s="273"/>
      <c r="S3" s="273"/>
      <c r="T3" s="273"/>
      <c r="U3" s="272" t="s">
        <v>59</v>
      </c>
      <c r="V3" s="272"/>
    </row>
    <row r="4" spans="1:29" s="31" customFormat="1" ht="13.5" thickTop="1" thickBot="1">
      <c r="A4" s="19" t="s">
        <v>64</v>
      </c>
      <c r="B4" s="20" t="s">
        <v>158</v>
      </c>
      <c r="C4" s="277" t="s">
        <v>159</v>
      </c>
      <c r="D4" s="278"/>
      <c r="E4" s="20" t="s">
        <v>60</v>
      </c>
      <c r="F4" s="20" t="s">
        <v>290</v>
      </c>
      <c r="G4" s="21"/>
      <c r="H4" s="214" t="s">
        <v>61</v>
      </c>
      <c r="I4" s="22" t="s">
        <v>64</v>
      </c>
      <c r="J4" s="23" t="s">
        <v>62</v>
      </c>
      <c r="K4" s="277" t="s">
        <v>159</v>
      </c>
      <c r="L4" s="278"/>
      <c r="M4" s="24" t="s">
        <v>60</v>
      </c>
      <c r="N4" s="23" t="s">
        <v>290</v>
      </c>
      <c r="O4" s="25"/>
      <c r="P4" s="26" t="s">
        <v>61</v>
      </c>
      <c r="Q4" s="27" t="s">
        <v>2</v>
      </c>
      <c r="R4" s="28" t="s">
        <v>65</v>
      </c>
      <c r="S4" s="29" t="s">
        <v>160</v>
      </c>
      <c r="T4" s="29" t="s">
        <v>297</v>
      </c>
      <c r="U4" s="27" t="s">
        <v>2</v>
      </c>
      <c r="V4" s="28" t="s">
        <v>65</v>
      </c>
      <c r="W4" s="30"/>
      <c r="X4" s="30"/>
      <c r="Z4" s="71"/>
      <c r="AA4" s="71"/>
      <c r="AB4" s="71"/>
      <c r="AC4" s="71"/>
    </row>
    <row r="5" spans="1:29" s="31" customFormat="1" ht="13.5" thickTop="1" thickBot="1">
      <c r="A5" s="152">
        <v>270037</v>
      </c>
      <c r="B5" s="3" t="str">
        <f>IF(A5=0,0,VLOOKUP(A5,'00'!$A$1:$F$65536,2,0))</f>
        <v>SES372(1)</v>
      </c>
      <c r="C5" s="5">
        <v>2</v>
      </c>
      <c r="D5" s="3" t="str">
        <f>IF(C5=0,0,VLOOKUP(C5,'01'!$A$2:$B$98,2,0))</f>
        <v>挤出</v>
      </c>
      <c r="E5" s="12">
        <v>15</v>
      </c>
      <c r="F5" s="33" t="s">
        <v>57</v>
      </c>
      <c r="G5" s="34">
        <f t="shared" ref="G5:G37" si="0">IF(F5="中",1,IF(F5="夜",1000000,IF(F5="早",1000000000000,0)))</f>
        <v>1000000000000</v>
      </c>
      <c r="H5" s="206">
        <f>IF(A5=0,0,VLOOKUP(A5,'00'!$A:$F,4,0))</f>
        <v>1082506</v>
      </c>
      <c r="I5" s="9">
        <v>270098</v>
      </c>
      <c r="J5" s="34" t="str">
        <f>IF(I5=0,0,VLOOKUP(I5,'00'!$A$1:$F$65536,2,0))</f>
        <v>DJS601薄片</v>
      </c>
      <c r="K5" s="10">
        <v>20</v>
      </c>
      <c r="L5" s="11" t="str">
        <f>IF(K5=0,0,VLOOKUP(K5,'01'!$A$2:$B$98,2,0))</f>
        <v>约定</v>
      </c>
      <c r="M5" s="13" t="s">
        <v>155</v>
      </c>
      <c r="N5" s="33" t="s">
        <v>58</v>
      </c>
      <c r="O5" s="35">
        <f t="shared" ref="O5:O37" si="1">IF(N5="中",1,IF(N5="夜",10000,IF(N5="日",100000000,0)))</f>
        <v>0</v>
      </c>
      <c r="P5" s="36">
        <f>IF(I5=0,0,VLOOKUP(I5,'00'!$A:$F,4,0))</f>
        <v>1082522</v>
      </c>
      <c r="Q5" s="37">
        <f>IF(A5=0,0,VLOOKUP(A5,'00'!$A$1:$F$65536,5,0))</f>
        <v>175.5</v>
      </c>
      <c r="R5" s="37">
        <f>IF(A5=0,0,VLOOKUP(A5,'00'!$A$1:$G$65536,6,0))</f>
        <v>5.7</v>
      </c>
      <c r="S5" s="38">
        <f t="shared" ref="S5:S37" si="2">IF(A5=270278,1,IF(RIGHT(B5,3)="(0)",1,0))</f>
        <v>0</v>
      </c>
      <c r="T5" s="38">
        <f t="shared" ref="T5:T37" si="3">IF(G5=0,1,0)</f>
        <v>0</v>
      </c>
      <c r="U5" s="37">
        <f>IF(I5=0,0,VLOOKUP(I5,'00'!$A:$F,5,0))+X5</f>
        <v>0</v>
      </c>
      <c r="V5" s="37">
        <f>IF(I5=0,0,VLOOKUP(I5,'00'!$A$1:$F$65536,6,0))</f>
        <v>1.5</v>
      </c>
      <c r="W5" s="37"/>
      <c r="X5" s="30">
        <f t="shared" ref="X5:X37" si="4">IF(K5=9,125,0)</f>
        <v>0</v>
      </c>
      <c r="Y5" s="31">
        <f t="shared" ref="Y5:Y37" si="5">E5*R5</f>
        <v>85.5</v>
      </c>
      <c r="Z5" s="71">
        <f t="shared" ref="Z5:Z37" si="6">+E5*Q5</f>
        <v>2632.5</v>
      </c>
      <c r="AA5" s="71">
        <f t="shared" ref="AA5:AA37" si="7">+S5*Z5</f>
        <v>0</v>
      </c>
      <c r="AB5" s="71">
        <f t="shared" ref="AB5:AB37" si="8">+Z5-AA5</f>
        <v>2632.5</v>
      </c>
      <c r="AC5" s="71"/>
    </row>
    <row r="6" spans="1:29" s="31" customFormat="1" ht="13.5" thickTop="1" thickBot="1">
      <c r="A6" s="152">
        <v>270131</v>
      </c>
      <c r="B6" s="3" t="str">
        <f>IF(A6=0,0,VLOOKUP(A6,'00'!$A$1:$F$65536,2,0))</f>
        <v>SES402(1)</v>
      </c>
      <c r="C6" s="5">
        <v>2</v>
      </c>
      <c r="D6" s="3" t="str">
        <f>IF(C6=0,0,VLOOKUP(C6,'01'!$A$2:$B$98,2,0))</f>
        <v>挤出</v>
      </c>
      <c r="E6" s="12">
        <v>19</v>
      </c>
      <c r="F6" s="33" t="s">
        <v>57</v>
      </c>
      <c r="G6" s="34">
        <f t="shared" si="0"/>
        <v>1000000000000</v>
      </c>
      <c r="H6" s="206">
        <f>IF(A6=0,0,VLOOKUP(A6,'00'!$A:$F,4,0))</f>
        <v>1082510</v>
      </c>
      <c r="I6" s="162">
        <v>270142</v>
      </c>
      <c r="J6" s="34" t="str">
        <f>IF(I6=0,0,VLOOKUP(I6,'00'!$A$1:$F$65536,2,0))</f>
        <v>DJS702(0)</v>
      </c>
      <c r="K6" s="34">
        <v>25</v>
      </c>
      <c r="L6" s="7" t="str">
        <f>IF(K6=0,0,VLOOKUP(K6,'01'!$A$2:$B$98,2,0))</f>
        <v>三区宽</v>
      </c>
      <c r="M6" s="39">
        <v>2</v>
      </c>
      <c r="N6" s="40" t="s">
        <v>57</v>
      </c>
      <c r="O6" s="41">
        <f t="shared" si="1"/>
        <v>0</v>
      </c>
      <c r="P6" s="42">
        <f>IF(I6=0,0,VLOOKUP(I6,'00'!$A:$F,4,0))</f>
        <v>1082539</v>
      </c>
      <c r="Q6" s="37">
        <f>IF(A6=0,0,VLOOKUP(A6,'00'!$A$1:$F$65536,5,0))</f>
        <v>175.5</v>
      </c>
      <c r="R6" s="37">
        <f>IF(A6=0,0,VLOOKUP(A6,'00'!$A$1:$G$65536,6,0))</f>
        <v>6</v>
      </c>
      <c r="S6" s="38">
        <f t="shared" si="2"/>
        <v>0</v>
      </c>
      <c r="T6" s="38">
        <f t="shared" si="3"/>
        <v>0</v>
      </c>
      <c r="U6" s="37">
        <f>IF(I6=0,0,VLOOKUP(I6,'00'!$A:$F,5,0))+X6</f>
        <v>152</v>
      </c>
      <c r="V6" s="37">
        <f>IF(I6=0,0,VLOOKUP(I6,'00'!$A$1:$F$65536,6,0))</f>
        <v>5.2</v>
      </c>
      <c r="W6" s="30"/>
      <c r="X6" s="30">
        <f t="shared" si="4"/>
        <v>0</v>
      </c>
      <c r="Y6" s="31">
        <f t="shared" si="5"/>
        <v>114</v>
      </c>
      <c r="Z6" s="71">
        <f t="shared" si="6"/>
        <v>3334.5</v>
      </c>
      <c r="AA6" s="71">
        <f t="shared" si="7"/>
        <v>0</v>
      </c>
      <c r="AB6" s="71">
        <f t="shared" si="8"/>
        <v>3334.5</v>
      </c>
      <c r="AC6" s="71">
        <f t="shared" ref="AC6:AC15" si="9">+U6*M6</f>
        <v>304</v>
      </c>
    </row>
    <row r="7" spans="1:29" s="31" customFormat="1" ht="13.5" thickTop="1" thickBot="1">
      <c r="A7" s="32">
        <v>270035</v>
      </c>
      <c r="B7" s="3" t="str">
        <f>IF(A7=0,0,VLOOKUP(A7,'00'!$A$1:$F$65536,2,0))</f>
        <v>SES471(1)</v>
      </c>
      <c r="C7" s="5">
        <v>2</v>
      </c>
      <c r="D7" s="3" t="str">
        <f>IF(C7=0,0,VLOOKUP(C7,'01'!$A$2:$B$98,2,0))</f>
        <v>挤出</v>
      </c>
      <c r="E7" s="12">
        <v>5</v>
      </c>
      <c r="F7" s="33" t="s">
        <v>57</v>
      </c>
      <c r="G7" s="34">
        <f t="shared" si="0"/>
        <v>1000000000000</v>
      </c>
      <c r="H7" s="206">
        <f>IF(A7=0,0,VLOOKUP(A7,'00'!$A:$F,4,0))</f>
        <v>1082508</v>
      </c>
      <c r="I7" s="162">
        <v>270143</v>
      </c>
      <c r="J7" s="34" t="str">
        <f>IF(I7=0,0,VLOOKUP(I7,'00'!$A$1:$F$65536,2,0))</f>
        <v>DJS702(1)</v>
      </c>
      <c r="K7" s="34">
        <v>25</v>
      </c>
      <c r="L7" s="7" t="str">
        <f>IF(K7=0,0,VLOOKUP(K7,'01'!$A$2:$B$98,2,0))</f>
        <v>三区宽</v>
      </c>
      <c r="M7" s="39">
        <v>3</v>
      </c>
      <c r="N7" s="40" t="s">
        <v>57</v>
      </c>
      <c r="O7" s="41">
        <f t="shared" si="1"/>
        <v>0</v>
      </c>
      <c r="P7" s="42">
        <f>IF(I7=0,0,VLOOKUP(I7,'00'!$A:$F,4,0))</f>
        <v>1082516</v>
      </c>
      <c r="Q7" s="37">
        <f>IF(A7=0,0,VLOOKUP(A7,'00'!$A$1:$F$65536,5,0))</f>
        <v>170</v>
      </c>
      <c r="R7" s="37">
        <f>IF(A7=0,0,VLOOKUP(A7,'00'!$A$1:$G$65536,6,0))</f>
        <v>6</v>
      </c>
      <c r="S7" s="38">
        <f t="shared" si="2"/>
        <v>0</v>
      </c>
      <c r="T7" s="38">
        <f t="shared" si="3"/>
        <v>0</v>
      </c>
      <c r="U7" s="37">
        <f>IF(I7=0,0,VLOOKUP(I7,'00'!$A:$F,5,0))+X7</f>
        <v>37</v>
      </c>
      <c r="V7" s="37">
        <f>IF(I7=0,0,VLOOKUP(I7,'00'!$A$1:$F$65536,6,0))</f>
        <v>15</v>
      </c>
      <c r="W7" s="30"/>
      <c r="X7" s="30">
        <f t="shared" si="4"/>
        <v>0</v>
      </c>
      <c r="Y7" s="31">
        <f t="shared" si="5"/>
        <v>30</v>
      </c>
      <c r="Z7" s="71">
        <f t="shared" si="6"/>
        <v>850</v>
      </c>
      <c r="AA7" s="71">
        <f t="shared" si="7"/>
        <v>0</v>
      </c>
      <c r="AB7" s="71">
        <f t="shared" si="8"/>
        <v>850</v>
      </c>
      <c r="AC7" s="71">
        <f t="shared" si="9"/>
        <v>111</v>
      </c>
    </row>
    <row r="8" spans="1:29" s="31" customFormat="1" ht="13.5" thickTop="1" thickBot="1">
      <c r="A8" s="32">
        <v>270296</v>
      </c>
      <c r="B8" s="3" t="str">
        <f>IF(A8=0,0,VLOOKUP(A8,'00'!$A$1:$F$65536,2,0))</f>
        <v>SES404(1)</v>
      </c>
      <c r="C8" s="5">
        <v>2</v>
      </c>
      <c r="D8" s="3" t="str">
        <f>IF(C8=0,0,VLOOKUP(C8,'01'!$A$2:$B$98,2,0))</f>
        <v>挤出</v>
      </c>
      <c r="E8" s="12">
        <v>10</v>
      </c>
      <c r="F8" s="33" t="s">
        <v>57</v>
      </c>
      <c r="G8" s="34">
        <f t="shared" si="0"/>
        <v>1000000000000</v>
      </c>
      <c r="H8" s="206">
        <f>IF(A8=0,0,VLOOKUP(A8,'00'!$A:$F,4,0))</f>
        <v>1082511</v>
      </c>
      <c r="I8" s="162">
        <v>270143</v>
      </c>
      <c r="J8" s="34" t="str">
        <f>IF(I8=0,0,VLOOKUP(I8,'00'!$A$1:$F$65536,2,0))</f>
        <v>DJS702(1)</v>
      </c>
      <c r="K8" s="34">
        <v>12</v>
      </c>
      <c r="L8" s="7" t="str">
        <f>IF(K8=0,0,VLOOKUP(K8,'01'!$A$2:$B$98,2,0))</f>
        <v>申舒窄</v>
      </c>
      <c r="M8" s="39">
        <v>2</v>
      </c>
      <c r="N8" s="40" t="s">
        <v>57</v>
      </c>
      <c r="O8" s="35">
        <f t="shared" si="1"/>
        <v>0</v>
      </c>
      <c r="P8" s="43">
        <f>IF(I8=0,0,VLOOKUP(I8,'00'!$A:$F,4,0))</f>
        <v>1082516</v>
      </c>
      <c r="Q8" s="37">
        <f>IF(A8=0,0,VLOOKUP(A8,'00'!$A$1:$F$65536,5,0))</f>
        <v>175</v>
      </c>
      <c r="R8" s="37">
        <f>IF(A8=0,0,VLOOKUP(A8,'00'!$A$1:$G$65536,6,0))</f>
        <v>5.5</v>
      </c>
      <c r="S8" s="38">
        <f t="shared" si="2"/>
        <v>0</v>
      </c>
      <c r="T8" s="38">
        <f t="shared" si="3"/>
        <v>0</v>
      </c>
      <c r="U8" s="37">
        <f>IF(I8=0,0,VLOOKUP(I8,'00'!$A:$F,5,0))+X8</f>
        <v>37</v>
      </c>
      <c r="V8" s="37">
        <f>IF(I8=0,0,VLOOKUP(I8,'00'!$A$1:$F$65536,6,0))</f>
        <v>15</v>
      </c>
      <c r="W8" s="30"/>
      <c r="X8" s="30">
        <f t="shared" si="4"/>
        <v>0</v>
      </c>
      <c r="Y8" s="31">
        <f t="shared" si="5"/>
        <v>55</v>
      </c>
      <c r="Z8" s="71">
        <f t="shared" si="6"/>
        <v>1750</v>
      </c>
      <c r="AA8" s="71">
        <f t="shared" si="7"/>
        <v>0</v>
      </c>
      <c r="AB8" s="71">
        <f t="shared" si="8"/>
        <v>1750</v>
      </c>
      <c r="AC8" s="71">
        <f t="shared" si="9"/>
        <v>74</v>
      </c>
    </row>
    <row r="9" spans="1:29" s="31" customFormat="1" ht="13.5" thickTop="1" thickBot="1">
      <c r="A9" s="32">
        <v>270232</v>
      </c>
      <c r="B9" s="3" t="str">
        <f>IF(A9=0,0,VLOOKUP(A9,'00'!$A$1:$F$65536,2,0))</f>
        <v>SES401(1)二段</v>
      </c>
      <c r="C9" s="5">
        <v>2</v>
      </c>
      <c r="D9" s="3" t="str">
        <f>IF(C9=0,0,VLOOKUP(C9,'01'!$A$2:$B$98,2,0))</f>
        <v>挤出</v>
      </c>
      <c r="E9" s="12">
        <v>20</v>
      </c>
      <c r="F9" s="33" t="s">
        <v>57</v>
      </c>
      <c r="G9" s="34">
        <f t="shared" si="0"/>
        <v>1000000000000</v>
      </c>
      <c r="H9" s="206">
        <f>IF(A9=0,0,VLOOKUP(A9,'00'!$A:$F,4,0))</f>
        <v>1082509</v>
      </c>
      <c r="I9" s="162">
        <v>270143</v>
      </c>
      <c r="J9" s="34" t="str">
        <f>IF(I9=0,0,VLOOKUP(I9,'00'!$A$1:$F$65536,2,0))</f>
        <v>DJS702(1)</v>
      </c>
      <c r="K9" s="34">
        <v>10</v>
      </c>
      <c r="L9" s="7" t="str">
        <f>IF(K9=0,0,VLOOKUP(K9,'01'!$A$2:$B$98,2,0))</f>
        <v>申舒</v>
      </c>
      <c r="M9" s="39">
        <v>10</v>
      </c>
      <c r="N9" s="40" t="s">
        <v>57</v>
      </c>
      <c r="O9" s="35">
        <f t="shared" si="1"/>
        <v>0</v>
      </c>
      <c r="P9" s="43">
        <f>IF(I9=0,0,VLOOKUP(I9,'00'!$A:$F,4,0))</f>
        <v>1082516</v>
      </c>
      <c r="Q9" s="37">
        <f>IF(A9=0,0,VLOOKUP(A9,'00'!$A$1:$F$65536,5,0))</f>
        <v>144.5</v>
      </c>
      <c r="R9" s="37">
        <f>IF(A9=0,0,VLOOKUP(A9,'00'!$A$1:$G$65536,6,0))</f>
        <v>4</v>
      </c>
      <c r="S9" s="38">
        <f t="shared" si="2"/>
        <v>0</v>
      </c>
      <c r="T9" s="38">
        <f t="shared" si="3"/>
        <v>0</v>
      </c>
      <c r="U9" s="37">
        <f>IF(I9=0,0,VLOOKUP(I9,'00'!$A:$F,5,0))+X9</f>
        <v>37</v>
      </c>
      <c r="V9" s="37">
        <f>IF(I9=0,0,VLOOKUP(I9,'00'!$A$1:$F$65536,6,0))</f>
        <v>15</v>
      </c>
      <c r="W9" s="30"/>
      <c r="X9" s="30">
        <f t="shared" si="4"/>
        <v>0</v>
      </c>
      <c r="Y9" s="31">
        <f t="shared" si="5"/>
        <v>80</v>
      </c>
      <c r="Z9" s="71">
        <f t="shared" si="6"/>
        <v>2890</v>
      </c>
      <c r="AA9" s="71">
        <f t="shared" si="7"/>
        <v>0</v>
      </c>
      <c r="AB9" s="71">
        <f t="shared" si="8"/>
        <v>2890</v>
      </c>
      <c r="AC9" s="71">
        <f t="shared" si="9"/>
        <v>370</v>
      </c>
    </row>
    <row r="10" spans="1:29" s="31" customFormat="1" ht="13.5" thickTop="1" thickBot="1">
      <c r="A10" s="152" t="s">
        <v>66</v>
      </c>
      <c r="B10" s="199" t="str">
        <f>IF(A10=0,0,VLOOKUP(A10,'00'!$A$1:$F$65536,2,0))</f>
        <v>CLEAN</v>
      </c>
      <c r="C10" s="204">
        <v>1</v>
      </c>
      <c r="D10" s="199" t="str">
        <f>IF(C10=0,0,VLOOKUP(C10,'01'!$A$2:$B$98,2,0))</f>
        <v>炼胶</v>
      </c>
      <c r="E10" s="205">
        <v>1</v>
      </c>
      <c r="F10" s="33" t="s">
        <v>57</v>
      </c>
      <c r="G10" s="34">
        <f t="shared" si="0"/>
        <v>1000000000000</v>
      </c>
      <c r="H10" s="206">
        <f>IF(A10=0,0,VLOOKUP(A10,'00'!$A:$F,4,0))</f>
        <v>0</v>
      </c>
      <c r="I10" s="32">
        <v>270047</v>
      </c>
      <c r="J10" s="34" t="str">
        <f>IF(I10=0,0,VLOOKUP(I10,'00'!$A$1:$F$65536,2,0))</f>
        <v>DJS801(1)</v>
      </c>
      <c r="K10" s="34">
        <v>10</v>
      </c>
      <c r="L10" s="7" t="str">
        <f>IF(K10=0,0,VLOOKUP(K10,'01'!$A$2:$B$98,2,0))</f>
        <v>申舒</v>
      </c>
      <c r="M10" s="39">
        <v>1</v>
      </c>
      <c r="N10" s="44" t="s">
        <v>57</v>
      </c>
      <c r="O10" s="35">
        <f t="shared" si="1"/>
        <v>0</v>
      </c>
      <c r="P10" s="45">
        <f>IF(I10=0,0,VLOOKUP(I10,'00'!$A:$F,4,0))</f>
        <v>1082512</v>
      </c>
      <c r="Q10" s="37">
        <f>IF(A10=0,0,VLOOKUP(A10,'00'!$A$1:$F$65536,5,0))</f>
        <v>0</v>
      </c>
      <c r="R10" s="37">
        <f>IF(A10=0,0,VLOOKUP(A10,'00'!$A$1:$G$65536,6,0))</f>
        <v>0</v>
      </c>
      <c r="S10" s="38">
        <f t="shared" si="2"/>
        <v>0</v>
      </c>
      <c r="T10" s="38">
        <f t="shared" si="3"/>
        <v>0</v>
      </c>
      <c r="U10" s="37">
        <f>IF(I10=0,0,VLOOKUP(I10,'00'!$A:$F,5,0))+X10</f>
        <v>37</v>
      </c>
      <c r="V10" s="37">
        <f>IF(I10=0,0,VLOOKUP(I10,'00'!$A$1:$F$65536,6,0))</f>
        <v>15</v>
      </c>
      <c r="W10" s="30"/>
      <c r="X10" s="30">
        <f t="shared" si="4"/>
        <v>0</v>
      </c>
      <c r="Y10" s="31">
        <f t="shared" si="5"/>
        <v>0</v>
      </c>
      <c r="Z10" s="71">
        <f t="shared" si="6"/>
        <v>0</v>
      </c>
      <c r="AA10" s="71">
        <f t="shared" si="7"/>
        <v>0</v>
      </c>
      <c r="AB10" s="71">
        <f t="shared" si="8"/>
        <v>0</v>
      </c>
      <c r="AC10" s="71">
        <f t="shared" si="9"/>
        <v>37</v>
      </c>
    </row>
    <row r="11" spans="1:29" s="31" customFormat="1" ht="13.5" thickTop="1" thickBot="1">
      <c r="A11" s="32">
        <v>270018</v>
      </c>
      <c r="B11" s="3" t="str">
        <f>IF(A11=0,0,VLOOKUP(A11,'00'!$A$1:$F$65536,2,0))</f>
        <v>DEC601(1)</v>
      </c>
      <c r="C11" s="5">
        <v>2</v>
      </c>
      <c r="D11" s="3" t="str">
        <f>IF(C11=0,0,VLOOKUP(C11,'01'!$A$2:$B$98,2,0))</f>
        <v>挤出</v>
      </c>
      <c r="E11" s="12">
        <v>16</v>
      </c>
      <c r="F11" s="33" t="s">
        <v>57</v>
      </c>
      <c r="G11" s="34">
        <f t="shared" si="0"/>
        <v>1000000000000</v>
      </c>
      <c r="H11" s="206">
        <f>IF(A11=0,0,VLOOKUP(A11,'00'!$A:$F,4,0))</f>
        <v>1082500</v>
      </c>
      <c r="I11" s="32">
        <v>270047</v>
      </c>
      <c r="J11" s="34" t="str">
        <f>IF(I11=0,0,VLOOKUP(I11,'00'!$A$1:$F$65536,2,0))</f>
        <v>DJS801(1)</v>
      </c>
      <c r="K11" s="34">
        <v>7</v>
      </c>
      <c r="L11" s="7" t="str">
        <f>IF(K11=0,0,VLOOKUP(K11,'01'!$A$2:$B$98,2,0))</f>
        <v>申翔</v>
      </c>
      <c r="M11" s="39">
        <v>1</v>
      </c>
      <c r="N11" s="46" t="s">
        <v>57</v>
      </c>
      <c r="O11" s="47">
        <f t="shared" si="1"/>
        <v>0</v>
      </c>
      <c r="P11" s="48">
        <f>IF(I11=0,0,VLOOKUP(I11,'00'!$A:$F,4,0))</f>
        <v>1082512</v>
      </c>
      <c r="Q11" s="37">
        <f>IF(A11=0,0,VLOOKUP(A11,'00'!$A$1:$F$65536,5,0))</f>
        <v>165</v>
      </c>
      <c r="R11" s="37">
        <f>IF(A11=0,0,VLOOKUP(A11,'00'!$A$1:$G$65536,6,0))</f>
        <v>5.2</v>
      </c>
      <c r="S11" s="38">
        <f t="shared" si="2"/>
        <v>0</v>
      </c>
      <c r="T11" s="38">
        <f t="shared" si="3"/>
        <v>0</v>
      </c>
      <c r="U11" s="37">
        <f>IF(I11=0,0,VLOOKUP(I11,'00'!$A:$F,5,0))+X11</f>
        <v>37</v>
      </c>
      <c r="V11" s="37">
        <f>IF(I11=0,0,VLOOKUP(I11,'00'!$A$1:$F$65536,6,0))</f>
        <v>15</v>
      </c>
      <c r="W11" s="30"/>
      <c r="X11" s="30">
        <f t="shared" si="4"/>
        <v>0</v>
      </c>
      <c r="Y11" s="31">
        <f t="shared" si="5"/>
        <v>83.2</v>
      </c>
      <c r="Z11" s="71">
        <f t="shared" si="6"/>
        <v>2640</v>
      </c>
      <c r="AA11" s="71">
        <f t="shared" si="7"/>
        <v>0</v>
      </c>
      <c r="AB11" s="71">
        <f t="shared" si="8"/>
        <v>2640</v>
      </c>
      <c r="AC11" s="71">
        <f t="shared" si="9"/>
        <v>37</v>
      </c>
    </row>
    <row r="12" spans="1:29" s="31" customFormat="1" ht="13.5" thickTop="1" thickBot="1">
      <c r="A12" s="32">
        <v>270018</v>
      </c>
      <c r="B12" s="3" t="str">
        <f>IF(A12=0,0,VLOOKUP(A12,'00'!$A$1:$F$65536,2,0))</f>
        <v>DEC601(1)</v>
      </c>
      <c r="C12" s="5">
        <v>2</v>
      </c>
      <c r="D12" s="3" t="str">
        <f>IF(C12=0,0,VLOOKUP(C12,'01'!$A$2:$B$98,2,0))</f>
        <v>挤出</v>
      </c>
      <c r="E12" s="12">
        <v>20</v>
      </c>
      <c r="F12" s="33" t="s">
        <v>301</v>
      </c>
      <c r="G12" s="34">
        <f t="shared" si="0"/>
        <v>1</v>
      </c>
      <c r="H12" s="206">
        <f>IF(A12=0,0,VLOOKUP(A12,'00'!$A:$F,4,0))</f>
        <v>1082500</v>
      </c>
      <c r="I12" s="32">
        <v>270032</v>
      </c>
      <c r="J12" s="34" t="str">
        <f>IF(I12=0,0,VLOOKUP(I12,'00'!$A$1:$F$65536,2,0))</f>
        <v>SJS191(1)</v>
      </c>
      <c r="K12" s="34">
        <v>7</v>
      </c>
      <c r="L12" s="7" t="str">
        <f>IF(K12=0,0,VLOOKUP(K12,'01'!$A$2:$B$98,2,0))</f>
        <v>申翔</v>
      </c>
      <c r="M12" s="39">
        <v>2</v>
      </c>
      <c r="N12" s="49" t="s">
        <v>57</v>
      </c>
      <c r="O12" s="50">
        <f t="shared" si="1"/>
        <v>0</v>
      </c>
      <c r="P12" s="51">
        <f>IF(I12=0,0,VLOOKUP(I12,'00'!$A:$F,4,0))</f>
        <v>1082521</v>
      </c>
      <c r="Q12" s="37">
        <f>IF(A12=0,0,VLOOKUP(A12,'00'!$A$1:$F$65536,5,0))</f>
        <v>165</v>
      </c>
      <c r="R12" s="37">
        <f>IF(A12=0,0,VLOOKUP(A12,'00'!$A$1:$G$65536,6,0))</f>
        <v>5.2</v>
      </c>
      <c r="S12" s="38">
        <f t="shared" si="2"/>
        <v>0</v>
      </c>
      <c r="T12" s="38">
        <f t="shared" si="3"/>
        <v>0</v>
      </c>
      <c r="U12" s="37">
        <f>IF(I12=0,0,VLOOKUP(I12,'00'!$A:$F,5,0))+X12</f>
        <v>37</v>
      </c>
      <c r="V12" s="37">
        <f>IF(I12=0,0,VLOOKUP(I12,'00'!$A$1:$F$65536,6,0))</f>
        <v>15</v>
      </c>
      <c r="W12" s="30"/>
      <c r="X12" s="30">
        <f t="shared" si="4"/>
        <v>0</v>
      </c>
      <c r="Y12" s="31">
        <f t="shared" si="5"/>
        <v>104</v>
      </c>
      <c r="Z12" s="71">
        <f t="shared" si="6"/>
        <v>3300</v>
      </c>
      <c r="AA12" s="71">
        <f t="shared" si="7"/>
        <v>0</v>
      </c>
      <c r="AB12" s="71">
        <f t="shared" si="8"/>
        <v>3300</v>
      </c>
      <c r="AC12" s="71">
        <f t="shared" si="9"/>
        <v>74</v>
      </c>
    </row>
    <row r="13" spans="1:29" s="31" customFormat="1" ht="13.5" thickTop="1" thickBot="1">
      <c r="A13" s="32">
        <v>270427</v>
      </c>
      <c r="B13" s="233" t="str">
        <f>IF(A13=0,0,VLOOKUP(A13,'00'!$A$1:$F$65536,2,0))</f>
        <v>DEC651(1)</v>
      </c>
      <c r="C13" s="5">
        <v>18</v>
      </c>
      <c r="D13" s="3" t="str">
        <f>IF(C13=0,0,VLOOKUP(C13,'01'!$A$2:$B$98,2,0))</f>
        <v>三产</v>
      </c>
      <c r="E13" s="12">
        <v>4</v>
      </c>
      <c r="F13" s="33" t="s">
        <v>301</v>
      </c>
      <c r="G13" s="34">
        <f t="shared" si="0"/>
        <v>1</v>
      </c>
      <c r="H13" s="206">
        <f>IF(A13=0,0,VLOOKUP(A13,'00'!$A:$F,4,0))</f>
        <v>1082546</v>
      </c>
      <c r="I13" s="32">
        <v>270084</v>
      </c>
      <c r="J13" s="34" t="str">
        <f>IF(I13=0,0,VLOOKUP(I13,'00'!$A$1:$F$65536,2,0))</f>
        <v>DJS803(1)</v>
      </c>
      <c r="K13" s="34">
        <v>8</v>
      </c>
      <c r="L13" s="7" t="str">
        <f>IF(K13=0,0,VLOOKUP(K13,'01'!$A$2:$B$98,2,0))</f>
        <v>申翔3</v>
      </c>
      <c r="M13" s="39">
        <v>3</v>
      </c>
      <c r="N13" s="46" t="s">
        <v>57</v>
      </c>
      <c r="O13" s="47">
        <f t="shared" si="1"/>
        <v>0</v>
      </c>
      <c r="P13" s="48">
        <f>IF(I13=0,0,VLOOKUP(I13,'00'!$A:$F,4,0))</f>
        <v>1082513</v>
      </c>
      <c r="Q13" s="37">
        <f>IF(A13=0,0,VLOOKUP(A13,'00'!$A$1:$F$65536,5,0))</f>
        <v>156</v>
      </c>
      <c r="R13" s="37">
        <f>IF(A13=0,0,VLOOKUP(A13,'00'!$A$1:$G$65536,6,0))</f>
        <v>6</v>
      </c>
      <c r="S13" s="38">
        <f t="shared" si="2"/>
        <v>0</v>
      </c>
      <c r="T13" s="38">
        <f t="shared" si="3"/>
        <v>0</v>
      </c>
      <c r="U13" s="37">
        <f>IF(I13=0,0,VLOOKUP(I13,'00'!$A:$F,5,0))+X13</f>
        <v>37</v>
      </c>
      <c r="V13" s="37">
        <f>IF(I13=0,0,VLOOKUP(I13,'00'!$A$1:$F$65536,6,0))</f>
        <v>15</v>
      </c>
      <c r="W13" s="30"/>
      <c r="X13" s="30">
        <f t="shared" si="4"/>
        <v>0</v>
      </c>
      <c r="Y13" s="31">
        <f t="shared" si="5"/>
        <v>24</v>
      </c>
      <c r="Z13" s="71">
        <f t="shared" si="6"/>
        <v>624</v>
      </c>
      <c r="AA13" s="71">
        <f t="shared" si="7"/>
        <v>0</v>
      </c>
      <c r="AB13" s="71">
        <f t="shared" si="8"/>
        <v>624</v>
      </c>
      <c r="AC13" s="71">
        <f t="shared" si="9"/>
        <v>111</v>
      </c>
    </row>
    <row r="14" spans="1:29" s="31" customFormat="1" ht="13.5" thickTop="1" thickBot="1">
      <c r="A14" s="32">
        <v>270293</v>
      </c>
      <c r="B14" s="3" t="str">
        <f>IF(A14=0,0,VLOOKUP(A14,'00'!$A$1:$F$65536,2,0))</f>
        <v>DES604(1)</v>
      </c>
      <c r="C14" s="5">
        <v>2</v>
      </c>
      <c r="D14" s="3" t="str">
        <f>IF(C14=0,0,VLOOKUP(C14,'01'!$A$2:$B$98,2,0))</f>
        <v>挤出</v>
      </c>
      <c r="E14" s="12">
        <v>15</v>
      </c>
      <c r="F14" s="33" t="s">
        <v>301</v>
      </c>
      <c r="G14" s="34">
        <f t="shared" si="0"/>
        <v>1</v>
      </c>
      <c r="H14" s="206">
        <f>IF(A14=0,0,VLOOKUP(A14,'00'!$A:$F,4,0))</f>
        <v>1082499</v>
      </c>
      <c r="I14" s="32"/>
      <c r="J14" s="34">
        <f>IF(I14=0,0,VLOOKUP(I14,'00'!$A$1:$F$65536,2,0))</f>
        <v>0</v>
      </c>
      <c r="K14" s="34"/>
      <c r="L14" s="7">
        <f>IF(K14=0,0,VLOOKUP(K14,'01'!$A$2:$B$98,2,0))</f>
        <v>0</v>
      </c>
      <c r="M14" s="39"/>
      <c r="N14" s="46" t="s">
        <v>57</v>
      </c>
      <c r="O14" s="47">
        <f t="shared" si="1"/>
        <v>0</v>
      </c>
      <c r="P14" s="48">
        <f>IF(I14=0,0,VLOOKUP(I14,'00'!$A:$F,4,0))</f>
        <v>0</v>
      </c>
      <c r="Q14" s="37">
        <f>IF(A14=0,0,VLOOKUP(A14,'00'!$A$1:$F$65536,5,0))</f>
        <v>160</v>
      </c>
      <c r="R14" s="37">
        <f>IF(A14=0,0,VLOOKUP(A14,'00'!$A$1:$G$65536,6,0))</f>
        <v>5</v>
      </c>
      <c r="S14" s="38">
        <f t="shared" si="2"/>
        <v>0</v>
      </c>
      <c r="T14" s="38">
        <f t="shared" si="3"/>
        <v>0</v>
      </c>
      <c r="U14" s="37">
        <f>IF(I14=0,0,VLOOKUP(I14,'00'!$A:$F,5,0))+X14</f>
        <v>0</v>
      </c>
      <c r="V14" s="37">
        <f>IF(I14=0,0,VLOOKUP(I14,'00'!$A$1:$F$65536,6,0))</f>
        <v>0</v>
      </c>
      <c r="W14" s="30"/>
      <c r="X14" s="30">
        <f t="shared" si="4"/>
        <v>0</v>
      </c>
      <c r="Y14" s="31">
        <f t="shared" si="5"/>
        <v>75</v>
      </c>
      <c r="Z14" s="71">
        <f t="shared" si="6"/>
        <v>2400</v>
      </c>
      <c r="AA14" s="71">
        <f t="shared" si="7"/>
        <v>0</v>
      </c>
      <c r="AB14" s="71">
        <f t="shared" si="8"/>
        <v>2400</v>
      </c>
      <c r="AC14" s="71">
        <f t="shared" si="9"/>
        <v>0</v>
      </c>
    </row>
    <row r="15" spans="1:29" s="31" customFormat="1" ht="13.5" thickTop="1" thickBot="1">
      <c r="A15" s="32">
        <v>270017</v>
      </c>
      <c r="B15" s="233" t="str">
        <f>IF(A15=0,0,VLOOKUP(A15,'00'!$A$1:$F$65536,2,0))</f>
        <v>DES601(1)</v>
      </c>
      <c r="C15" s="5">
        <v>2</v>
      </c>
      <c r="D15" s="3" t="str">
        <f>IF(C15=0,0,VLOOKUP(C15,'01'!$A$2:$B$98,2,0))</f>
        <v>挤出</v>
      </c>
      <c r="E15" s="12">
        <v>18</v>
      </c>
      <c r="F15" s="33" t="s">
        <v>301</v>
      </c>
      <c r="G15" s="34">
        <f t="shared" si="0"/>
        <v>1</v>
      </c>
      <c r="H15" s="206">
        <f>IF(A15=0,0,VLOOKUP(A15,'00'!$A:$F,4,0))</f>
        <v>1082497</v>
      </c>
      <c r="I15" s="92"/>
      <c r="J15" s="87">
        <f>IF(I15=0,0,VLOOKUP(I15,'00'!$A$1:$F$65536,2,0))</f>
        <v>0</v>
      </c>
      <c r="K15" s="87"/>
      <c r="L15" s="88">
        <f>IF(K15=0,0,VLOOKUP(K15,'01'!$A$2:$B$98,2,0))</f>
        <v>0</v>
      </c>
      <c r="M15" s="93"/>
      <c r="N15" s="89" t="s">
        <v>57</v>
      </c>
      <c r="O15" s="90">
        <f t="shared" si="1"/>
        <v>0</v>
      </c>
      <c r="P15" s="91">
        <f>IF(I15=0,0,VLOOKUP(I15,'00'!$A:$F,4,0))</f>
        <v>0</v>
      </c>
      <c r="Q15" s="37">
        <f>IF(A15=0,0,VLOOKUP(A15,'00'!$A$1:$F$65536,5,0))</f>
        <v>160</v>
      </c>
      <c r="R15" s="37">
        <f>IF(A15=0,0,VLOOKUP(A15,'00'!$A$1:$G$65536,6,0))</f>
        <v>5.2</v>
      </c>
      <c r="S15" s="38">
        <f t="shared" si="2"/>
        <v>0</v>
      </c>
      <c r="T15" s="38">
        <f t="shared" si="3"/>
        <v>0</v>
      </c>
      <c r="U15" s="37">
        <f>IF(I15=0,0,VLOOKUP(I15,'00'!$A:$F,5,0))+X15</f>
        <v>0</v>
      </c>
      <c r="V15" s="37">
        <f>IF(I15=0,0,VLOOKUP(I15,'00'!$A$1:$F$65536,6,0))</f>
        <v>0</v>
      </c>
      <c r="W15" s="30">
        <v>0</v>
      </c>
      <c r="X15" s="30">
        <f t="shared" si="4"/>
        <v>0</v>
      </c>
      <c r="Y15" s="31">
        <f t="shared" si="5"/>
        <v>93.600000000000009</v>
      </c>
      <c r="Z15" s="71">
        <f t="shared" si="6"/>
        <v>2880</v>
      </c>
      <c r="AA15" s="71">
        <f t="shared" si="7"/>
        <v>0</v>
      </c>
      <c r="AB15" s="71">
        <f t="shared" si="8"/>
        <v>2880</v>
      </c>
      <c r="AC15" s="71">
        <f t="shared" si="9"/>
        <v>0</v>
      </c>
    </row>
    <row r="16" spans="1:29" s="31" customFormat="1" ht="13.5" thickTop="1" thickBot="1">
      <c r="A16" s="152">
        <v>270518</v>
      </c>
      <c r="B16" s="3" t="str">
        <f>IF(A16=0,0,VLOOKUP(A16,'00'!$A$1:$F$65536,2,0))</f>
        <v>DEC852(1)</v>
      </c>
      <c r="C16" s="5">
        <v>2</v>
      </c>
      <c r="D16" s="3" t="str">
        <f>IF(C16=0,0,VLOOKUP(C16,'01'!$A$2:$B$98,2,0))</f>
        <v>挤出</v>
      </c>
      <c r="E16" s="12">
        <v>18</v>
      </c>
      <c r="F16" s="33" t="s">
        <v>301</v>
      </c>
      <c r="G16" s="34">
        <f t="shared" si="0"/>
        <v>1</v>
      </c>
      <c r="H16" s="206">
        <f>IF(A16=0,0,VLOOKUP(A16,'00'!$A:$F,4,0))</f>
        <v>1082492</v>
      </c>
      <c r="I16" s="9">
        <v>270098</v>
      </c>
      <c r="J16" s="52" t="str">
        <f>IF(I16=0,0,VLOOKUP(I16,'00'!$A$1:$F$65536,2,0))</f>
        <v>DJS601薄片</v>
      </c>
      <c r="K16" s="10">
        <v>20</v>
      </c>
      <c r="L16" s="11" t="str">
        <f>IF(K16=0,0,VLOOKUP(K16,'01'!$A$2:$B$98,2,0))</f>
        <v>约定</v>
      </c>
      <c r="M16" s="13" t="s">
        <v>300</v>
      </c>
      <c r="N16" s="33" t="s">
        <v>0</v>
      </c>
      <c r="O16" s="41">
        <f t="shared" si="1"/>
        <v>1</v>
      </c>
      <c r="P16" s="42">
        <f>IF(I16=0,0,VLOOKUP(I16,'00'!$A:$F,4,0))</f>
        <v>1082522</v>
      </c>
      <c r="Q16" s="37">
        <f>IF(A16=0,0,VLOOKUP(A16,'00'!$A$1:$F$65536,5,0))</f>
        <v>160</v>
      </c>
      <c r="R16" s="37">
        <f>IF(A16=0,0,VLOOKUP(A16,'00'!$A$1:$G$65536,6,0))</f>
        <v>5.5</v>
      </c>
      <c r="S16" s="38">
        <f t="shared" si="2"/>
        <v>0</v>
      </c>
      <c r="T16" s="38">
        <f t="shared" si="3"/>
        <v>0</v>
      </c>
      <c r="U16" s="37">
        <f>IF(I16=0,0,VLOOKUP(I16,'00'!$A:$F,5,0))+X16</f>
        <v>0</v>
      </c>
      <c r="V16" s="37">
        <f>IF(I16=0,0,VLOOKUP(I16,'00'!$A$1:$F$65536,6,0))</f>
        <v>1.5</v>
      </c>
      <c r="W16" s="37"/>
      <c r="X16" s="30">
        <f t="shared" si="4"/>
        <v>0</v>
      </c>
      <c r="Y16" s="31">
        <f t="shared" si="5"/>
        <v>99</v>
      </c>
      <c r="Z16" s="71">
        <f t="shared" si="6"/>
        <v>2880</v>
      </c>
      <c r="AA16" s="71">
        <f t="shared" si="7"/>
        <v>0</v>
      </c>
      <c r="AB16" s="71">
        <f t="shared" si="8"/>
        <v>2880</v>
      </c>
      <c r="AC16" s="71"/>
    </row>
    <row r="17" spans="1:29" s="31" customFormat="1" ht="13.5" thickTop="1" thickBot="1">
      <c r="A17" s="152">
        <v>270028</v>
      </c>
      <c r="B17" s="233" t="str">
        <f>IF(A17=0,0,VLOOKUP(A17,'00'!$A$1:$F$65536,2,0))</f>
        <v>DES851(1)</v>
      </c>
      <c r="C17" s="5">
        <v>2</v>
      </c>
      <c r="D17" s="3" t="str">
        <f>IF(C17=0,0,VLOOKUP(C17,'01'!$A$2:$B$98,2,0))</f>
        <v>挤出</v>
      </c>
      <c r="E17" s="12">
        <v>15</v>
      </c>
      <c r="F17" s="33" t="s">
        <v>301</v>
      </c>
      <c r="G17" s="34">
        <f t="shared" si="0"/>
        <v>1</v>
      </c>
      <c r="H17" s="206">
        <f>IF(A17=0,0,VLOOKUP(A17,'00'!$A:$F,4,0))</f>
        <v>1082488</v>
      </c>
      <c r="I17" s="32">
        <v>270247</v>
      </c>
      <c r="J17" s="34" t="str">
        <f>IF(I17=0,0,VLOOKUP(I17,'00'!$A$1:$F$65536,2,0))</f>
        <v>CES300(0)</v>
      </c>
      <c r="K17" s="34">
        <v>17</v>
      </c>
      <c r="L17" s="7" t="str">
        <f>IF(K17=0,0,VLOOKUP(K17,'01'!$A$2:$B$98,2,0))</f>
        <v>淮安</v>
      </c>
      <c r="M17" s="39">
        <v>20</v>
      </c>
      <c r="N17" s="33" t="s">
        <v>0</v>
      </c>
      <c r="O17" s="41">
        <f t="shared" si="1"/>
        <v>1</v>
      </c>
      <c r="P17" s="42">
        <f>IF(I17=0,0,VLOOKUP(I17,'00'!$A:$F,4,0))</f>
        <v>1082544</v>
      </c>
      <c r="Q17" s="37">
        <f>IF(A17=0,0,VLOOKUP(A17,'00'!$A$1:$F$65536,5,0))</f>
        <v>155</v>
      </c>
      <c r="R17" s="37">
        <f>IF(A17=0,0,VLOOKUP(A17,'00'!$A$1:$G$65536,6,0))</f>
        <v>5.3</v>
      </c>
      <c r="S17" s="38">
        <f t="shared" si="2"/>
        <v>0</v>
      </c>
      <c r="T17" s="38">
        <f t="shared" si="3"/>
        <v>0</v>
      </c>
      <c r="U17" s="37">
        <f>IF(I17=0,0,VLOOKUP(I17,'00'!$A:$F,5,0))+X17</f>
        <v>65</v>
      </c>
      <c r="V17" s="37">
        <f>IF(I17=0,0,VLOOKUP(I17,'00'!$A$1:$F$65536,6,0))</f>
        <v>25</v>
      </c>
      <c r="W17" s="30"/>
      <c r="X17" s="30">
        <f t="shared" si="4"/>
        <v>0</v>
      </c>
      <c r="Y17" s="31">
        <f t="shared" si="5"/>
        <v>79.5</v>
      </c>
      <c r="Z17" s="71">
        <f t="shared" si="6"/>
        <v>2325</v>
      </c>
      <c r="AA17" s="71">
        <f t="shared" si="7"/>
        <v>0</v>
      </c>
      <c r="AB17" s="71">
        <f t="shared" si="8"/>
        <v>2325</v>
      </c>
      <c r="AC17" s="71">
        <f t="shared" ref="AC17:AC26" si="10">+U17*M17</f>
        <v>1300</v>
      </c>
    </row>
    <row r="18" spans="1:29" s="31" customFormat="1" ht="13.5" thickTop="1" thickBot="1">
      <c r="A18" s="152">
        <v>270028</v>
      </c>
      <c r="B18" s="233" t="str">
        <f>IF(A18=0,0,VLOOKUP(A18,'00'!$A$1:$F$65536,2,0))</f>
        <v>DES851(1)</v>
      </c>
      <c r="C18" s="204">
        <v>2</v>
      </c>
      <c r="D18" s="199" t="str">
        <f>IF(C18=0,0,VLOOKUP(C18,'01'!$A$2:$B$98,2,0))</f>
        <v>挤出</v>
      </c>
      <c r="E18" s="205">
        <v>3</v>
      </c>
      <c r="F18" s="33" t="s">
        <v>1</v>
      </c>
      <c r="G18" s="34">
        <f t="shared" si="0"/>
        <v>1000000</v>
      </c>
      <c r="H18" s="206">
        <f>IF(A18=0,0,VLOOKUP(A18,'00'!$A:$F,4,0))</f>
        <v>1082488</v>
      </c>
      <c r="I18" s="32"/>
      <c r="J18" s="34">
        <f>IF(I18=0,0,VLOOKUP(I18,'00'!$A$1:$F$65536,2,0))</f>
        <v>0</v>
      </c>
      <c r="K18" s="34"/>
      <c r="L18" s="7">
        <f>IF(K18=0,0,VLOOKUP(K18,'01'!$A$2:$B$98,2,0))</f>
        <v>0</v>
      </c>
      <c r="M18" s="39"/>
      <c r="N18" s="33" t="s">
        <v>0</v>
      </c>
      <c r="O18" s="35">
        <f t="shared" si="1"/>
        <v>1</v>
      </c>
      <c r="P18" s="43">
        <f>IF(I18=0,0,VLOOKUP(I18,'00'!$A:$F,4,0))</f>
        <v>0</v>
      </c>
      <c r="Q18" s="37">
        <f>IF(A18=0,0,VLOOKUP(A18,'00'!$A$1:$F$65536,5,0))</f>
        <v>155</v>
      </c>
      <c r="R18" s="37">
        <f>IF(A18=0,0,VLOOKUP(A18,'00'!$A$1:$G$65536,6,0))</f>
        <v>5.3</v>
      </c>
      <c r="S18" s="38">
        <f t="shared" si="2"/>
        <v>0</v>
      </c>
      <c r="T18" s="38">
        <f t="shared" si="3"/>
        <v>0</v>
      </c>
      <c r="U18" s="37">
        <f>IF(I18=0,0,VLOOKUP(I18,'00'!$A:$F,5,0))+X18</f>
        <v>0</v>
      </c>
      <c r="V18" s="37">
        <f>IF(I18=0,0,VLOOKUP(I18,'00'!$A$1:$F$65536,6,0))</f>
        <v>0</v>
      </c>
      <c r="W18" s="30"/>
      <c r="X18" s="30">
        <f t="shared" si="4"/>
        <v>0</v>
      </c>
      <c r="Y18" s="31">
        <f t="shared" si="5"/>
        <v>15.899999999999999</v>
      </c>
      <c r="Z18" s="71">
        <f t="shared" si="6"/>
        <v>465</v>
      </c>
      <c r="AA18" s="71">
        <f t="shared" si="7"/>
        <v>0</v>
      </c>
      <c r="AB18" s="71">
        <f t="shared" si="8"/>
        <v>465</v>
      </c>
      <c r="AC18" s="71">
        <f t="shared" si="10"/>
        <v>0</v>
      </c>
    </row>
    <row r="19" spans="1:29" s="31" customFormat="1" ht="13.5" thickTop="1" thickBot="1">
      <c r="A19" s="152">
        <v>270278</v>
      </c>
      <c r="B19" s="3" t="str">
        <f>IF(A19=0,0,VLOOKUP(A19,'00'!$A$1:$F$65536,2,0))</f>
        <v>SES401(0)二段</v>
      </c>
      <c r="C19" s="204">
        <v>1</v>
      </c>
      <c r="D19" s="199" t="str">
        <f>IF(C19=0,0,VLOOKUP(C19,'01'!$A$2:$B$98,2,0))</f>
        <v>炼胶</v>
      </c>
      <c r="E19" s="205">
        <v>16</v>
      </c>
      <c r="F19" s="33" t="s">
        <v>1</v>
      </c>
      <c r="G19" s="34">
        <f t="shared" si="0"/>
        <v>1000000</v>
      </c>
      <c r="H19" s="206">
        <f>IF(A19=0,0,VLOOKUP(A19,'00'!$A:$F,4,0))</f>
        <v>1082528</v>
      </c>
      <c r="I19" s="32"/>
      <c r="J19" s="34">
        <f>IF(I19=0,0,VLOOKUP(I19,'00'!$A$1:$F$65536,2,0))</f>
        <v>0</v>
      </c>
      <c r="K19" s="34"/>
      <c r="L19" s="7">
        <f>IF(K19=0,0,VLOOKUP(K19,'01'!$A$2:$B$98,2,0))</f>
        <v>0</v>
      </c>
      <c r="M19" s="39"/>
      <c r="N19" s="33" t="s">
        <v>0</v>
      </c>
      <c r="O19" s="35">
        <f t="shared" si="1"/>
        <v>1</v>
      </c>
      <c r="P19" s="43">
        <f>IF(I19=0,0,VLOOKUP(I19,'00'!$A:$F,4,0))</f>
        <v>0</v>
      </c>
      <c r="Q19" s="37">
        <f>IF(A19=0,0,VLOOKUP(A19,'00'!$A$1:$F$65536,5,0))</f>
        <v>153</v>
      </c>
      <c r="R19" s="37">
        <f>IF(A19=0,0,VLOOKUP(A19,'00'!$A$1:$G$65536,6,0))</f>
        <v>6</v>
      </c>
      <c r="S19" s="38">
        <f t="shared" si="2"/>
        <v>1</v>
      </c>
      <c r="T19" s="38">
        <f t="shared" si="3"/>
        <v>0</v>
      </c>
      <c r="U19" s="37">
        <f>IF(I19=0,0,VLOOKUP(I19,'00'!$A:$F,5,0))+X19</f>
        <v>0</v>
      </c>
      <c r="V19" s="37">
        <f>IF(I19=0,0,VLOOKUP(I19,'00'!$A$1:$F$65536,6,0))</f>
        <v>0</v>
      </c>
      <c r="W19" s="30"/>
      <c r="X19" s="30">
        <f t="shared" si="4"/>
        <v>0</v>
      </c>
      <c r="Y19" s="31">
        <f t="shared" si="5"/>
        <v>96</v>
      </c>
      <c r="Z19" s="71">
        <f t="shared" si="6"/>
        <v>2448</v>
      </c>
      <c r="AA19" s="71">
        <f t="shared" si="7"/>
        <v>2448</v>
      </c>
      <c r="AB19" s="71">
        <f t="shared" si="8"/>
        <v>0</v>
      </c>
      <c r="AC19" s="71">
        <f t="shared" si="10"/>
        <v>0</v>
      </c>
    </row>
    <row r="20" spans="1:29" s="31" customFormat="1" ht="13.5" thickTop="1" thickBot="1">
      <c r="A20" s="32">
        <v>270008</v>
      </c>
      <c r="B20" s="3" t="str">
        <f>IF(A20=0,0,VLOOKUP(A20,'00'!$A$1:$F$65536,2,0))</f>
        <v>SES431(0)</v>
      </c>
      <c r="C20" s="5">
        <v>1</v>
      </c>
      <c r="D20" s="3" t="str">
        <f>IF(C20=0,0,VLOOKUP(C20,'01'!$A$2:$B$98,2,0))</f>
        <v>炼胶</v>
      </c>
      <c r="E20" s="12">
        <v>9</v>
      </c>
      <c r="F20" s="33" t="s">
        <v>1</v>
      </c>
      <c r="G20" s="34">
        <f t="shared" si="0"/>
        <v>1000000</v>
      </c>
      <c r="H20" s="206">
        <f>IF(A20=0,0,VLOOKUP(A20,'00'!$A:$F,4,0))</f>
        <v>1082524</v>
      </c>
      <c r="I20" s="32"/>
      <c r="J20" s="34">
        <f>IF(I20=0,0,VLOOKUP(I20,'00'!$A$1:$F$65536,2,0))</f>
        <v>0</v>
      </c>
      <c r="K20" s="34"/>
      <c r="L20" s="7">
        <f>IF(K20=0,0,VLOOKUP(K20,'01'!$A$2:$B$98,2,0))</f>
        <v>0</v>
      </c>
      <c r="M20" s="39"/>
      <c r="N20" s="33" t="s">
        <v>0</v>
      </c>
      <c r="O20" s="35">
        <f t="shared" si="1"/>
        <v>1</v>
      </c>
      <c r="P20" s="43">
        <f>IF(I20=0,0,VLOOKUP(I20,'00'!$A:$F,4,0))</f>
        <v>0</v>
      </c>
      <c r="Q20" s="37">
        <f>IF(A20=0,0,VLOOKUP(A20,'00'!$A$1:$F$65536,5,0))</f>
        <v>154.5</v>
      </c>
      <c r="R20" s="37">
        <f>IF(A20=0,0,VLOOKUP(A20,'00'!$A$1:$G$65536,6,0))</f>
        <v>6</v>
      </c>
      <c r="S20" s="38">
        <f t="shared" si="2"/>
        <v>1</v>
      </c>
      <c r="T20" s="38">
        <f t="shared" si="3"/>
        <v>0</v>
      </c>
      <c r="U20" s="37">
        <f>IF(I20=0,0,VLOOKUP(I20,'00'!$A:$F,5,0))+X20</f>
        <v>0</v>
      </c>
      <c r="V20" s="37">
        <f>IF(I20=0,0,VLOOKUP(I20,'00'!$A$1:$F$65536,6,0))</f>
        <v>0</v>
      </c>
      <c r="W20" s="30"/>
      <c r="X20" s="30">
        <f t="shared" si="4"/>
        <v>0</v>
      </c>
      <c r="Y20" s="31">
        <f t="shared" si="5"/>
        <v>54</v>
      </c>
      <c r="Z20" s="71">
        <f t="shared" si="6"/>
        <v>1390.5</v>
      </c>
      <c r="AA20" s="71">
        <f t="shared" si="7"/>
        <v>1390.5</v>
      </c>
      <c r="AB20" s="71">
        <f t="shared" si="8"/>
        <v>0</v>
      </c>
      <c r="AC20" s="71">
        <f>+U20*M20</f>
        <v>0</v>
      </c>
    </row>
    <row r="21" spans="1:29" s="31" customFormat="1" ht="13.5" thickTop="1" thickBot="1">
      <c r="A21" s="32">
        <v>270142</v>
      </c>
      <c r="B21" s="3" t="str">
        <f>IF(A21=0,0,VLOOKUP(A21,'00'!$A$1:$F$65536,2,0))</f>
        <v>DJS702(0)</v>
      </c>
      <c r="C21" s="5">
        <v>1</v>
      </c>
      <c r="D21" s="3" t="str">
        <f>IF(C21=0,0,VLOOKUP(C21,'01'!$A$2:$B$98,2,0))</f>
        <v>炼胶</v>
      </c>
      <c r="E21" s="12">
        <v>8</v>
      </c>
      <c r="F21" s="33" t="s">
        <v>1</v>
      </c>
      <c r="G21" s="34">
        <f t="shared" si="0"/>
        <v>1000000</v>
      </c>
      <c r="H21" s="206">
        <f>IF(A21=0,0,VLOOKUP(A21,'00'!$A:$F,4,0))</f>
        <v>1082539</v>
      </c>
      <c r="I21" s="32"/>
      <c r="J21" s="34">
        <f>IF(I21=0,0,VLOOKUP(I21,'00'!$A$1:$F$65536,2,0))</f>
        <v>0</v>
      </c>
      <c r="K21" s="34"/>
      <c r="L21" s="7">
        <f>IF(K21=0,0,VLOOKUP(K21,'01'!$A$2:$B$98,2,0))</f>
        <v>0</v>
      </c>
      <c r="M21" s="39"/>
      <c r="N21" s="33" t="s">
        <v>0</v>
      </c>
      <c r="O21" s="41">
        <f t="shared" si="1"/>
        <v>1</v>
      </c>
      <c r="P21" s="42">
        <f>IF(I21=0,0,VLOOKUP(I21,'00'!$A:$F,4,0))</f>
        <v>0</v>
      </c>
      <c r="Q21" s="37">
        <f>IF(A21=0,0,VLOOKUP(A21,'00'!$A$1:$F$65536,5,0))</f>
        <v>152</v>
      </c>
      <c r="R21" s="37">
        <f>IF(A21=0,0,VLOOKUP(A21,'00'!$A$1:$G$65536,6,0))</f>
        <v>5.2</v>
      </c>
      <c r="S21" s="38">
        <f t="shared" si="2"/>
        <v>1</v>
      </c>
      <c r="T21" s="38">
        <f t="shared" si="3"/>
        <v>0</v>
      </c>
      <c r="U21" s="37">
        <f>IF(I21=0,0,VLOOKUP(I21,'00'!$A:$F,5,0))+X21</f>
        <v>0</v>
      </c>
      <c r="V21" s="37">
        <f>IF(I21=0,0,VLOOKUP(I21,'00'!$A$1:$F$65536,6,0))</f>
        <v>0</v>
      </c>
      <c r="W21" s="30"/>
      <c r="X21" s="30">
        <f t="shared" si="4"/>
        <v>0</v>
      </c>
      <c r="Y21" s="31">
        <f t="shared" si="5"/>
        <v>41.6</v>
      </c>
      <c r="Z21" s="71">
        <f t="shared" si="6"/>
        <v>1216</v>
      </c>
      <c r="AA21" s="71">
        <f t="shared" si="7"/>
        <v>1216</v>
      </c>
      <c r="AB21" s="71">
        <f t="shared" si="8"/>
        <v>0</v>
      </c>
      <c r="AC21" s="71">
        <f>+U21*M21</f>
        <v>0</v>
      </c>
    </row>
    <row r="22" spans="1:29" s="31" customFormat="1" ht="13.5" thickTop="1" thickBot="1">
      <c r="A22" s="32">
        <v>270128</v>
      </c>
      <c r="B22" s="3" t="str">
        <f>IF(A22=0,0,VLOOKUP(A22,'00'!$A$1:$F$65536,2,0))</f>
        <v>DJS401(0)</v>
      </c>
      <c r="C22" s="5">
        <v>17</v>
      </c>
      <c r="D22" s="3" t="str">
        <f>IF(C22=0,0,VLOOKUP(C22,'01'!$A$2:$B$98,2,0))</f>
        <v>淮安</v>
      </c>
      <c r="E22" s="12">
        <v>8</v>
      </c>
      <c r="F22" s="33" t="s">
        <v>1</v>
      </c>
      <c r="G22" s="34">
        <f t="shared" si="0"/>
        <v>1000000</v>
      </c>
      <c r="H22" s="206">
        <f>IF(A22=0,0,VLOOKUP(A22,'00'!$A:$F,4,0))</f>
        <v>1082538</v>
      </c>
      <c r="I22" s="32"/>
      <c r="J22" s="34">
        <f>IF(I22=0,0,VLOOKUP(I22,'00'!$A$1:$F$65536,2,0))</f>
        <v>0</v>
      </c>
      <c r="K22" s="34"/>
      <c r="L22" s="7">
        <f>IF(K22=0,0,VLOOKUP(K22,'01'!$A$2:$B$98,2,0))</f>
        <v>0</v>
      </c>
      <c r="M22" s="39"/>
      <c r="N22" s="33" t="s">
        <v>0</v>
      </c>
      <c r="O22" s="35">
        <f t="shared" si="1"/>
        <v>1</v>
      </c>
      <c r="P22" s="43">
        <f>IF(I22=0,0,VLOOKUP(I22,'00'!$A:$F,4,0))</f>
        <v>0</v>
      </c>
      <c r="Q22" s="37">
        <f>IF(A22=0,0,VLOOKUP(A22,'00'!$A$1:$F$65536,5,0))</f>
        <v>155</v>
      </c>
      <c r="R22" s="37">
        <f>IF(A22=0,0,VLOOKUP(A22,'00'!$A$1:$G$65536,6,0))</f>
        <v>5.6</v>
      </c>
      <c r="S22" s="38">
        <f t="shared" si="2"/>
        <v>1</v>
      </c>
      <c r="T22" s="38">
        <f t="shared" si="3"/>
        <v>0</v>
      </c>
      <c r="U22" s="37">
        <f>IF(I22=0,0,VLOOKUP(I22,'00'!$A:$F,5,0))+X22</f>
        <v>0</v>
      </c>
      <c r="V22" s="37">
        <f>IF(I22=0,0,VLOOKUP(I22,'00'!$A$1:$F$65536,6,0))</f>
        <v>0</v>
      </c>
      <c r="W22" s="30"/>
      <c r="X22" s="30">
        <f t="shared" si="4"/>
        <v>0</v>
      </c>
      <c r="Y22" s="31">
        <f t="shared" si="5"/>
        <v>44.8</v>
      </c>
      <c r="Z22" s="71">
        <f t="shared" si="6"/>
        <v>1240</v>
      </c>
      <c r="AA22" s="71">
        <f t="shared" si="7"/>
        <v>1240</v>
      </c>
      <c r="AB22" s="71">
        <f t="shared" si="8"/>
        <v>0</v>
      </c>
      <c r="AC22" s="71">
        <f>+U22*M22</f>
        <v>0</v>
      </c>
    </row>
    <row r="23" spans="1:29" s="31" customFormat="1" ht="13.5" thickTop="1" thickBot="1">
      <c r="A23" s="32">
        <v>270186</v>
      </c>
      <c r="B23" s="3" t="str">
        <f>IF(A23=0,0,VLOOKUP(A23,'00'!$A$1:$F$65536,2,0))</f>
        <v>DES603(0)</v>
      </c>
      <c r="C23" s="5">
        <v>17</v>
      </c>
      <c r="D23" s="3" t="str">
        <f>IF(C23=0,0,VLOOKUP(C23,'01'!$A$2:$B$98,2,0))</f>
        <v>淮安</v>
      </c>
      <c r="E23" s="12">
        <v>12</v>
      </c>
      <c r="F23" s="33" t="s">
        <v>1</v>
      </c>
      <c r="G23" s="34">
        <f t="shared" si="0"/>
        <v>1000000</v>
      </c>
      <c r="H23" s="206" t="e">
        <f>IF(A23=0,0,VLOOKUP(A23,'00'!$A:$F,4,0))</f>
        <v>#N/A</v>
      </c>
      <c r="I23" s="32"/>
      <c r="J23" s="34">
        <f>IF(I23=0,0,VLOOKUP(I23,'00'!$A$1:$F$65536,2,0))</f>
        <v>0</v>
      </c>
      <c r="K23" s="34"/>
      <c r="L23" s="7">
        <f>IF(K23=0,0,VLOOKUP(K23,'01'!$A$2:$B$98,2,0))</f>
        <v>0</v>
      </c>
      <c r="M23" s="39"/>
      <c r="N23" s="33" t="s">
        <v>0</v>
      </c>
      <c r="O23" s="35">
        <f t="shared" si="1"/>
        <v>1</v>
      </c>
      <c r="P23" s="43">
        <f>IF(I23=0,0,VLOOKUP(I23,'00'!$A:$F,4,0))</f>
        <v>0</v>
      </c>
      <c r="Q23" s="37">
        <f>IF(A23=0,0,VLOOKUP(A23,'00'!$A$1:$F$65536,5,0))</f>
        <v>160.88</v>
      </c>
      <c r="R23" s="37">
        <f>IF(A23=0,0,VLOOKUP(A23,'00'!$A$1:$G$65536,6,0))</f>
        <v>5</v>
      </c>
      <c r="S23" s="38">
        <f t="shared" si="2"/>
        <v>1</v>
      </c>
      <c r="T23" s="38">
        <f t="shared" si="3"/>
        <v>0</v>
      </c>
      <c r="U23" s="37">
        <f>IF(I23=0,0,VLOOKUP(I23,'00'!$A:$F,5,0))+X23</f>
        <v>0</v>
      </c>
      <c r="V23" s="37">
        <f>IF(I23=0,0,VLOOKUP(I23,'00'!$A$1:$F$65536,6,0))</f>
        <v>0</v>
      </c>
      <c r="W23" s="30"/>
      <c r="X23" s="30">
        <f t="shared" si="4"/>
        <v>0</v>
      </c>
      <c r="Y23" s="31">
        <f t="shared" si="5"/>
        <v>60</v>
      </c>
      <c r="Z23" s="71">
        <f t="shared" si="6"/>
        <v>1930.56</v>
      </c>
      <c r="AA23" s="71">
        <f t="shared" si="7"/>
        <v>1930.56</v>
      </c>
      <c r="AB23" s="71">
        <f t="shared" si="8"/>
        <v>0</v>
      </c>
      <c r="AC23" s="71">
        <f t="shared" si="10"/>
        <v>0</v>
      </c>
    </row>
    <row r="24" spans="1:29" s="31" customFormat="1" ht="13.5" thickTop="1" thickBot="1">
      <c r="A24" s="32">
        <v>270020</v>
      </c>
      <c r="B24" s="3" t="str">
        <f>IF(A24=0,0,VLOOKUP(A24,'00'!$A$1:$F$65536,2,0))</f>
        <v>DEC701(1)</v>
      </c>
      <c r="C24" s="5">
        <v>2</v>
      </c>
      <c r="D24" s="3" t="str">
        <f>IF(C24=0,0,VLOOKUP(C24,'01'!$A$2:$B$98,2,0))</f>
        <v>挤出</v>
      </c>
      <c r="E24" s="12">
        <v>24</v>
      </c>
      <c r="F24" s="33" t="s">
        <v>1</v>
      </c>
      <c r="G24" s="34">
        <f t="shared" si="0"/>
        <v>1000000</v>
      </c>
      <c r="H24" s="206">
        <f>IF(A24=0,0,VLOOKUP(A24,'00'!$A:$F,4,0))</f>
        <v>1082493</v>
      </c>
      <c r="I24" s="32"/>
      <c r="J24" s="34">
        <f>IF(I24=0,0,VLOOKUP(I24,'00'!$A$1:$F$65536,2,0))</f>
        <v>0</v>
      </c>
      <c r="K24" s="34"/>
      <c r="L24" s="7">
        <f>IF(K24=0,0,VLOOKUP(K24,'01'!$A$2:$B$98,2,0))</f>
        <v>0</v>
      </c>
      <c r="M24" s="39"/>
      <c r="N24" s="78" t="s">
        <v>0</v>
      </c>
      <c r="O24" s="47">
        <f t="shared" si="1"/>
        <v>1</v>
      </c>
      <c r="P24" s="79">
        <f>IF(I24=0,0,VLOOKUP(I24,'00'!$A:$F,4,0))</f>
        <v>0</v>
      </c>
      <c r="Q24" s="37">
        <f>IF(A24=0,0,VLOOKUP(A24,'00'!$A$1:$F$65536,5,0))</f>
        <v>160</v>
      </c>
      <c r="R24" s="37">
        <f>IF(A24=0,0,VLOOKUP(A24,'00'!$A$1:$G$65536,6,0))</f>
        <v>5.5</v>
      </c>
      <c r="S24" s="38">
        <f t="shared" si="2"/>
        <v>0</v>
      </c>
      <c r="T24" s="38">
        <f t="shared" si="3"/>
        <v>0</v>
      </c>
      <c r="U24" s="37">
        <f>IF(I24=0,0,VLOOKUP(I24,'00'!$A:$F,5,0))+X24</f>
        <v>0</v>
      </c>
      <c r="V24" s="37">
        <f>IF(I24=0,0,VLOOKUP(I24,'00'!$A$1:$F$65536,6,0))</f>
        <v>0</v>
      </c>
      <c r="W24" s="30"/>
      <c r="X24" s="30">
        <f t="shared" si="4"/>
        <v>0</v>
      </c>
      <c r="Y24" s="31">
        <f t="shared" si="5"/>
        <v>132</v>
      </c>
      <c r="Z24" s="71">
        <f t="shared" si="6"/>
        <v>3840</v>
      </c>
      <c r="AA24" s="71">
        <f t="shared" si="7"/>
        <v>0</v>
      </c>
      <c r="AB24" s="71">
        <f t="shared" si="8"/>
        <v>3840</v>
      </c>
      <c r="AC24" s="71">
        <f t="shared" si="10"/>
        <v>0</v>
      </c>
    </row>
    <row r="25" spans="1:29" s="31" customFormat="1" ht="13.5" thickTop="1" thickBot="1">
      <c r="A25" s="32"/>
      <c r="B25" s="3">
        <f>IF(A25=0,0,VLOOKUP(A25,'00'!$A$1:$F$65536,2,0))</f>
        <v>0</v>
      </c>
      <c r="C25" s="5"/>
      <c r="D25" s="3">
        <f>IF(C25=0,0,VLOOKUP(C25,'01'!$A$2:$B$98,2,0))</f>
        <v>0</v>
      </c>
      <c r="E25" s="12"/>
      <c r="F25" s="33" t="s">
        <v>1</v>
      </c>
      <c r="G25" s="34">
        <f t="shared" si="0"/>
        <v>1000000</v>
      </c>
      <c r="H25" s="206">
        <f>IF(A25=0,0,VLOOKUP(A25,'00'!$A:$F,4,0))</f>
        <v>0</v>
      </c>
      <c r="I25" s="32"/>
      <c r="J25" s="34">
        <f>IF(I25=0,0,VLOOKUP(I25,'00'!$A$1:$F$65536,2,0))</f>
        <v>0</v>
      </c>
      <c r="K25" s="34"/>
      <c r="L25" s="7">
        <f>IF(K25=0,0,VLOOKUP(K25,'01'!$A$2:$B$98,2,0))</f>
        <v>0</v>
      </c>
      <c r="M25" s="39"/>
      <c r="N25" s="33" t="s">
        <v>0</v>
      </c>
      <c r="O25" s="35">
        <f t="shared" si="1"/>
        <v>1</v>
      </c>
      <c r="P25" s="43">
        <f>IF(I25=0,0,VLOOKUP(I25,'00'!$A:$F,4,0))</f>
        <v>0</v>
      </c>
      <c r="Q25" s="37">
        <f>IF(A25=0,0,VLOOKUP(A25,'00'!$A$1:$F$65536,5,0))</f>
        <v>0</v>
      </c>
      <c r="R25" s="37">
        <f>IF(A25=0,0,VLOOKUP(A25,'00'!$A$1:$G$65536,6,0))</f>
        <v>0</v>
      </c>
      <c r="S25" s="38">
        <f t="shared" si="2"/>
        <v>0</v>
      </c>
      <c r="T25" s="38">
        <f t="shared" si="3"/>
        <v>0</v>
      </c>
      <c r="U25" s="37">
        <f>IF(I25=0,0,VLOOKUP(I25,'00'!$A:$F,5,0))+X25</f>
        <v>0</v>
      </c>
      <c r="V25" s="37">
        <f>IF(I25=0,0,VLOOKUP(I25,'00'!$A$1:$F$65536,6,0))</f>
        <v>0</v>
      </c>
      <c r="W25" s="30">
        <v>0</v>
      </c>
      <c r="X25" s="30">
        <f t="shared" si="4"/>
        <v>0</v>
      </c>
      <c r="Y25" s="31">
        <f t="shared" si="5"/>
        <v>0</v>
      </c>
      <c r="Z25" s="71">
        <f t="shared" si="6"/>
        <v>0</v>
      </c>
      <c r="AA25" s="71">
        <f t="shared" si="7"/>
        <v>0</v>
      </c>
      <c r="AB25" s="71">
        <f t="shared" si="8"/>
        <v>0</v>
      </c>
      <c r="AC25" s="71">
        <f t="shared" si="10"/>
        <v>0</v>
      </c>
    </row>
    <row r="26" spans="1:29" s="31" customFormat="1" ht="13.5" thickTop="1" thickBot="1">
      <c r="A26" s="32"/>
      <c r="B26" s="3">
        <f>IF(A26=0,0,VLOOKUP(A26,'00'!$A$1:$F$65536,2,0))</f>
        <v>0</v>
      </c>
      <c r="C26" s="5"/>
      <c r="D26" s="3">
        <f>IF(C26=0,0,VLOOKUP(C26,'01'!$A$2:$B$98,2,0))</f>
        <v>0</v>
      </c>
      <c r="E26" s="12"/>
      <c r="F26" s="33" t="s">
        <v>1</v>
      </c>
      <c r="G26" s="34">
        <f t="shared" si="0"/>
        <v>1000000</v>
      </c>
      <c r="H26" s="206">
        <f>IF(A26=0,0,VLOOKUP(A26,'00'!$A:$F,4,0))</f>
        <v>0</v>
      </c>
      <c r="I26" s="92"/>
      <c r="J26" s="56">
        <f>IF(I26=0,0,VLOOKUP(I26,'00'!$A$1:$F$65536,2,0))</f>
        <v>0</v>
      </c>
      <c r="K26" s="87"/>
      <c r="L26" s="88">
        <f>IF(K26=0,0,VLOOKUP(K26,'01'!$A$2:$B$98,2,0))</f>
        <v>0</v>
      </c>
      <c r="M26" s="93"/>
      <c r="N26" s="89" t="s">
        <v>0</v>
      </c>
      <c r="O26" s="90">
        <f t="shared" si="1"/>
        <v>1</v>
      </c>
      <c r="P26" s="91">
        <f>IF(I26=0,0,VLOOKUP(I26,'00'!$A:$F,4,0))</f>
        <v>0</v>
      </c>
      <c r="Q26" s="37">
        <f>IF(A26=0,0,VLOOKUP(A26,'00'!$A$1:$F$65536,5,0))</f>
        <v>0</v>
      </c>
      <c r="R26" s="37">
        <f>IF(A26=0,0,VLOOKUP(A26,'00'!$A$1:$G$65536,6,0))</f>
        <v>0</v>
      </c>
      <c r="S26" s="38">
        <f t="shared" si="2"/>
        <v>0</v>
      </c>
      <c r="T26" s="38">
        <f t="shared" si="3"/>
        <v>0</v>
      </c>
      <c r="U26" s="37">
        <f>IF(I26=0,0,VLOOKUP(I26,'00'!$A:$F,5,0))+X26</f>
        <v>0</v>
      </c>
      <c r="V26" s="37">
        <f>IF(I26=0,0,VLOOKUP(I26,'00'!$A$1:$F$65536,6,0))</f>
        <v>0</v>
      </c>
      <c r="W26" s="30"/>
      <c r="X26" s="30">
        <f t="shared" si="4"/>
        <v>0</v>
      </c>
      <c r="Y26" s="31">
        <f t="shared" si="5"/>
        <v>0</v>
      </c>
      <c r="Z26" s="71">
        <f t="shared" si="6"/>
        <v>0</v>
      </c>
      <c r="AA26" s="71">
        <f t="shared" si="7"/>
        <v>0</v>
      </c>
      <c r="AB26" s="71">
        <f t="shared" si="8"/>
        <v>0</v>
      </c>
      <c r="AC26" s="71">
        <f t="shared" si="10"/>
        <v>0</v>
      </c>
    </row>
    <row r="27" spans="1:29" s="31" customFormat="1" ht="13.5" thickTop="1" thickBot="1">
      <c r="A27" s="32"/>
      <c r="B27" s="3">
        <f>IF(A27=0,0,VLOOKUP(A27,'00'!$A$1:$F$65536,2,0))</f>
        <v>0</v>
      </c>
      <c r="C27" s="5"/>
      <c r="D27" s="3">
        <f>IF(C27=0,0,VLOOKUP(C27,'01'!$A$2:$B$98,2,0))</f>
        <v>0</v>
      </c>
      <c r="E27" s="12"/>
      <c r="F27" s="33" t="s">
        <v>1</v>
      </c>
      <c r="G27" s="34">
        <f t="shared" si="0"/>
        <v>1000000</v>
      </c>
      <c r="H27" s="206">
        <f>IF(A27=0,0,VLOOKUP(A27,'00'!$A:$F,4,0))</f>
        <v>0</v>
      </c>
      <c r="I27" s="9">
        <v>270098</v>
      </c>
      <c r="J27" s="127" t="str">
        <f>IF(I27=0,0,VLOOKUP(I27,'00'!$A$1:$F$65536,2,0))</f>
        <v>DJS601薄片</v>
      </c>
      <c r="K27" s="10">
        <v>20</v>
      </c>
      <c r="L27" s="11" t="str">
        <f>IF(K27=0,0,VLOOKUP(K27,'01'!$A$2:$B$98,2,0))</f>
        <v>约定</v>
      </c>
      <c r="M27" s="13" t="s">
        <v>356</v>
      </c>
      <c r="N27" s="40" t="s">
        <v>1</v>
      </c>
      <c r="O27" s="41">
        <f t="shared" si="1"/>
        <v>10000</v>
      </c>
      <c r="P27" s="42">
        <f>IF(I27=0,0,VLOOKUP(I27,'00'!$A:$F,4,0))</f>
        <v>1082522</v>
      </c>
      <c r="Q27" s="37">
        <f>IF(A27=0,0,VLOOKUP(A27,'00'!$A$1:$F$65536,5,0))</f>
        <v>0</v>
      </c>
      <c r="R27" s="37">
        <f>IF(A27=0,0,VLOOKUP(A27,'00'!$A$1:$G$65536,6,0))</f>
        <v>0</v>
      </c>
      <c r="S27" s="38">
        <f t="shared" si="2"/>
        <v>0</v>
      </c>
      <c r="T27" s="38">
        <f t="shared" si="3"/>
        <v>0</v>
      </c>
      <c r="U27" s="37">
        <f>IF(I27=0,0,VLOOKUP(I27,'00'!$A:$F,5,0))+X27</f>
        <v>0</v>
      </c>
      <c r="V27" s="37">
        <f>IF(I27=0,0,VLOOKUP(I27,'00'!$A$1:$F$65536,6,0))</f>
        <v>1.5</v>
      </c>
      <c r="W27" s="37">
        <v>88</v>
      </c>
      <c r="X27" s="30">
        <f t="shared" si="4"/>
        <v>0</v>
      </c>
      <c r="Y27" s="31">
        <f t="shared" si="5"/>
        <v>0</v>
      </c>
      <c r="Z27" s="71">
        <f t="shared" si="6"/>
        <v>0</v>
      </c>
      <c r="AA27" s="71">
        <f t="shared" si="7"/>
        <v>0</v>
      </c>
      <c r="AB27" s="71">
        <f t="shared" si="8"/>
        <v>0</v>
      </c>
      <c r="AC27" s="71"/>
    </row>
    <row r="28" spans="1:29" s="31" customFormat="1" ht="13.5" thickTop="1" thickBot="1">
      <c r="A28" s="32"/>
      <c r="B28" s="3">
        <f>IF(A28=0,0,VLOOKUP(A28,'00'!$A$1:$F$65536,2,0))</f>
        <v>0</v>
      </c>
      <c r="C28" s="5"/>
      <c r="D28" s="3">
        <f>IF(C28=0,0,VLOOKUP(C28,'01'!$A$2:$B$98,2,0))</f>
        <v>0</v>
      </c>
      <c r="E28" s="12"/>
      <c r="F28" s="33" t="s">
        <v>1</v>
      </c>
      <c r="G28" s="34">
        <f t="shared" si="0"/>
        <v>1000000</v>
      </c>
      <c r="H28" s="206">
        <f>IF(A28=0,0,VLOOKUP(A28,'00'!$A:$F,4,0))</f>
        <v>0</v>
      </c>
      <c r="I28" s="32" t="s">
        <v>246</v>
      </c>
      <c r="J28" s="34" t="str">
        <f>IF(I28=0,0,VLOOKUP(I28,'00'!$A$1:$F$65536,2,0))</f>
        <v>DJS601(1)</v>
      </c>
      <c r="K28" s="34">
        <v>23</v>
      </c>
      <c r="L28" s="7" t="str">
        <f>IF(K28=0,0,VLOOKUP(K28,'01'!$A$2:$B$98,2,0))</f>
        <v>三区</v>
      </c>
      <c r="M28" s="39">
        <v>2</v>
      </c>
      <c r="N28" s="33" t="s">
        <v>1</v>
      </c>
      <c r="O28" s="35">
        <f t="shared" si="1"/>
        <v>10000</v>
      </c>
      <c r="P28" s="43">
        <f>IF(I28=0,0,VLOOKUP(I28,'00'!$A:$F,4,0))</f>
        <v>1082518</v>
      </c>
      <c r="Q28" s="37">
        <f>IF(A28=0,0,VLOOKUP(A28,'00'!$A$1:$F$65536,5,0))</f>
        <v>0</v>
      </c>
      <c r="R28" s="37">
        <f>IF(A28=0,0,VLOOKUP(A28,'00'!$A$1:$G$65536,6,0))</f>
        <v>0</v>
      </c>
      <c r="S28" s="38">
        <f t="shared" si="2"/>
        <v>0</v>
      </c>
      <c r="T28" s="38">
        <f t="shared" si="3"/>
        <v>0</v>
      </c>
      <c r="U28" s="37">
        <f>IF(I28=0,0,VLOOKUP(I28,'00'!$A:$F,5,0))+X28</f>
        <v>40</v>
      </c>
      <c r="V28" s="37">
        <f>IF(I28=0,0,VLOOKUP(I28,'00'!$A$1:$F$65536,6,0))</f>
        <v>10</v>
      </c>
      <c r="W28" s="30"/>
      <c r="X28" s="30">
        <f>IF(K28=9,125,0)</f>
        <v>0</v>
      </c>
      <c r="Y28" s="31">
        <f t="shared" si="5"/>
        <v>0</v>
      </c>
      <c r="Z28" s="71">
        <f t="shared" si="6"/>
        <v>0</v>
      </c>
      <c r="AA28" s="71">
        <f t="shared" si="7"/>
        <v>0</v>
      </c>
      <c r="AB28" s="71">
        <f t="shared" si="8"/>
        <v>0</v>
      </c>
      <c r="AC28" s="71">
        <f>+U28*M28</f>
        <v>80</v>
      </c>
    </row>
    <row r="29" spans="1:29" s="31" customFormat="1" ht="13.5" thickTop="1" thickBot="1">
      <c r="A29" s="32"/>
      <c r="B29" s="3">
        <f>IF(A29=0,0,VLOOKUP(A29,'00'!$A$1:$F$65536,2,0))</f>
        <v>0</v>
      </c>
      <c r="C29" s="5"/>
      <c r="D29" s="3">
        <f>IF(C29=0,0,VLOOKUP(C29,'01'!$A$2:$B$98,2,0))</f>
        <v>0</v>
      </c>
      <c r="E29" s="12"/>
      <c r="F29" s="33" t="s">
        <v>1</v>
      </c>
      <c r="G29" s="34">
        <f t="shared" si="0"/>
        <v>1000000</v>
      </c>
      <c r="H29" s="206">
        <f>IF(A29=0,0,VLOOKUP(A29,'00'!$A:$F,4,0))</f>
        <v>0</v>
      </c>
      <c r="I29" s="32" t="s">
        <v>251</v>
      </c>
      <c r="J29" s="34" t="str">
        <f>IF(I29=0,0,VLOOKUP(I29,'00'!$A$1:$F$65536,2,0))</f>
        <v>DJM604(1)</v>
      </c>
      <c r="K29" s="34">
        <v>23</v>
      </c>
      <c r="L29" s="7" t="str">
        <f>IF(K29=0,0,VLOOKUP(K29,'01'!$A$2:$B$98,2,0))</f>
        <v>三区</v>
      </c>
      <c r="M29" s="39">
        <v>4</v>
      </c>
      <c r="N29" s="33" t="s">
        <v>1</v>
      </c>
      <c r="O29" s="35">
        <f t="shared" si="1"/>
        <v>10000</v>
      </c>
      <c r="P29" s="43">
        <f>IF(I29=0,0,VLOOKUP(I29,'00'!$A:$F,4,0))</f>
        <v>1082517</v>
      </c>
      <c r="Q29" s="37">
        <f>IF(A29=0,0,VLOOKUP(A29,'00'!$A$1:$F$65536,5,0))</f>
        <v>0</v>
      </c>
      <c r="R29" s="37">
        <f>IF(A29=0,0,VLOOKUP(A29,'00'!$A$1:$G$65536,6,0))</f>
        <v>0</v>
      </c>
      <c r="S29" s="38">
        <f t="shared" si="2"/>
        <v>0</v>
      </c>
      <c r="T29" s="38">
        <f t="shared" si="3"/>
        <v>0</v>
      </c>
      <c r="U29" s="37">
        <f>IF(I29=0,0,VLOOKUP(I29,'00'!$A:$F,5,0))+X29</f>
        <v>37</v>
      </c>
      <c r="V29" s="37">
        <f>IF(I29=0,0,VLOOKUP(I29,'00'!$A$1:$F$65536,6,0))</f>
        <v>15</v>
      </c>
      <c r="W29" s="30"/>
      <c r="X29" s="30">
        <f>IF(K29=9,125,0)</f>
        <v>0</v>
      </c>
      <c r="Y29" s="31">
        <f t="shared" si="5"/>
        <v>0</v>
      </c>
      <c r="Z29" s="71">
        <f t="shared" si="6"/>
        <v>0</v>
      </c>
      <c r="AA29" s="71">
        <f t="shared" si="7"/>
        <v>0</v>
      </c>
      <c r="AB29" s="71">
        <f t="shared" si="8"/>
        <v>0</v>
      </c>
      <c r="AC29" s="71">
        <f>+U29*M29</f>
        <v>148</v>
      </c>
    </row>
    <row r="30" spans="1:29" s="31" customFormat="1" ht="13.5" thickTop="1" thickBot="1">
      <c r="A30" s="32"/>
      <c r="B30" s="3">
        <f>IF(A30=0,0,VLOOKUP(A30,'00'!$A$1:$F$65536,2,0))</f>
        <v>0</v>
      </c>
      <c r="C30" s="5"/>
      <c r="D30" s="3">
        <f>IF(C30=0,0,VLOOKUP(C30,'01'!$A$2:$B$98,2,0))</f>
        <v>0</v>
      </c>
      <c r="E30" s="12"/>
      <c r="F30" s="33" t="s">
        <v>1</v>
      </c>
      <c r="G30" s="34">
        <f t="shared" si="0"/>
        <v>1000000</v>
      </c>
      <c r="H30" s="206">
        <f>IF(A30=0,0,VLOOKUP(A30,'00'!$A:$F,4,0))</f>
        <v>0</v>
      </c>
      <c r="I30" s="32">
        <v>270533</v>
      </c>
      <c r="J30" s="34" t="str">
        <f>IF(I30=0,0,VLOOKUP(I30,'00'!$A$1:$F$65536,2,0))</f>
        <v>DJS805(1)</v>
      </c>
      <c r="K30" s="34">
        <v>23</v>
      </c>
      <c r="L30" s="7" t="str">
        <f>IF(K30=0,0,VLOOKUP(K30,'01'!$A$2:$B$98,2,0))</f>
        <v>三区</v>
      </c>
      <c r="M30" s="39">
        <v>2</v>
      </c>
      <c r="N30" s="33" t="s">
        <v>1</v>
      </c>
      <c r="O30" s="35">
        <f t="shared" si="1"/>
        <v>10000</v>
      </c>
      <c r="P30" s="43">
        <f>IF(I30=0,0,VLOOKUP(I30,'00'!$A:$F,4,0))</f>
        <v>1082545</v>
      </c>
      <c r="Q30" s="37">
        <f>IF(A30=0,0,VLOOKUP(A30,'00'!$A$1:$F$65536,5,0))</f>
        <v>0</v>
      </c>
      <c r="R30" s="37">
        <f>IF(A30=0,0,VLOOKUP(A30,'00'!$A$1:$G$65536,6,0))</f>
        <v>0</v>
      </c>
      <c r="S30" s="38">
        <f t="shared" si="2"/>
        <v>0</v>
      </c>
      <c r="T30" s="38">
        <f t="shared" si="3"/>
        <v>0</v>
      </c>
      <c r="U30" s="37">
        <f>IF(I30=0,0,VLOOKUP(I30,'00'!$A:$F,5,0))+X30</f>
        <v>37.35</v>
      </c>
      <c r="V30" s="37">
        <f>IF(I30=0,0,VLOOKUP(I30,'00'!$A$1:$F$65536,6,0))</f>
        <v>15</v>
      </c>
      <c r="W30" s="30"/>
      <c r="X30" s="30">
        <f>IF(K30=9,125,0)</f>
        <v>0</v>
      </c>
      <c r="Y30" s="31">
        <f t="shared" si="5"/>
        <v>0</v>
      </c>
      <c r="Z30" s="71">
        <f t="shared" si="6"/>
        <v>0</v>
      </c>
      <c r="AA30" s="71">
        <f t="shared" si="7"/>
        <v>0</v>
      </c>
      <c r="AB30" s="71">
        <f t="shared" si="8"/>
        <v>0</v>
      </c>
      <c r="AC30" s="71">
        <f>+U30*M30</f>
        <v>74.7</v>
      </c>
    </row>
    <row r="31" spans="1:29" s="31" customFormat="1" ht="13.5" thickTop="1" thickBot="1">
      <c r="A31" s="32"/>
      <c r="B31" s="3">
        <f>IF(A31=0,0,VLOOKUP(A31,'00'!$A$1:$F$65536,2,0))</f>
        <v>0</v>
      </c>
      <c r="C31" s="5"/>
      <c r="D31" s="3">
        <f>IF(C31=0,0,VLOOKUP(C31,'01'!$A$2:$B$98,2,0))</f>
        <v>0</v>
      </c>
      <c r="E31" s="12"/>
      <c r="F31" s="33" t="s">
        <v>1</v>
      </c>
      <c r="G31" s="34">
        <f t="shared" si="0"/>
        <v>1000000</v>
      </c>
      <c r="H31" s="206">
        <f>IF(A31=0,0,VLOOKUP(A31,'00'!$A:$F,4,0))</f>
        <v>0</v>
      </c>
      <c r="I31" s="32">
        <v>270143</v>
      </c>
      <c r="J31" s="34" t="str">
        <f>IF(I31=0,0,VLOOKUP(I31,'00'!$A$1:$F$65536,2,0))</f>
        <v>DJS702(1)</v>
      </c>
      <c r="K31" s="34">
        <v>23</v>
      </c>
      <c r="L31" s="7" t="str">
        <f>IF(K31=0,0,VLOOKUP(K31,'01'!$A$2:$B$98,2,0))</f>
        <v>三区</v>
      </c>
      <c r="M31" s="39">
        <v>3</v>
      </c>
      <c r="N31" s="33" t="s">
        <v>1</v>
      </c>
      <c r="O31" s="35">
        <f t="shared" si="1"/>
        <v>10000</v>
      </c>
      <c r="P31" s="43">
        <f>IF(I31=0,0,VLOOKUP(I31,'00'!$A:$F,4,0))</f>
        <v>1082516</v>
      </c>
      <c r="Q31" s="37">
        <f>IF(A31=0,0,VLOOKUP(A31,'00'!$A$1:$F$65536,5,0))</f>
        <v>0</v>
      </c>
      <c r="R31" s="37">
        <f>IF(A31=0,0,VLOOKUP(A31,'00'!$A$1:$G$65536,6,0))</f>
        <v>0</v>
      </c>
      <c r="S31" s="38">
        <f t="shared" si="2"/>
        <v>0</v>
      </c>
      <c r="T31" s="38">
        <f t="shared" si="3"/>
        <v>0</v>
      </c>
      <c r="U31" s="37">
        <f>IF(I31=0,0,VLOOKUP(I31,'00'!$A:$F,5,0))+X31</f>
        <v>37</v>
      </c>
      <c r="V31" s="37">
        <f>IF(I31=0,0,VLOOKUP(I31,'00'!$A$1:$F$65536,6,0))</f>
        <v>15</v>
      </c>
      <c r="W31" s="30"/>
      <c r="X31" s="30">
        <f t="shared" si="4"/>
        <v>0</v>
      </c>
      <c r="Y31" s="31">
        <f t="shared" si="5"/>
        <v>0</v>
      </c>
      <c r="Z31" s="71">
        <f t="shared" si="6"/>
        <v>0</v>
      </c>
      <c r="AA31" s="71">
        <f t="shared" si="7"/>
        <v>0</v>
      </c>
      <c r="AB31" s="71">
        <f t="shared" si="8"/>
        <v>0</v>
      </c>
      <c r="AC31" s="71">
        <f t="shared" ref="AC31:AC37" si="11">+U31*M31</f>
        <v>111</v>
      </c>
    </row>
    <row r="32" spans="1:29" s="31" customFormat="1" ht="13.5" thickTop="1" thickBot="1">
      <c r="A32" s="32"/>
      <c r="B32" s="3">
        <f>IF(A32=0,0,VLOOKUP(A32,'00'!$A$1:$F$65536,2,0))</f>
        <v>0</v>
      </c>
      <c r="C32" s="5"/>
      <c r="D32" s="3">
        <f>IF(C32=0,0,VLOOKUP(C32,'01'!$A$2:$B$98,2,0))</f>
        <v>0</v>
      </c>
      <c r="E32" s="12"/>
      <c r="F32" s="33" t="s">
        <v>1</v>
      </c>
      <c r="G32" s="34">
        <f t="shared" si="0"/>
        <v>1000000</v>
      </c>
      <c r="H32" s="206">
        <f>IF(A32=0,0,VLOOKUP(A32,'00'!$A:$F,4,0))</f>
        <v>0</v>
      </c>
      <c r="I32" s="32">
        <v>270143</v>
      </c>
      <c r="J32" s="34" t="str">
        <f>IF(I32=0,0,VLOOKUP(I32,'00'!$A$1:$F$65536,2,0))</f>
        <v>DJS702(1)</v>
      </c>
      <c r="K32" s="34">
        <v>10</v>
      </c>
      <c r="L32" s="7" t="str">
        <f>IF(K32=0,0,VLOOKUP(K32,'01'!$A$2:$B$98,2,0))</f>
        <v>申舒</v>
      </c>
      <c r="M32" s="39">
        <v>5</v>
      </c>
      <c r="N32" s="33" t="s">
        <v>1</v>
      </c>
      <c r="O32" s="35">
        <f t="shared" si="1"/>
        <v>10000</v>
      </c>
      <c r="P32" s="43">
        <f>IF(I32=0,0,VLOOKUP(I32,'00'!$A:$F,4,0))</f>
        <v>1082516</v>
      </c>
      <c r="Q32" s="37">
        <f>IF(A32=0,0,VLOOKUP(A32,'00'!$A$1:$F$65536,5,0))</f>
        <v>0</v>
      </c>
      <c r="R32" s="37">
        <f>IF(A32=0,0,VLOOKUP(A32,'00'!$A$1:$G$65536,6,0))</f>
        <v>0</v>
      </c>
      <c r="S32" s="38">
        <f t="shared" si="2"/>
        <v>0</v>
      </c>
      <c r="T32" s="38">
        <f t="shared" si="3"/>
        <v>0</v>
      </c>
      <c r="U32" s="37">
        <f>IF(I32=0,0,VLOOKUP(I32,'00'!$A:$F,5,0))+X32</f>
        <v>37</v>
      </c>
      <c r="V32" s="37">
        <f>IF(I32=0,0,VLOOKUP(I32,'00'!$A$1:$F$65536,6,0))</f>
        <v>15</v>
      </c>
      <c r="W32" s="30"/>
      <c r="X32" s="30">
        <f t="shared" si="4"/>
        <v>0</v>
      </c>
      <c r="Y32" s="31">
        <f t="shared" si="5"/>
        <v>0</v>
      </c>
      <c r="Z32" s="71">
        <f t="shared" si="6"/>
        <v>0</v>
      </c>
      <c r="AA32" s="71">
        <f t="shared" si="7"/>
        <v>0</v>
      </c>
      <c r="AB32" s="71">
        <f t="shared" si="8"/>
        <v>0</v>
      </c>
      <c r="AC32" s="71">
        <f t="shared" si="11"/>
        <v>185</v>
      </c>
    </row>
    <row r="33" spans="1:29" s="31" customFormat="1" ht="13.5" thickTop="1" thickBot="1">
      <c r="A33" s="32"/>
      <c r="B33" s="3">
        <f>IF(A33=0,0,VLOOKUP(A33,'00'!$A$1:$F$65536,2,0))</f>
        <v>0</v>
      </c>
      <c r="C33" s="5"/>
      <c r="D33" s="3">
        <f>IF(C33=0,0,VLOOKUP(C33,'01'!$A$2:$B$98,2,0))</f>
        <v>0</v>
      </c>
      <c r="E33" s="12"/>
      <c r="F33" s="33" t="s">
        <v>1</v>
      </c>
      <c r="G33" s="34">
        <f t="shared" si="0"/>
        <v>1000000</v>
      </c>
      <c r="H33" s="206">
        <f>IF(A33=0,0,VLOOKUP(A33,'00'!$A:$F,4,0))</f>
        <v>0</v>
      </c>
      <c r="I33" s="32"/>
      <c r="J33" s="34">
        <f>IF(I33=0,0,VLOOKUP(I33,'00'!$A$1:$F$65536,2,0))</f>
        <v>0</v>
      </c>
      <c r="K33" s="34"/>
      <c r="L33" s="7">
        <f>IF(K33=0,0,VLOOKUP(K33,'01'!$A$2:$B$98,2,0))</f>
        <v>0</v>
      </c>
      <c r="M33" s="39"/>
      <c r="N33" s="33" t="s">
        <v>1</v>
      </c>
      <c r="O33" s="35">
        <f t="shared" si="1"/>
        <v>10000</v>
      </c>
      <c r="P33" s="43">
        <f>IF(I33=0,0,VLOOKUP(I33,'00'!$A:$F,4,0))</f>
        <v>0</v>
      </c>
      <c r="Q33" s="37">
        <f>IF(A33=0,0,VLOOKUP(A33,'00'!$A$1:$F$65536,5,0))</f>
        <v>0</v>
      </c>
      <c r="R33" s="37">
        <f>IF(A33=0,0,VLOOKUP(A33,'00'!$A$1:$G$65536,6,0))</f>
        <v>0</v>
      </c>
      <c r="S33" s="38">
        <f t="shared" si="2"/>
        <v>0</v>
      </c>
      <c r="T33" s="38">
        <f t="shared" si="3"/>
        <v>0</v>
      </c>
      <c r="U33" s="37">
        <f>IF(I33=0,0,VLOOKUP(I33,'00'!$A:$F,5,0))+X33</f>
        <v>0</v>
      </c>
      <c r="V33" s="37">
        <f>IF(I33=0,0,VLOOKUP(I33,'00'!$A$1:$F$65536,6,0))</f>
        <v>0</v>
      </c>
      <c r="W33" s="30"/>
      <c r="X33" s="30">
        <f t="shared" si="4"/>
        <v>0</v>
      </c>
      <c r="Y33" s="31">
        <f t="shared" si="5"/>
        <v>0</v>
      </c>
      <c r="Z33" s="71">
        <f t="shared" si="6"/>
        <v>0</v>
      </c>
      <c r="AA33" s="71">
        <f t="shared" si="7"/>
        <v>0</v>
      </c>
      <c r="AB33" s="71">
        <f t="shared" si="8"/>
        <v>0</v>
      </c>
      <c r="AC33" s="71">
        <f t="shared" si="11"/>
        <v>0</v>
      </c>
    </row>
    <row r="34" spans="1:29" s="31" customFormat="1" ht="13.5" thickTop="1" thickBot="1">
      <c r="A34" s="32"/>
      <c r="B34" s="3">
        <f>IF(A34=0,0,VLOOKUP(A34,'00'!$A$1:$F$65536,2,0))</f>
        <v>0</v>
      </c>
      <c r="C34" s="5"/>
      <c r="D34" s="3">
        <f>IF(C34=0,0,VLOOKUP(C34,'01'!$A$2:$B$98,2,0))</f>
        <v>0</v>
      </c>
      <c r="E34" s="12"/>
      <c r="F34" s="33" t="s">
        <v>1</v>
      </c>
      <c r="G34" s="34">
        <f t="shared" si="0"/>
        <v>1000000</v>
      </c>
      <c r="H34" s="206">
        <f>IF(A34=0,0,VLOOKUP(A34,'00'!$A:$F,4,0))</f>
        <v>0</v>
      </c>
      <c r="I34" s="32"/>
      <c r="J34" s="34">
        <f>IF(I34=0,0,VLOOKUP(I34,'00'!$A$1:$F$65536,2,0))</f>
        <v>0</v>
      </c>
      <c r="K34" s="34"/>
      <c r="L34" s="7">
        <f>IF(K34=0,0,VLOOKUP(K34,'01'!$A$2:$B$98,2,0))</f>
        <v>0</v>
      </c>
      <c r="M34" s="39"/>
      <c r="N34" s="78" t="s">
        <v>1</v>
      </c>
      <c r="O34" s="47">
        <f t="shared" si="1"/>
        <v>10000</v>
      </c>
      <c r="P34" s="79">
        <f>IF(I34=0,0,VLOOKUP(I34,'00'!$A:$F,4,0))</f>
        <v>0</v>
      </c>
      <c r="Q34" s="37">
        <f>IF(A34=0,0,VLOOKUP(A34,'00'!$A$1:$F$65536,5,0))</f>
        <v>0</v>
      </c>
      <c r="R34" s="37">
        <f>IF(A34=0,0,VLOOKUP(A34,'00'!$A$1:$G$65536,6,0))</f>
        <v>0</v>
      </c>
      <c r="S34" s="38">
        <f t="shared" si="2"/>
        <v>0</v>
      </c>
      <c r="T34" s="38">
        <f t="shared" si="3"/>
        <v>0</v>
      </c>
      <c r="U34" s="37">
        <f>IF(I34=0,0,VLOOKUP(I34,'00'!$A:$F,5,0))+X34</f>
        <v>0</v>
      </c>
      <c r="V34" s="37">
        <f>IF(I34=0,0,VLOOKUP(I34,'00'!$A$1:$F$65536,6,0))</f>
        <v>0</v>
      </c>
      <c r="W34" s="30"/>
      <c r="X34" s="30">
        <f t="shared" si="4"/>
        <v>0</v>
      </c>
      <c r="Y34" s="31">
        <f t="shared" si="5"/>
        <v>0</v>
      </c>
      <c r="Z34" s="71">
        <f t="shared" si="6"/>
        <v>0</v>
      </c>
      <c r="AA34" s="71">
        <f t="shared" si="7"/>
        <v>0</v>
      </c>
      <c r="AB34" s="71">
        <f t="shared" si="8"/>
        <v>0</v>
      </c>
      <c r="AC34" s="71">
        <f t="shared" si="11"/>
        <v>0</v>
      </c>
    </row>
    <row r="35" spans="1:29" s="31" customFormat="1" ht="13.5" thickTop="1" thickBot="1">
      <c r="A35" s="32"/>
      <c r="B35" s="3">
        <f>IF(A35=0,0,VLOOKUP(A35,'00'!$A$1:$F$65536,2,0))</f>
        <v>0</v>
      </c>
      <c r="C35" s="5"/>
      <c r="D35" s="3">
        <f>IF(C35=0,0,VLOOKUP(C35,'01'!$A$2:$B$98,2,0))</f>
        <v>0</v>
      </c>
      <c r="E35" s="12"/>
      <c r="F35" s="33" t="s">
        <v>1</v>
      </c>
      <c r="G35" s="34">
        <f t="shared" si="0"/>
        <v>1000000</v>
      </c>
      <c r="H35" s="206">
        <f>IF(A35=0,0,VLOOKUP(A35,'00'!$A:$F,4,0))</f>
        <v>0</v>
      </c>
      <c r="I35" s="32"/>
      <c r="J35" s="34">
        <f>IF(I35=0,0,VLOOKUP(I35,'00'!$A$1:$F$65536,2,0))</f>
        <v>0</v>
      </c>
      <c r="K35" s="34"/>
      <c r="L35" s="7">
        <f>IF(K35=0,0,VLOOKUP(K35,'01'!$A$2:$B$98,2,0))</f>
        <v>0</v>
      </c>
      <c r="M35" s="39"/>
      <c r="N35" s="33" t="s">
        <v>1</v>
      </c>
      <c r="O35" s="35">
        <f t="shared" si="1"/>
        <v>10000</v>
      </c>
      <c r="P35" s="43">
        <f>IF(I35=0,0,VLOOKUP(I35,'00'!$A:$F,4,0))</f>
        <v>0</v>
      </c>
      <c r="Q35" s="37">
        <f>IF(A35=0,0,VLOOKUP(A35,'00'!$A$1:$F$65536,5,0))</f>
        <v>0</v>
      </c>
      <c r="R35" s="37">
        <f>IF(A35=0,0,VLOOKUP(A35,'00'!$A$1:$G$65536,6,0))</f>
        <v>0</v>
      </c>
      <c r="S35" s="38">
        <f t="shared" si="2"/>
        <v>0</v>
      </c>
      <c r="T35" s="38">
        <f t="shared" si="3"/>
        <v>0</v>
      </c>
      <c r="U35" s="37">
        <f>IF(I35=0,0,VLOOKUP(I35,'00'!$A:$F,5,0))+X35</f>
        <v>0</v>
      </c>
      <c r="V35" s="37">
        <f>IF(I35=0,0,VLOOKUP(I35,'00'!$A$1:$F$65536,6,0))</f>
        <v>0</v>
      </c>
      <c r="W35" s="30"/>
      <c r="X35" s="30">
        <f t="shared" si="4"/>
        <v>0</v>
      </c>
      <c r="Y35" s="31">
        <f t="shared" si="5"/>
        <v>0</v>
      </c>
      <c r="Z35" s="71">
        <f t="shared" si="6"/>
        <v>0</v>
      </c>
      <c r="AA35" s="71">
        <f t="shared" si="7"/>
        <v>0</v>
      </c>
      <c r="AB35" s="71">
        <f t="shared" si="8"/>
        <v>0</v>
      </c>
      <c r="AC35" s="71">
        <f t="shared" si="11"/>
        <v>0</v>
      </c>
    </row>
    <row r="36" spans="1:29" s="31" customFormat="1" ht="13.5" thickTop="1" thickBot="1">
      <c r="A36" s="32"/>
      <c r="B36" s="3">
        <f>IF(A36=0,0,VLOOKUP(A36,'00'!$A$1:$F$65536,2,0))</f>
        <v>0</v>
      </c>
      <c r="C36" s="5"/>
      <c r="D36" s="3">
        <f>IF(C36=0,0,VLOOKUP(C36,'01'!$A$2:$B$98,2,0))</f>
        <v>0</v>
      </c>
      <c r="E36" s="12"/>
      <c r="F36" s="33" t="s">
        <v>1</v>
      </c>
      <c r="G36" s="34">
        <f t="shared" si="0"/>
        <v>1000000</v>
      </c>
      <c r="H36" s="206">
        <f>IF(A36=0,0,VLOOKUP(A36,'00'!$A:$F,4,0))</f>
        <v>0</v>
      </c>
      <c r="I36" s="32"/>
      <c r="J36" s="34">
        <f>IF(I36=0,0,VLOOKUP(I36,'00'!$A$1:$F$65536,2,0))</f>
        <v>0</v>
      </c>
      <c r="K36" s="34"/>
      <c r="L36" s="7">
        <f>IF(K36=0,0,VLOOKUP(K36,'01'!$A$2:$B$98,2,0))</f>
        <v>0</v>
      </c>
      <c r="M36" s="39"/>
      <c r="N36" s="33" t="s">
        <v>1</v>
      </c>
      <c r="O36" s="35">
        <f t="shared" si="1"/>
        <v>10000</v>
      </c>
      <c r="P36" s="43">
        <f>IF(I36=0,0,VLOOKUP(I36,'00'!$A:$F,4,0))</f>
        <v>0</v>
      </c>
      <c r="Q36" s="37">
        <f>IF(A36=0,0,VLOOKUP(A36,'00'!$A$1:$F$65536,5,0))</f>
        <v>0</v>
      </c>
      <c r="R36" s="37">
        <f>IF(A36=0,0,VLOOKUP(A36,'00'!$A$1:$G$65536,6,0))</f>
        <v>0</v>
      </c>
      <c r="S36" s="38">
        <f t="shared" si="2"/>
        <v>0</v>
      </c>
      <c r="T36" s="38">
        <f t="shared" si="3"/>
        <v>0</v>
      </c>
      <c r="U36" s="37">
        <f>IF(I36=0,0,VLOOKUP(I36,'00'!$A:$F,5,0))+X36</f>
        <v>0</v>
      </c>
      <c r="V36" s="37">
        <f>IF(I36=0,0,VLOOKUP(I36,'00'!$A$1:$F$65536,6,0))</f>
        <v>0</v>
      </c>
      <c r="W36" s="30"/>
      <c r="X36" s="30">
        <f t="shared" si="4"/>
        <v>0</v>
      </c>
      <c r="Y36" s="31">
        <f t="shared" si="5"/>
        <v>0</v>
      </c>
      <c r="Z36" s="71">
        <f t="shared" si="6"/>
        <v>0</v>
      </c>
      <c r="AA36" s="71">
        <f t="shared" si="7"/>
        <v>0</v>
      </c>
      <c r="AB36" s="71">
        <f t="shared" si="8"/>
        <v>0</v>
      </c>
      <c r="AC36" s="71">
        <f t="shared" si="11"/>
        <v>0</v>
      </c>
    </row>
    <row r="37" spans="1:29" s="31" customFormat="1" ht="13.5" thickTop="1" thickBot="1">
      <c r="A37" s="32"/>
      <c r="B37" s="3">
        <f>IF(A37=0,0,VLOOKUP(A37,'00'!$A$1:$F$65536,2,0))</f>
        <v>0</v>
      </c>
      <c r="C37" s="5"/>
      <c r="D37" s="3">
        <f>IF(C37=0,0,VLOOKUP(C37,'01'!$A$2:$B$98,2,0))</f>
        <v>0</v>
      </c>
      <c r="E37" s="12"/>
      <c r="F37" s="33" t="s">
        <v>298</v>
      </c>
      <c r="G37" s="34">
        <f t="shared" si="0"/>
        <v>0</v>
      </c>
      <c r="H37" s="206">
        <f>IF(A37=0,0,VLOOKUP(A37,'00'!$A:$F,4,0))</f>
        <v>0</v>
      </c>
      <c r="I37" s="80"/>
      <c r="J37" s="81">
        <f>IF(I37=0,0,VLOOKUP(I37,'00'!$A$1:$F$65536,2,0))</f>
        <v>0</v>
      </c>
      <c r="K37" s="81"/>
      <c r="L37" s="82">
        <f>IF(K37=0,0,VLOOKUP(K37,'01'!$A$2:$B$98,2,0))</f>
        <v>0</v>
      </c>
      <c r="M37" s="83"/>
      <c r="N37" s="84" t="s">
        <v>1</v>
      </c>
      <c r="O37" s="85">
        <f t="shared" si="1"/>
        <v>10000</v>
      </c>
      <c r="P37" s="86">
        <f>IF(I37=0,0,VLOOKUP(I37,'00'!$A:$F,4,0))</f>
        <v>0</v>
      </c>
      <c r="Q37" s="37">
        <f>IF(A37=0,0,VLOOKUP(A37,'00'!$A$1:$F$65536,5,0))</f>
        <v>0</v>
      </c>
      <c r="R37" s="37">
        <f>IF(A37=0,0,VLOOKUP(A37,'00'!$A$1:$G$65536,6,0))</f>
        <v>0</v>
      </c>
      <c r="S37" s="38">
        <f t="shared" si="2"/>
        <v>0</v>
      </c>
      <c r="T37" s="38">
        <f t="shared" si="3"/>
        <v>1</v>
      </c>
      <c r="U37" s="37">
        <f>IF(I37=0,0,VLOOKUP(I37,'00'!$A:$F,5,0))+X37</f>
        <v>0</v>
      </c>
      <c r="V37" s="37">
        <f>IF(I37=0,0,VLOOKUP(I37,'00'!$A$1:$F$65536,6,0))</f>
        <v>0</v>
      </c>
      <c r="W37" s="30"/>
      <c r="X37" s="30">
        <f t="shared" si="4"/>
        <v>0</v>
      </c>
      <c r="Y37" s="31">
        <f t="shared" si="5"/>
        <v>0</v>
      </c>
      <c r="Z37" s="71">
        <f t="shared" si="6"/>
        <v>0</v>
      </c>
      <c r="AA37" s="71">
        <f t="shared" si="7"/>
        <v>0</v>
      </c>
      <c r="AB37" s="71">
        <f t="shared" si="8"/>
        <v>0</v>
      </c>
      <c r="AC37" s="71">
        <f t="shared" si="11"/>
        <v>0</v>
      </c>
    </row>
    <row r="38" spans="1:29" s="31" customFormat="1" ht="14.25" thickTop="1" thickBot="1">
      <c r="A38" s="57" t="s">
        <v>303</v>
      </c>
      <c r="B38" s="236" t="s">
        <v>357</v>
      </c>
      <c r="C38" s="262"/>
      <c r="D38" s="262"/>
      <c r="E38" s="262"/>
      <c r="F38" s="262"/>
      <c r="G38" s="262"/>
      <c r="H38" s="263"/>
      <c r="I38" s="238"/>
      <c r="J38" s="239"/>
      <c r="K38" s="239"/>
      <c r="L38" s="264" t="s">
        <v>305</v>
      </c>
      <c r="M38" s="265"/>
      <c r="N38" s="239"/>
      <c r="O38" s="239"/>
      <c r="P38" s="266"/>
      <c r="Q38" s="37"/>
      <c r="R38" s="37"/>
      <c r="S38" s="38"/>
      <c r="T38" s="38"/>
      <c r="U38" s="54"/>
      <c r="V38" s="54"/>
      <c r="W38" s="30"/>
      <c r="X38" s="30"/>
      <c r="Z38" s="71"/>
      <c r="AA38" s="71"/>
      <c r="AB38" s="71"/>
      <c r="AC38" s="71"/>
    </row>
    <row r="39" spans="1:29" s="31" customFormat="1" ht="13.5" thickTop="1" thickBot="1">
      <c r="A39" s="58" t="s">
        <v>306</v>
      </c>
      <c r="B39" s="267" t="s">
        <v>307</v>
      </c>
      <c r="C39" s="268"/>
      <c r="D39" s="268"/>
      <c r="E39" s="268"/>
      <c r="F39" s="268"/>
      <c r="G39" s="268"/>
      <c r="H39" s="269"/>
      <c r="I39" s="240"/>
      <c r="J39" s="241"/>
      <c r="K39" s="241"/>
      <c r="L39" s="241"/>
      <c r="M39" s="241"/>
      <c r="N39" s="241"/>
      <c r="O39" s="241"/>
      <c r="P39" s="242"/>
      <c r="Q39" s="37"/>
      <c r="R39" s="37"/>
      <c r="S39" s="38"/>
      <c r="T39" s="38"/>
      <c r="U39" s="54"/>
      <c r="V39" s="54"/>
      <c r="W39" s="30"/>
      <c r="X39" s="30"/>
      <c r="Z39" s="71"/>
      <c r="AA39" s="71"/>
      <c r="AB39" s="71"/>
      <c r="AC39" s="71"/>
    </row>
    <row r="40" spans="1:29" s="31" customFormat="1" ht="13.5" thickTop="1" thickBot="1">
      <c r="A40" s="58" t="s">
        <v>40</v>
      </c>
      <c r="B40" s="217" t="s">
        <v>304</v>
      </c>
      <c r="C40" s="217"/>
      <c r="D40" s="217"/>
      <c r="E40" s="217"/>
      <c r="F40" s="217"/>
      <c r="G40" s="217"/>
      <c r="H40" s="218"/>
      <c r="I40" s="240"/>
      <c r="J40" s="241"/>
      <c r="K40" s="241"/>
      <c r="L40" s="241"/>
      <c r="M40" s="241"/>
      <c r="N40" s="241"/>
      <c r="O40" s="241"/>
      <c r="P40" s="242"/>
      <c r="Q40" s="37"/>
      <c r="R40" s="37"/>
      <c r="S40" s="38"/>
      <c r="T40" s="38"/>
      <c r="U40" s="54"/>
      <c r="V40" s="54"/>
      <c r="W40" s="30"/>
      <c r="X40" s="30"/>
      <c r="Z40" s="71"/>
      <c r="AA40" s="71"/>
      <c r="AB40" s="71"/>
      <c r="AC40" s="71"/>
    </row>
    <row r="41" spans="1:29" s="31" customFormat="1" ht="13.5" thickTop="1" thickBot="1">
      <c r="A41" s="58" t="s">
        <v>41</v>
      </c>
      <c r="B41" s="225" t="s">
        <v>312</v>
      </c>
      <c r="C41" s="219"/>
      <c r="D41" s="219"/>
      <c r="E41" s="219"/>
      <c r="F41" s="219"/>
      <c r="G41" s="219"/>
      <c r="H41" s="222"/>
      <c r="I41" s="240"/>
      <c r="J41" s="241"/>
      <c r="K41" s="241"/>
      <c r="L41" s="241"/>
      <c r="M41" s="241"/>
      <c r="N41" s="241"/>
      <c r="O41" s="241"/>
      <c r="P41" s="242"/>
      <c r="Q41" s="37"/>
      <c r="R41" s="37"/>
      <c r="S41" s="38"/>
      <c r="T41" s="38"/>
      <c r="U41" s="54"/>
      <c r="V41" s="54"/>
      <c r="W41" s="30"/>
      <c r="X41" s="30"/>
      <c r="Z41" s="71"/>
      <c r="AA41" s="71"/>
      <c r="AB41" s="71"/>
      <c r="AC41" s="71"/>
    </row>
    <row r="42" spans="1:29" s="31" customFormat="1" ht="13.5" thickTop="1" thickBot="1">
      <c r="A42" s="58" t="s">
        <v>42</v>
      </c>
      <c r="B42" s="339" t="s">
        <v>337</v>
      </c>
      <c r="C42" s="339"/>
      <c r="D42" s="339"/>
      <c r="E42" s="339"/>
      <c r="F42" s="339"/>
      <c r="G42" s="339"/>
      <c r="H42" s="340"/>
      <c r="I42" s="343"/>
      <c r="J42" s="344"/>
      <c r="K42" s="344"/>
      <c r="L42" s="344"/>
      <c r="M42" s="344"/>
      <c r="N42" s="344"/>
      <c r="O42" s="344"/>
      <c r="P42" s="345"/>
      <c r="Q42" s="37"/>
      <c r="R42" s="37"/>
      <c r="S42" s="38"/>
      <c r="T42" s="38"/>
      <c r="U42" s="54"/>
      <c r="V42" s="54"/>
      <c r="W42" s="30"/>
      <c r="X42" s="30"/>
      <c r="Z42" s="71"/>
      <c r="AA42" s="71"/>
      <c r="AB42" s="71"/>
      <c r="AC42" s="71"/>
    </row>
    <row r="43" spans="1:29" s="31" customFormat="1" ht="13.5" thickTop="1" thickBot="1">
      <c r="A43" s="98" t="s">
        <v>43</v>
      </c>
      <c r="B43" s="341" t="s">
        <v>329</v>
      </c>
      <c r="C43" s="341"/>
      <c r="D43" s="341"/>
      <c r="E43" s="341"/>
      <c r="F43" s="341"/>
      <c r="G43" s="341"/>
      <c r="H43" s="342"/>
      <c r="I43" s="336"/>
      <c r="J43" s="337"/>
      <c r="K43" s="337"/>
      <c r="L43" s="337"/>
      <c r="M43" s="337"/>
      <c r="N43" s="337"/>
      <c r="O43" s="337"/>
      <c r="P43" s="338"/>
      <c r="Q43" s="37"/>
      <c r="R43" s="37"/>
      <c r="S43" s="38"/>
      <c r="T43" s="38"/>
      <c r="U43" s="54"/>
      <c r="V43" s="54"/>
      <c r="W43" s="30"/>
      <c r="X43" s="30"/>
      <c r="Z43" s="71"/>
      <c r="AA43" s="71"/>
      <c r="AB43" s="71"/>
      <c r="AC43" s="71"/>
    </row>
    <row r="44" spans="1:29" s="31" customFormat="1" ht="13.5" thickTop="1" thickBot="1">
      <c r="A44" s="314" t="s">
        <v>313</v>
      </c>
      <c r="B44" s="53" t="s">
        <v>67</v>
      </c>
      <c r="C44" s="305" t="s">
        <v>314</v>
      </c>
      <c r="D44" s="306"/>
      <c r="E44" s="307"/>
      <c r="F44" s="274" t="s">
        <v>68</v>
      </c>
      <c r="G44" s="275"/>
      <c r="H44" s="276"/>
      <c r="I44" s="282" t="s">
        <v>315</v>
      </c>
      <c r="J44" s="53" t="s">
        <v>67</v>
      </c>
      <c r="K44" s="305" t="s">
        <v>314</v>
      </c>
      <c r="L44" s="306"/>
      <c r="M44" s="307"/>
      <c r="N44" s="274" t="s">
        <v>68</v>
      </c>
      <c r="O44" s="275"/>
      <c r="P44" s="276"/>
      <c r="Q44" s="37"/>
      <c r="R44" s="37"/>
      <c r="S44" s="38"/>
      <c r="T44" s="38"/>
      <c r="U44" s="54"/>
      <c r="V44" s="54"/>
      <c r="W44" s="30"/>
      <c r="X44" s="30"/>
      <c r="Z44" s="71"/>
      <c r="AA44" s="71"/>
      <c r="AB44" s="71"/>
      <c r="AC44" s="71"/>
    </row>
    <row r="45" spans="1:29" s="31" customFormat="1" ht="13.5" thickTop="1" thickBot="1">
      <c r="A45" s="315" t="s">
        <v>286</v>
      </c>
      <c r="B45" s="34" t="s">
        <v>299</v>
      </c>
      <c r="C45" s="285">
        <f>+SUMIF(F:F,B45,Y:Y)*Q48</f>
        <v>0</v>
      </c>
      <c r="D45" s="286"/>
      <c r="E45" s="288"/>
      <c r="F45" s="285">
        <f>(SUMPRODUCT(M5:M15,V5:V15)+W5*V5)*Q48</f>
        <v>0</v>
      </c>
      <c r="G45" s="286"/>
      <c r="H45" s="287"/>
      <c r="I45" s="283" t="s">
        <v>286</v>
      </c>
      <c r="J45" s="34" t="s">
        <v>316</v>
      </c>
      <c r="K45" s="317"/>
      <c r="L45" s="318"/>
      <c r="M45" s="124">
        <f>IF(K45=0,0,K50/K45*1000)</f>
        <v>0</v>
      </c>
      <c r="N45" s="124"/>
      <c r="O45" s="215"/>
      <c r="P45" s="216"/>
      <c r="Q45" s="37"/>
      <c r="R45" s="37"/>
      <c r="S45" s="38"/>
      <c r="T45" s="38"/>
      <c r="U45" s="54"/>
      <c r="V45" s="54"/>
      <c r="W45" s="30"/>
      <c r="X45" s="30"/>
      <c r="Z45" s="71"/>
      <c r="AA45" s="71"/>
      <c r="AB45" s="71"/>
      <c r="AC45" s="71"/>
    </row>
    <row r="46" spans="1:29" s="31" customFormat="1" ht="13.5" thickTop="1" thickBot="1">
      <c r="A46" s="315">
        <v>270172</v>
      </c>
      <c r="B46" s="34" t="s">
        <v>301</v>
      </c>
      <c r="C46" s="285">
        <f>+SUMIF(F:F,B46,Y:Y)*Q48</f>
        <v>0</v>
      </c>
      <c r="D46" s="286"/>
      <c r="E46" s="288"/>
      <c r="F46" s="285">
        <f>(SUMPRODUCT(M16:M26,V16:V26)+W16*V16)*Q48</f>
        <v>0</v>
      </c>
      <c r="G46" s="286"/>
      <c r="H46" s="287"/>
      <c r="I46" s="283">
        <v>270172</v>
      </c>
      <c r="J46" s="34" t="s">
        <v>317</v>
      </c>
      <c r="K46" s="317"/>
      <c r="L46" s="318"/>
      <c r="M46" s="124">
        <f>IF(K46=0,0,K51/K46*1000)</f>
        <v>0</v>
      </c>
      <c r="N46" s="124"/>
      <c r="O46" s="215"/>
      <c r="P46" s="216"/>
      <c r="Q46" s="37"/>
      <c r="R46" s="37"/>
      <c r="S46" s="38"/>
      <c r="T46" s="38"/>
      <c r="U46" s="54"/>
      <c r="V46" s="54"/>
      <c r="W46" s="30"/>
      <c r="X46" s="30"/>
      <c r="Z46" s="71"/>
      <c r="AA46" s="71"/>
      <c r="AB46" s="71"/>
      <c r="AC46" s="71"/>
    </row>
    <row r="47" spans="1:29" s="31" customFormat="1" ht="13.5" thickTop="1" thickBot="1">
      <c r="A47" s="315">
        <v>270127</v>
      </c>
      <c r="B47" s="34" t="s">
        <v>302</v>
      </c>
      <c r="C47" s="285">
        <f>+SUMIF(F:F,B47,Y:Y)*Q48</f>
        <v>0</v>
      </c>
      <c r="D47" s="286"/>
      <c r="E47" s="288"/>
      <c r="F47" s="285">
        <f>(SUMPRODUCT(M27:M37,V27:V37)+W27*V27)*Q48</f>
        <v>0</v>
      </c>
      <c r="G47" s="286"/>
      <c r="H47" s="287"/>
      <c r="I47" s="283">
        <v>270127</v>
      </c>
      <c r="J47" s="34" t="s">
        <v>318</v>
      </c>
      <c r="K47" s="317"/>
      <c r="L47" s="318"/>
      <c r="M47" s="124">
        <f>IF(K47=0,0,K52/K47*1000)</f>
        <v>0</v>
      </c>
      <c r="N47" s="124"/>
      <c r="O47" s="215"/>
      <c r="P47" s="216"/>
      <c r="Q47" s="37"/>
      <c r="R47" s="37"/>
      <c r="S47" s="38"/>
      <c r="T47" s="38"/>
      <c r="U47" s="54"/>
      <c r="V47" s="54"/>
      <c r="W47" s="30"/>
      <c r="X47" s="30"/>
      <c r="Z47" s="71"/>
      <c r="AA47" s="71"/>
      <c r="AB47" s="71"/>
      <c r="AC47" s="71"/>
    </row>
    <row r="48" spans="1:29" s="31" customFormat="1" ht="13.5" thickTop="1" thickBot="1">
      <c r="A48" s="316">
        <v>270127</v>
      </c>
      <c r="B48" s="107" t="s">
        <v>319</v>
      </c>
      <c r="C48" s="289">
        <f>SUM(C45:E47)</f>
        <v>0</v>
      </c>
      <c r="D48" s="290"/>
      <c r="E48" s="291"/>
      <c r="F48" s="289">
        <f>SUM(F45:H47)</f>
        <v>0</v>
      </c>
      <c r="G48" s="290"/>
      <c r="H48" s="300"/>
      <c r="I48" s="284">
        <v>270127</v>
      </c>
      <c r="J48" s="107" t="s">
        <v>319</v>
      </c>
      <c r="K48" s="301">
        <f>SUM(K45:L47)</f>
        <v>0</v>
      </c>
      <c r="L48" s="302"/>
      <c r="M48" s="120">
        <f>IF(K48=0,0,K53/K48*1000)</f>
        <v>0</v>
      </c>
      <c r="N48" s="121"/>
      <c r="O48" s="210">
        <f>SUM(O45:P47)</f>
        <v>0</v>
      </c>
      <c r="P48" s="211"/>
      <c r="Q48" s="294"/>
      <c r="R48" s="295"/>
      <c r="S48" s="38"/>
      <c r="T48" s="38"/>
      <c r="U48" s="54"/>
      <c r="V48" s="54"/>
      <c r="W48" s="30"/>
      <c r="X48" s="30"/>
      <c r="Z48" s="71"/>
      <c r="AA48" s="71"/>
      <c r="AB48" s="71"/>
      <c r="AC48" s="71"/>
    </row>
    <row r="49" spans="1:29" s="31" customFormat="1" ht="13.5" thickTop="1" thickBot="1">
      <c r="A49" s="315" t="s">
        <v>320</v>
      </c>
      <c r="B49" s="99" t="s">
        <v>291</v>
      </c>
      <c r="C49" s="296" t="s">
        <v>321</v>
      </c>
      <c r="D49" s="325"/>
      <c r="E49" s="100" t="s">
        <v>322</v>
      </c>
      <c r="F49" s="101" t="s">
        <v>323</v>
      </c>
      <c r="G49" s="101"/>
      <c r="H49" s="102" t="s">
        <v>319</v>
      </c>
      <c r="I49" s="315" t="s">
        <v>324</v>
      </c>
      <c r="J49" s="99" t="s">
        <v>291</v>
      </c>
      <c r="K49" s="296" t="s">
        <v>319</v>
      </c>
      <c r="L49" s="297"/>
      <c r="M49" s="103" t="s">
        <v>322</v>
      </c>
      <c r="N49" s="104" t="s">
        <v>323</v>
      </c>
      <c r="O49" s="105"/>
      <c r="P49" s="106" t="s">
        <v>321</v>
      </c>
      <c r="Q49" s="292" t="s">
        <v>325</v>
      </c>
      <c r="R49" s="293"/>
      <c r="S49" s="38"/>
      <c r="T49" s="38"/>
      <c r="U49" s="54"/>
      <c r="V49" s="54"/>
      <c r="W49" s="30"/>
      <c r="X49" s="30"/>
      <c r="Z49" s="71"/>
      <c r="AA49" s="71"/>
      <c r="AB49" s="71"/>
      <c r="AC49" s="71"/>
    </row>
    <row r="50" spans="1:29" s="31" customFormat="1" ht="13.5" thickTop="1" thickBot="1">
      <c r="A50" s="315"/>
      <c r="B50" s="34" t="s">
        <v>299</v>
      </c>
      <c r="C50" s="321">
        <f>SUMIF($N$5:$N$37,B50,$AC$5:$AC$37)/1000</f>
        <v>1.1180000000000001</v>
      </c>
      <c r="D50" s="322"/>
      <c r="E50" s="191">
        <f>SUMIF($F$5:$F$37,B50,$AA$5:$AA$37)/1000</f>
        <v>0</v>
      </c>
      <c r="F50" s="192">
        <f>SUMIF($F$5:$F$37,B50,$AB$5:$AB$37)/1000</f>
        <v>14.097</v>
      </c>
      <c r="G50" s="192"/>
      <c r="H50" s="207">
        <f>+E50+F50</f>
        <v>14.097</v>
      </c>
      <c r="I50" s="315"/>
      <c r="J50" s="34" t="s">
        <v>299</v>
      </c>
      <c r="K50" s="298">
        <f>SUM(M50:N50)</f>
        <v>0</v>
      </c>
      <c r="L50" s="299"/>
      <c r="M50" s="111"/>
      <c r="N50" s="112"/>
      <c r="O50" s="59"/>
      <c r="P50" s="116"/>
      <c r="Q50" s="145">
        <f>+Q51+Q52</f>
        <v>41.036059999999999</v>
      </c>
      <c r="R50" s="144">
        <f>+FLOOR(SUM(SUMPRODUCT(E5:E37,G5:G37,R5:R37))/100000000000,1)/10</f>
        <v>447.7</v>
      </c>
      <c r="S50" s="38"/>
      <c r="T50" s="38"/>
      <c r="U50" s="54"/>
      <c r="V50" s="54"/>
      <c r="W50" s="30"/>
      <c r="X50" s="30"/>
      <c r="Z50" s="71"/>
      <c r="AA50" s="71"/>
      <c r="AB50" s="71"/>
      <c r="AC50" s="71"/>
    </row>
    <row r="51" spans="1:29" s="31" customFormat="1" ht="15.75" thickTop="1" thickBot="1">
      <c r="A51" s="315"/>
      <c r="B51" s="34" t="s">
        <v>301</v>
      </c>
      <c r="C51" s="321">
        <f>SUMIF($N$5:$N$37,B51,$AC$5:$AC$37)/1000</f>
        <v>1.3</v>
      </c>
      <c r="D51" s="322"/>
      <c r="E51" s="191">
        <f>SUMIF($F$5:$F$37,B51,$AA$5:$AA$37)/1000</f>
        <v>0</v>
      </c>
      <c r="F51" s="192">
        <f>SUMIF($F$5:$F$37,B51,$AB$5:$AB$37)/1000</f>
        <v>14.409000000000001</v>
      </c>
      <c r="G51" s="192"/>
      <c r="H51" s="207">
        <f>+E51+F51</f>
        <v>14.409000000000001</v>
      </c>
      <c r="I51" s="315"/>
      <c r="J51" s="206" t="s">
        <v>301</v>
      </c>
      <c r="K51" s="298">
        <f>SUM(M51:N51)</f>
        <v>0</v>
      </c>
      <c r="L51" s="299"/>
      <c r="M51" s="111"/>
      <c r="N51" s="112"/>
      <c r="O51" s="59"/>
      <c r="P51" s="116"/>
      <c r="Q51" s="145">
        <f>+H53</f>
        <v>41.036059999999999</v>
      </c>
      <c r="R51" s="144">
        <f>+SUMPRODUCT(E5:E37,G5:G37,R5:R37)-R50*1000000000000-R52*1000000</f>
        <v>475.125</v>
      </c>
      <c r="S51" s="38"/>
      <c r="T51" s="38"/>
      <c r="U51" s="17"/>
      <c r="V51" s="17"/>
      <c r="W51" s="30"/>
      <c r="X51" s="30"/>
      <c r="Z51" s="71"/>
      <c r="AA51" s="71"/>
      <c r="AB51" s="71"/>
      <c r="AC51" s="71"/>
    </row>
    <row r="52" spans="1:29" s="31" customFormat="1" ht="15.75" thickTop="1" thickBot="1">
      <c r="A52" s="315"/>
      <c r="B52" s="34" t="s">
        <v>302</v>
      </c>
      <c r="C52" s="321">
        <f>SUMIF($N$5:$N$37,B52,$AC$5:$AC$37)/1000</f>
        <v>0.59870000000000001</v>
      </c>
      <c r="D52" s="322"/>
      <c r="E52" s="191">
        <f>SUMIF($F$5:$F$37,B52,$AA$5:$AA$37)/1000</f>
        <v>8.2250599999999991</v>
      </c>
      <c r="F52" s="192">
        <f>SUMIF($F$5:$F$37,B52,$AB$5:$AB$37)/1000</f>
        <v>4.3049999999999997</v>
      </c>
      <c r="G52" s="192"/>
      <c r="H52" s="207">
        <f>+E52+F52</f>
        <v>12.530059999999999</v>
      </c>
      <c r="I52" s="315"/>
      <c r="J52" s="60" t="s">
        <v>302</v>
      </c>
      <c r="K52" s="298">
        <f>SUM(M52:N52)</f>
        <v>0</v>
      </c>
      <c r="L52" s="299"/>
      <c r="M52" s="111"/>
      <c r="N52" s="113"/>
      <c r="O52" s="61"/>
      <c r="P52" s="116"/>
      <c r="Q52" s="145">
        <f>SUMPRODUCT(E5:E37,T5:T37,Q5:Q37)/1000</f>
        <v>0</v>
      </c>
      <c r="R52" s="144">
        <f>+FLOOR(MOD(SUMPRODUCT(E5:E37,G5:G37,R5:R37),100000000000)/100000,1)/10</f>
        <v>444.3</v>
      </c>
      <c r="S52" s="38"/>
      <c r="T52" s="38"/>
      <c r="U52" s="17"/>
      <c r="V52" s="17"/>
      <c r="W52" s="30"/>
      <c r="X52" s="30"/>
      <c r="Z52" s="71"/>
      <c r="AA52" s="71"/>
      <c r="AB52" s="71"/>
      <c r="AC52" s="71"/>
    </row>
    <row r="53" spans="1:29" s="31" customFormat="1" ht="15.75" thickTop="1" thickBot="1">
      <c r="A53" s="320"/>
      <c r="B53" s="62" t="s">
        <v>319</v>
      </c>
      <c r="C53" s="323">
        <f>SUM(C50:C52)</f>
        <v>3.0167000000000002</v>
      </c>
      <c r="D53" s="324"/>
      <c r="E53" s="149">
        <f>SUM(E50:E52)</f>
        <v>8.2250599999999991</v>
      </c>
      <c r="F53" s="147">
        <f>SUM(F50:F52)</f>
        <v>32.811</v>
      </c>
      <c r="G53" s="147"/>
      <c r="H53" s="148">
        <f>SUM(H50:H52)</f>
        <v>41.036059999999999</v>
      </c>
      <c r="I53" s="320"/>
      <c r="J53" s="63" t="s">
        <v>319</v>
      </c>
      <c r="K53" s="326">
        <f>+M53+N53</f>
        <v>0</v>
      </c>
      <c r="L53" s="327"/>
      <c r="M53" s="114">
        <f>SUM(M50:M52)</f>
        <v>0</v>
      </c>
      <c r="N53" s="115">
        <f>SUM(N50:N52)</f>
        <v>0</v>
      </c>
      <c r="O53" s="64">
        <f>SUM(O50:O52)</f>
        <v>0</v>
      </c>
      <c r="P53" s="117">
        <f>SUM(P50:P52)</f>
        <v>0</v>
      </c>
      <c r="Q53" s="145">
        <f>SUMPRODUCT(Q5:Q28,E5:E28)/1000</f>
        <v>41.036059999999999</v>
      </c>
      <c r="R53" s="144">
        <f>SUM(R50:R52)</f>
        <v>1367.125</v>
      </c>
      <c r="S53" s="38">
        <v>0</v>
      </c>
      <c r="T53" s="38"/>
      <c r="U53" s="17"/>
      <c r="V53" s="17"/>
      <c r="W53" s="30"/>
      <c r="X53" s="30"/>
      <c r="Z53" s="71"/>
      <c r="AA53" s="71"/>
      <c r="AB53" s="71"/>
      <c r="AC53" s="71"/>
    </row>
    <row r="54" spans="1:29" s="66" customFormat="1" ht="25.5">
      <c r="A54" s="319" t="s">
        <v>326</v>
      </c>
      <c r="B54" s="319"/>
      <c r="C54" s="319"/>
      <c r="D54" s="319"/>
      <c r="E54" s="319"/>
      <c r="F54" s="319"/>
      <c r="G54" s="319"/>
      <c r="H54" s="319"/>
      <c r="I54" s="319" t="s">
        <v>327</v>
      </c>
      <c r="J54" s="319"/>
      <c r="K54" s="319"/>
      <c r="L54" s="319"/>
      <c r="M54" s="319"/>
      <c r="N54" s="319"/>
      <c r="O54" s="319"/>
      <c r="P54" s="319"/>
      <c r="Q54" s="14"/>
      <c r="R54" s="15">
        <v>0</v>
      </c>
      <c r="S54" s="16"/>
      <c r="T54" s="16"/>
      <c r="U54" s="17"/>
      <c r="V54" s="17"/>
      <c r="W54" s="65"/>
      <c r="X54" s="65"/>
      <c r="Z54" s="69"/>
      <c r="AA54" s="69"/>
      <c r="AB54" s="69"/>
      <c r="AC54" s="69"/>
    </row>
    <row r="55" spans="1:29" s="66" customFormat="1">
      <c r="A55" s="67"/>
      <c r="B55" s="67"/>
      <c r="C55" s="67"/>
      <c r="D55" s="67"/>
      <c r="E55" s="67"/>
      <c r="F55" s="77"/>
      <c r="G55" s="68"/>
      <c r="H55" s="67"/>
      <c r="I55" s="67"/>
      <c r="J55" s="69"/>
      <c r="K55" s="69"/>
      <c r="L55" s="69"/>
      <c r="M55" s="69"/>
      <c r="N55" s="67"/>
      <c r="O55" s="70"/>
      <c r="P55" s="69"/>
      <c r="Q55" s="14">
        <v>0</v>
      </c>
      <c r="R55" s="15">
        <v>0</v>
      </c>
      <c r="S55" s="16"/>
      <c r="T55" s="16"/>
      <c r="U55" s="17"/>
      <c r="V55" s="17"/>
      <c r="W55" s="65"/>
      <c r="X55" s="65"/>
      <c r="Z55" s="69"/>
      <c r="AA55" s="69"/>
      <c r="AB55" s="69"/>
      <c r="AC55" s="69"/>
    </row>
    <row r="56" spans="1:29" s="66" customFormat="1">
      <c r="A56" s="67"/>
      <c r="B56" s="67"/>
      <c r="C56" s="67"/>
      <c r="D56" s="67"/>
      <c r="E56" s="67"/>
      <c r="F56" s="69"/>
      <c r="G56" s="68"/>
      <c r="H56" s="67"/>
      <c r="I56" s="67"/>
      <c r="J56" s="69"/>
      <c r="K56" s="69"/>
      <c r="L56" s="69"/>
      <c r="M56" s="71"/>
      <c r="N56" s="72"/>
      <c r="O56" s="70"/>
      <c r="P56" s="69"/>
      <c r="Q56" s="14">
        <v>0</v>
      </c>
      <c r="R56" s="15"/>
      <c r="S56" s="16"/>
      <c r="T56" s="16"/>
      <c r="U56" s="17"/>
      <c r="V56" s="17"/>
      <c r="W56" s="65"/>
      <c r="X56" s="65"/>
      <c r="Z56" s="69"/>
      <c r="AA56" s="69"/>
      <c r="AB56" s="69"/>
      <c r="AC56" s="69"/>
    </row>
    <row r="57" spans="1:29" s="66" customFormat="1">
      <c r="A57" s="67"/>
      <c r="B57" s="67"/>
      <c r="C57" s="67"/>
      <c r="D57" s="67"/>
      <c r="E57" s="67"/>
      <c r="F57" s="67"/>
      <c r="G57" s="68"/>
      <c r="H57" s="67"/>
      <c r="I57" s="69"/>
      <c r="J57" s="73"/>
      <c r="K57" s="73"/>
      <c r="L57" s="73"/>
      <c r="M57" s="69"/>
      <c r="N57" s="67"/>
      <c r="O57" s="70"/>
      <c r="P57" s="69"/>
      <c r="Q57" s="14"/>
      <c r="R57" s="15"/>
      <c r="S57" s="16"/>
      <c r="T57" s="16"/>
      <c r="U57" s="17"/>
      <c r="V57" s="17"/>
      <c r="W57" s="65"/>
      <c r="X57" s="65"/>
      <c r="Z57" s="69"/>
      <c r="AA57" s="69"/>
      <c r="AB57" s="69"/>
      <c r="AC57" s="69"/>
    </row>
    <row r="58" spans="1:29" s="66" customFormat="1">
      <c r="A58" s="67"/>
      <c r="B58" s="67"/>
      <c r="C58" s="67"/>
      <c r="D58" s="67"/>
      <c r="E58" s="67"/>
      <c r="F58" s="67"/>
      <c r="G58" s="68"/>
      <c r="H58" s="67"/>
      <c r="I58" s="67"/>
      <c r="J58" s="69"/>
      <c r="K58" s="69"/>
      <c r="L58" s="69"/>
      <c r="M58" s="69"/>
      <c r="N58" s="67"/>
      <c r="O58" s="70"/>
      <c r="P58" s="69"/>
      <c r="Q58" s="14"/>
      <c r="R58" s="15"/>
      <c r="S58" s="16"/>
      <c r="T58" s="16"/>
      <c r="U58" s="17"/>
      <c r="V58" s="17"/>
      <c r="W58" s="65"/>
      <c r="X58" s="65"/>
      <c r="Z58" s="69"/>
      <c r="AA58" s="69"/>
      <c r="AB58" s="69"/>
      <c r="AC58" s="69"/>
    </row>
    <row r="59" spans="1:29" s="66" customFormat="1">
      <c r="A59" s="67"/>
      <c r="B59" s="67"/>
      <c r="C59" s="67"/>
      <c r="D59" s="67"/>
      <c r="E59" s="67"/>
      <c r="F59" s="67"/>
      <c r="G59" s="68"/>
      <c r="H59" s="67"/>
      <c r="I59" s="67"/>
      <c r="J59" s="69"/>
      <c r="K59" s="69"/>
      <c r="L59" s="69"/>
      <c r="M59" s="69"/>
      <c r="N59" s="67"/>
      <c r="O59" s="70"/>
      <c r="P59" s="69"/>
      <c r="Q59" s="14"/>
      <c r="R59" s="15"/>
      <c r="S59" s="16"/>
      <c r="T59" s="16"/>
      <c r="U59" s="17"/>
      <c r="V59" s="17"/>
      <c r="W59" s="65"/>
      <c r="X59" s="65"/>
      <c r="Z59" s="69"/>
      <c r="AA59" s="69"/>
      <c r="AB59" s="69"/>
      <c r="AC59" s="69"/>
    </row>
    <row r="60" spans="1:29" s="66" customFormat="1">
      <c r="A60" s="67"/>
      <c r="B60" s="67"/>
      <c r="C60" s="67"/>
      <c r="D60" s="67"/>
      <c r="E60" s="67"/>
      <c r="F60" s="67"/>
      <c r="G60" s="68"/>
      <c r="H60" s="67"/>
      <c r="I60" s="67"/>
      <c r="J60" s="69"/>
      <c r="K60" s="69"/>
      <c r="L60" s="69"/>
      <c r="M60" s="69"/>
      <c r="N60" s="67"/>
      <c r="O60" s="70"/>
      <c r="P60" s="69"/>
      <c r="Q60" s="14"/>
      <c r="R60" s="15"/>
      <c r="S60" s="16"/>
      <c r="T60" s="16"/>
      <c r="U60" s="17"/>
      <c r="V60" s="17"/>
      <c r="W60" s="65"/>
      <c r="X60" s="65"/>
      <c r="Z60" s="69"/>
      <c r="AA60" s="69"/>
      <c r="AB60" s="69"/>
      <c r="AC60" s="69"/>
    </row>
    <row r="61" spans="1:29" s="66" customFormat="1">
      <c r="A61" s="67"/>
      <c r="B61" s="67"/>
      <c r="C61" s="67"/>
      <c r="D61" s="67"/>
      <c r="E61" s="67"/>
      <c r="F61" s="67"/>
      <c r="G61" s="68"/>
      <c r="H61" s="67"/>
      <c r="I61" s="67"/>
      <c r="J61" s="69"/>
      <c r="K61" s="69"/>
      <c r="L61" s="69"/>
      <c r="M61" s="69"/>
      <c r="N61" s="67"/>
      <c r="O61" s="70"/>
      <c r="P61" s="69"/>
      <c r="Q61" s="14"/>
      <c r="R61" s="15"/>
      <c r="S61" s="16"/>
      <c r="T61" s="16"/>
      <c r="U61" s="17"/>
      <c r="V61" s="17"/>
      <c r="W61" s="65"/>
      <c r="X61" s="65"/>
      <c r="Z61" s="69"/>
      <c r="AA61" s="69"/>
      <c r="AB61" s="69"/>
      <c r="AC61" s="69"/>
    </row>
    <row r="62" spans="1:29" s="66" customFormat="1">
      <c r="A62" s="67"/>
      <c r="B62" s="67"/>
      <c r="C62" s="67"/>
      <c r="D62" s="67"/>
      <c r="E62" s="67"/>
      <c r="F62" s="67"/>
      <c r="G62" s="68"/>
      <c r="H62" s="67"/>
      <c r="I62" s="67"/>
      <c r="J62" s="69"/>
      <c r="K62" s="69"/>
      <c r="L62" s="69"/>
      <c r="M62" s="69"/>
      <c r="N62" s="67"/>
      <c r="O62" s="70"/>
      <c r="P62" s="69"/>
      <c r="Q62" s="14"/>
      <c r="R62" s="15"/>
      <c r="S62" s="16"/>
      <c r="T62" s="16"/>
      <c r="U62" s="17"/>
      <c r="V62" s="17"/>
      <c r="W62" s="65"/>
      <c r="X62" s="65"/>
      <c r="Z62" s="69"/>
      <c r="AA62" s="69"/>
      <c r="AB62" s="69"/>
      <c r="AC62" s="69"/>
    </row>
    <row r="63" spans="1:29" s="66" customFormat="1">
      <c r="A63" s="67"/>
      <c r="B63" s="67"/>
      <c r="C63" s="67"/>
      <c r="D63" s="67"/>
      <c r="E63" s="67"/>
      <c r="F63" s="67"/>
      <c r="G63" s="68"/>
      <c r="H63" s="67"/>
      <c r="I63" s="67"/>
      <c r="J63" s="69"/>
      <c r="K63" s="69"/>
      <c r="L63" s="69"/>
      <c r="M63" s="69"/>
      <c r="N63" s="67"/>
      <c r="O63" s="70"/>
      <c r="P63" s="69"/>
      <c r="Q63" s="14"/>
      <c r="R63" s="15"/>
      <c r="S63" s="16"/>
      <c r="T63" s="16"/>
      <c r="U63" s="17"/>
      <c r="V63" s="17"/>
      <c r="W63" s="65"/>
      <c r="X63" s="65"/>
      <c r="Z63" s="69"/>
      <c r="AA63" s="69"/>
      <c r="AB63" s="69"/>
      <c r="AC63" s="69"/>
    </row>
    <row r="64" spans="1:29" s="66" customFormat="1">
      <c r="A64" s="67"/>
      <c r="B64" s="67"/>
      <c r="C64" s="67"/>
      <c r="D64" s="67"/>
      <c r="E64" s="67"/>
      <c r="F64" s="67"/>
      <c r="G64" s="68"/>
      <c r="H64" s="67"/>
      <c r="I64" s="67"/>
      <c r="J64" s="69"/>
      <c r="K64" s="69"/>
      <c r="L64" s="69"/>
      <c r="M64" s="69"/>
      <c r="N64" s="67"/>
      <c r="O64" s="70"/>
      <c r="P64" s="69"/>
      <c r="Q64" s="14"/>
      <c r="R64" s="15"/>
      <c r="S64" s="16"/>
      <c r="T64" s="16"/>
      <c r="U64" s="17"/>
      <c r="V64" s="17"/>
      <c r="W64" s="65"/>
      <c r="X64" s="65"/>
      <c r="Z64" s="69"/>
      <c r="AA64" s="69"/>
      <c r="AB64" s="69"/>
      <c r="AC64" s="69"/>
    </row>
    <row r="65" spans="1:29" s="66" customFormat="1">
      <c r="A65" s="67"/>
      <c r="B65" s="67"/>
      <c r="C65" s="67"/>
      <c r="D65" s="67"/>
      <c r="E65" s="67"/>
      <c r="F65" s="67"/>
      <c r="G65" s="68"/>
      <c r="H65" s="67"/>
      <c r="I65" s="67"/>
      <c r="J65" s="69"/>
      <c r="K65" s="69"/>
      <c r="L65" s="69"/>
      <c r="M65" s="69"/>
      <c r="N65" s="67"/>
      <c r="O65" s="70"/>
      <c r="P65" s="69"/>
      <c r="Q65" s="14"/>
      <c r="R65" s="15"/>
      <c r="S65" s="16"/>
      <c r="T65" s="16"/>
      <c r="U65" s="17"/>
      <c r="V65" s="17"/>
      <c r="W65" s="65"/>
      <c r="X65" s="65"/>
      <c r="Z65" s="69"/>
      <c r="AA65" s="69"/>
      <c r="AB65" s="69"/>
      <c r="AC65" s="69"/>
    </row>
    <row r="66" spans="1:29" s="66" customFormat="1">
      <c r="A66" s="67"/>
      <c r="B66" s="67"/>
      <c r="C66" s="67"/>
      <c r="D66" s="67"/>
      <c r="E66" s="67"/>
      <c r="F66" s="67"/>
      <c r="G66" s="68"/>
      <c r="H66" s="67"/>
      <c r="I66" s="67"/>
      <c r="J66" s="69"/>
      <c r="K66" s="69"/>
      <c r="L66" s="69"/>
      <c r="M66" s="69"/>
      <c r="N66" s="67"/>
      <c r="O66" s="70"/>
      <c r="P66" s="69"/>
      <c r="Q66" s="14"/>
      <c r="R66" s="15"/>
      <c r="S66" s="16"/>
      <c r="T66" s="16"/>
      <c r="U66" s="17"/>
      <c r="V66" s="17"/>
      <c r="W66" s="65"/>
      <c r="X66" s="65"/>
      <c r="Z66" s="69"/>
      <c r="AA66" s="69"/>
      <c r="AB66" s="69"/>
      <c r="AC66" s="69"/>
    </row>
    <row r="67" spans="1:29" s="66" customFormat="1">
      <c r="A67" s="67"/>
      <c r="B67" s="67"/>
      <c r="C67" s="67"/>
      <c r="D67" s="67"/>
      <c r="E67" s="67"/>
      <c r="F67" s="67"/>
      <c r="G67" s="68"/>
      <c r="H67" s="67"/>
      <c r="I67" s="67"/>
      <c r="J67" s="69"/>
      <c r="K67" s="69"/>
      <c r="L67" s="69"/>
      <c r="M67" s="69"/>
      <c r="N67" s="67"/>
      <c r="O67" s="70"/>
      <c r="P67" s="69"/>
      <c r="Q67" s="14"/>
      <c r="R67" s="15"/>
      <c r="S67" s="16"/>
      <c r="T67" s="16"/>
      <c r="U67" s="17"/>
      <c r="V67" s="17"/>
      <c r="W67" s="65"/>
      <c r="X67" s="65"/>
      <c r="Z67" s="69"/>
      <c r="AA67" s="69"/>
      <c r="AB67" s="69"/>
      <c r="AC67" s="69"/>
    </row>
    <row r="68" spans="1:29" s="66" customFormat="1">
      <c r="A68" s="67"/>
      <c r="B68" s="67"/>
      <c r="C68" s="67"/>
      <c r="D68" s="67"/>
      <c r="E68" s="67"/>
      <c r="F68" s="67"/>
      <c r="G68" s="68"/>
      <c r="H68" s="67"/>
      <c r="I68" s="67"/>
      <c r="J68" s="69"/>
      <c r="K68" s="69"/>
      <c r="L68" s="69"/>
      <c r="M68" s="69"/>
      <c r="N68" s="67"/>
      <c r="O68" s="70"/>
      <c r="P68" s="69"/>
      <c r="Q68" s="14"/>
      <c r="R68" s="15"/>
      <c r="S68" s="16"/>
      <c r="T68" s="16"/>
      <c r="U68" s="17"/>
      <c r="V68" s="17"/>
      <c r="W68" s="65"/>
      <c r="X68" s="65"/>
      <c r="Z68" s="69"/>
      <c r="AA68" s="69"/>
      <c r="AB68" s="69"/>
      <c r="AC68" s="69"/>
    </row>
    <row r="69" spans="1:29" s="66" customFormat="1">
      <c r="A69" s="67"/>
      <c r="B69" s="67"/>
      <c r="C69" s="67"/>
      <c r="D69" s="67"/>
      <c r="E69" s="67"/>
      <c r="F69" s="67"/>
      <c r="G69" s="68"/>
      <c r="H69" s="67"/>
      <c r="I69" s="67"/>
      <c r="J69" s="69"/>
      <c r="K69" s="69"/>
      <c r="L69" s="69"/>
      <c r="M69" s="69"/>
      <c r="N69" s="67"/>
      <c r="O69" s="70"/>
      <c r="P69" s="69"/>
      <c r="Q69" s="14"/>
      <c r="R69" s="15"/>
      <c r="S69" s="16"/>
      <c r="T69" s="16"/>
      <c r="U69" s="17"/>
      <c r="V69" s="17"/>
      <c r="W69" s="65"/>
      <c r="X69" s="65"/>
      <c r="Z69" s="69"/>
      <c r="AA69" s="69"/>
      <c r="AB69" s="69"/>
      <c r="AC69" s="69"/>
    </row>
    <row r="70" spans="1:29" s="66" customFormat="1">
      <c r="A70" s="67"/>
      <c r="B70" s="67"/>
      <c r="C70" s="67"/>
      <c r="D70" s="67"/>
      <c r="E70" s="67"/>
      <c r="F70" s="67"/>
      <c r="G70" s="68"/>
      <c r="H70" s="67"/>
      <c r="I70" s="67"/>
      <c r="J70" s="69"/>
      <c r="K70" s="69"/>
      <c r="L70" s="69"/>
      <c r="M70" s="69"/>
      <c r="N70" s="67"/>
      <c r="O70" s="70"/>
      <c r="P70" s="69"/>
      <c r="Q70" s="14"/>
      <c r="R70" s="15"/>
      <c r="S70" s="16"/>
      <c r="T70" s="16"/>
      <c r="U70" s="17"/>
      <c r="V70" s="17"/>
      <c r="W70" s="65"/>
      <c r="X70" s="65"/>
      <c r="Z70" s="69"/>
      <c r="AA70" s="69"/>
      <c r="AB70" s="69"/>
      <c r="AC70" s="69"/>
    </row>
    <row r="71" spans="1:29" s="66" customFormat="1">
      <c r="A71" s="67"/>
      <c r="B71" s="67"/>
      <c r="C71" s="67"/>
      <c r="D71" s="67"/>
      <c r="E71" s="67"/>
      <c r="F71" s="67"/>
      <c r="G71" s="68"/>
      <c r="H71" s="67"/>
      <c r="I71" s="67"/>
      <c r="J71" s="69"/>
      <c r="K71" s="69"/>
      <c r="L71" s="69"/>
      <c r="M71" s="69"/>
      <c r="N71" s="67"/>
      <c r="O71" s="70"/>
      <c r="P71" s="69"/>
      <c r="Q71" s="14"/>
      <c r="R71" s="15"/>
      <c r="S71" s="16"/>
      <c r="T71" s="16"/>
      <c r="U71" s="17"/>
      <c r="V71" s="17"/>
      <c r="W71" s="65"/>
      <c r="X71" s="65"/>
      <c r="Z71" s="69"/>
      <c r="AA71" s="69"/>
      <c r="AB71" s="69"/>
      <c r="AC71" s="69"/>
    </row>
    <row r="72" spans="1:29" s="66" customFormat="1">
      <c r="A72" s="67"/>
      <c r="B72" s="67"/>
      <c r="C72" s="67"/>
      <c r="D72" s="67"/>
      <c r="E72" s="67"/>
      <c r="F72" s="67"/>
      <c r="G72" s="68"/>
      <c r="H72" s="67"/>
      <c r="I72" s="67"/>
      <c r="J72" s="69"/>
      <c r="K72" s="69"/>
      <c r="L72" s="69"/>
      <c r="M72" s="69"/>
      <c r="N72" s="67"/>
      <c r="O72" s="70"/>
      <c r="P72" s="69"/>
      <c r="Q72" s="14"/>
      <c r="R72" s="15"/>
      <c r="S72" s="16"/>
      <c r="T72" s="16"/>
      <c r="U72" s="17"/>
      <c r="V72" s="17"/>
      <c r="W72" s="65"/>
      <c r="X72" s="65"/>
      <c r="Z72" s="69"/>
      <c r="AA72" s="69"/>
      <c r="AB72" s="69"/>
      <c r="AC72" s="69"/>
    </row>
    <row r="73" spans="1:29" s="66" customFormat="1">
      <c r="A73" s="67"/>
      <c r="B73" s="67"/>
      <c r="C73" s="67"/>
      <c r="D73" s="67"/>
      <c r="E73" s="67"/>
      <c r="F73" s="67"/>
      <c r="G73" s="68"/>
      <c r="H73" s="67"/>
      <c r="I73" s="67"/>
      <c r="J73" s="69"/>
      <c r="K73" s="69"/>
      <c r="L73" s="69"/>
      <c r="M73" s="69"/>
      <c r="N73" s="67"/>
      <c r="O73" s="70"/>
      <c r="P73" s="69"/>
      <c r="Q73" s="14"/>
      <c r="R73" s="15"/>
      <c r="S73" s="16"/>
      <c r="T73" s="16"/>
      <c r="U73" s="17"/>
      <c r="V73" s="17"/>
      <c r="W73" s="65"/>
      <c r="X73" s="65"/>
      <c r="Z73" s="69"/>
      <c r="AA73" s="69"/>
      <c r="AB73" s="69"/>
      <c r="AC73" s="69"/>
    </row>
    <row r="74" spans="1:29" s="66" customFormat="1">
      <c r="A74" s="67"/>
      <c r="B74" s="67"/>
      <c r="C74" s="67"/>
      <c r="D74" s="67"/>
      <c r="E74" s="67"/>
      <c r="F74" s="67"/>
      <c r="G74" s="68"/>
      <c r="H74" s="67"/>
      <c r="I74" s="67"/>
      <c r="J74" s="69"/>
      <c r="K74" s="69"/>
      <c r="L74" s="69"/>
      <c r="M74" s="69"/>
      <c r="N74" s="67"/>
      <c r="O74" s="70"/>
      <c r="P74" s="69"/>
      <c r="Q74" s="14"/>
      <c r="R74" s="15"/>
      <c r="S74" s="16"/>
      <c r="T74" s="16"/>
      <c r="U74" s="17"/>
      <c r="V74" s="17"/>
      <c r="W74" s="65"/>
      <c r="X74" s="65"/>
      <c r="Z74" s="69"/>
      <c r="AA74" s="69"/>
      <c r="AB74" s="69"/>
      <c r="AC74" s="69"/>
    </row>
    <row r="75" spans="1:29" s="66" customFormat="1">
      <c r="A75" s="67"/>
      <c r="B75" s="67"/>
      <c r="C75" s="67"/>
      <c r="D75" s="67"/>
      <c r="E75" s="67"/>
      <c r="F75" s="67"/>
      <c r="G75" s="68"/>
      <c r="H75" s="67"/>
      <c r="I75" s="67"/>
      <c r="J75" s="69"/>
      <c r="K75" s="69"/>
      <c r="L75" s="69"/>
      <c r="M75" s="69"/>
      <c r="N75" s="67"/>
      <c r="O75" s="70"/>
      <c r="P75" s="69"/>
      <c r="Q75" s="14"/>
      <c r="R75" s="15"/>
      <c r="S75" s="16"/>
      <c r="T75" s="16"/>
      <c r="U75" s="17"/>
      <c r="V75" s="17"/>
      <c r="W75" s="65"/>
      <c r="X75" s="65"/>
      <c r="Z75" s="69"/>
      <c r="AA75" s="69"/>
      <c r="AB75" s="69"/>
      <c r="AC75" s="69"/>
    </row>
    <row r="76" spans="1:29" s="66" customFormat="1">
      <c r="A76" s="67"/>
      <c r="B76" s="67"/>
      <c r="C76" s="67"/>
      <c r="D76" s="67"/>
      <c r="E76" s="67"/>
      <c r="F76" s="67"/>
      <c r="G76" s="68"/>
      <c r="H76" s="67"/>
      <c r="I76" s="67"/>
      <c r="J76" s="69"/>
      <c r="K76" s="69"/>
      <c r="L76" s="69"/>
      <c r="M76" s="69"/>
      <c r="N76" s="67"/>
      <c r="O76" s="70"/>
      <c r="P76" s="69"/>
      <c r="Q76" s="14"/>
      <c r="R76" s="15"/>
      <c r="S76" s="16"/>
      <c r="T76" s="16"/>
      <c r="U76" s="17"/>
      <c r="V76" s="17"/>
      <c r="W76" s="65"/>
      <c r="X76" s="65"/>
      <c r="Z76" s="69"/>
      <c r="AA76" s="69"/>
      <c r="AB76" s="69"/>
      <c r="AC76" s="69"/>
    </row>
    <row r="77" spans="1:29" s="66" customFormat="1">
      <c r="A77" s="67"/>
      <c r="B77" s="67"/>
      <c r="C77" s="67"/>
      <c r="D77" s="67"/>
      <c r="E77" s="67"/>
      <c r="F77" s="67"/>
      <c r="G77" s="68"/>
      <c r="H77" s="67"/>
      <c r="I77" s="67"/>
      <c r="J77" s="69"/>
      <c r="K77" s="69"/>
      <c r="L77" s="69"/>
      <c r="M77" s="69"/>
      <c r="N77" s="67"/>
      <c r="O77" s="70"/>
      <c r="P77" s="69"/>
      <c r="Q77" s="14"/>
      <c r="R77" s="15"/>
      <c r="S77" s="16"/>
      <c r="T77" s="16"/>
      <c r="U77" s="17"/>
      <c r="V77" s="17"/>
      <c r="W77" s="65"/>
      <c r="X77" s="65"/>
      <c r="Z77" s="69"/>
      <c r="AA77" s="69"/>
      <c r="AB77" s="69"/>
      <c r="AC77" s="69"/>
    </row>
    <row r="78" spans="1:29" s="66" customFormat="1">
      <c r="A78" s="67"/>
      <c r="B78" s="67"/>
      <c r="C78" s="67"/>
      <c r="D78" s="67"/>
      <c r="E78" s="67"/>
      <c r="F78" s="67"/>
      <c r="G78" s="68"/>
      <c r="H78" s="67"/>
      <c r="I78" s="67"/>
      <c r="J78" s="69"/>
      <c r="K78" s="69"/>
      <c r="L78" s="69"/>
      <c r="M78" s="69"/>
      <c r="N78" s="67"/>
      <c r="O78" s="70"/>
      <c r="P78" s="69"/>
      <c r="Q78" s="14"/>
      <c r="R78" s="15"/>
      <c r="S78" s="16"/>
      <c r="T78" s="16"/>
      <c r="U78" s="17"/>
      <c r="V78" s="17"/>
      <c r="W78" s="65"/>
      <c r="X78" s="65"/>
      <c r="Z78" s="69"/>
      <c r="AA78" s="69"/>
      <c r="AB78" s="69"/>
      <c r="AC78" s="69"/>
    </row>
    <row r="79" spans="1:29" s="66" customFormat="1">
      <c r="A79" s="67"/>
      <c r="B79" s="67"/>
      <c r="C79" s="67"/>
      <c r="D79" s="67"/>
      <c r="E79" s="67"/>
      <c r="F79" s="67"/>
      <c r="G79" s="68"/>
      <c r="H79" s="67"/>
      <c r="I79" s="67"/>
      <c r="J79" s="69"/>
      <c r="K79" s="69"/>
      <c r="L79" s="69"/>
      <c r="M79" s="69"/>
      <c r="N79" s="67"/>
      <c r="O79" s="70"/>
      <c r="P79" s="69"/>
      <c r="Q79" s="14"/>
      <c r="R79" s="15"/>
      <c r="S79" s="16"/>
      <c r="T79" s="16"/>
      <c r="U79" s="17"/>
      <c r="V79" s="17"/>
      <c r="W79" s="65"/>
      <c r="X79" s="65"/>
      <c r="Z79" s="69"/>
      <c r="AA79" s="69"/>
      <c r="AB79" s="69"/>
      <c r="AC79" s="69"/>
    </row>
    <row r="80" spans="1:29" s="66" customFormat="1">
      <c r="A80" s="67"/>
      <c r="B80" s="67"/>
      <c r="C80" s="67"/>
      <c r="D80" s="67"/>
      <c r="E80" s="67"/>
      <c r="F80" s="67"/>
      <c r="G80" s="68"/>
      <c r="H80" s="67"/>
      <c r="I80" s="67"/>
      <c r="J80" s="69"/>
      <c r="K80" s="69"/>
      <c r="L80" s="69"/>
      <c r="M80" s="69"/>
      <c r="N80" s="67"/>
      <c r="O80" s="70"/>
      <c r="P80" s="69"/>
      <c r="Q80" s="14"/>
      <c r="R80" s="15"/>
      <c r="S80" s="16"/>
      <c r="T80" s="16"/>
      <c r="U80" s="17"/>
      <c r="V80" s="17"/>
      <c r="W80" s="65"/>
      <c r="X80" s="65"/>
      <c r="Z80" s="69"/>
      <c r="AA80" s="69"/>
      <c r="AB80" s="69"/>
      <c r="AC80" s="69"/>
    </row>
    <row r="81" spans="1:29" s="66" customFormat="1">
      <c r="A81" s="67"/>
      <c r="B81" s="67"/>
      <c r="C81" s="67"/>
      <c r="D81" s="67"/>
      <c r="E81" s="67"/>
      <c r="F81" s="67"/>
      <c r="G81" s="68"/>
      <c r="H81" s="67"/>
      <c r="I81" s="67"/>
      <c r="J81" s="69"/>
      <c r="K81" s="69"/>
      <c r="L81" s="69"/>
      <c r="M81" s="69"/>
      <c r="N81" s="67"/>
      <c r="O81" s="70"/>
      <c r="P81" s="69"/>
      <c r="Q81" s="14"/>
      <c r="R81" s="15"/>
      <c r="S81" s="16"/>
      <c r="T81" s="16"/>
      <c r="U81" s="17"/>
      <c r="V81" s="17"/>
      <c r="W81" s="65"/>
      <c r="X81" s="65"/>
      <c r="Z81" s="69"/>
      <c r="AA81" s="69"/>
      <c r="AB81" s="69"/>
      <c r="AC81" s="69"/>
    </row>
    <row r="82" spans="1:29" s="66" customFormat="1">
      <c r="A82" s="67"/>
      <c r="B82" s="67"/>
      <c r="C82" s="67"/>
      <c r="D82" s="67"/>
      <c r="E82" s="67"/>
      <c r="F82" s="67"/>
      <c r="G82" s="68"/>
      <c r="H82" s="67"/>
      <c r="I82" s="67"/>
      <c r="J82" s="69"/>
      <c r="K82" s="69"/>
      <c r="L82" s="69"/>
      <c r="M82" s="69"/>
      <c r="N82" s="67"/>
      <c r="O82" s="70"/>
      <c r="P82" s="69"/>
      <c r="Q82" s="14"/>
      <c r="R82" s="15"/>
      <c r="S82" s="16"/>
      <c r="T82" s="16"/>
      <c r="U82" s="17"/>
      <c r="V82" s="17"/>
      <c r="W82" s="65"/>
      <c r="X82" s="65"/>
      <c r="Z82" s="69"/>
      <c r="AA82" s="69"/>
      <c r="AB82" s="69"/>
      <c r="AC82" s="69"/>
    </row>
    <row r="83" spans="1:29" s="66" customFormat="1">
      <c r="A83" s="67"/>
      <c r="B83" s="67"/>
      <c r="C83" s="67"/>
      <c r="D83" s="67"/>
      <c r="E83" s="67"/>
      <c r="F83" s="67"/>
      <c r="G83" s="68"/>
      <c r="H83" s="67"/>
      <c r="I83" s="67"/>
      <c r="J83" s="69"/>
      <c r="K83" s="69"/>
      <c r="L83" s="69"/>
      <c r="M83" s="69"/>
      <c r="N83" s="67"/>
      <c r="O83" s="70"/>
      <c r="P83" s="69"/>
      <c r="Q83" s="14"/>
      <c r="R83" s="15"/>
      <c r="S83" s="16"/>
      <c r="T83" s="16"/>
      <c r="U83" s="17"/>
      <c r="V83" s="17"/>
      <c r="W83" s="65"/>
      <c r="X83" s="65"/>
      <c r="Z83" s="69"/>
      <c r="AA83" s="69"/>
      <c r="AB83" s="69"/>
      <c r="AC83" s="69"/>
    </row>
    <row r="84" spans="1:29" s="66" customFormat="1">
      <c r="A84" s="67"/>
      <c r="B84" s="67"/>
      <c r="C84" s="67"/>
      <c r="D84" s="67"/>
      <c r="E84" s="67"/>
      <c r="F84" s="67"/>
      <c r="G84" s="68"/>
      <c r="H84" s="67"/>
      <c r="I84" s="67"/>
      <c r="J84" s="69"/>
      <c r="K84" s="69"/>
      <c r="L84" s="69"/>
      <c r="M84" s="69"/>
      <c r="N84" s="67"/>
      <c r="O84" s="70"/>
      <c r="P84" s="69"/>
      <c r="Q84" s="14"/>
      <c r="R84" s="15"/>
      <c r="S84" s="16"/>
      <c r="T84" s="16"/>
      <c r="U84" s="17"/>
      <c r="V84" s="17"/>
      <c r="W84" s="65"/>
      <c r="X84" s="65"/>
      <c r="Z84" s="69"/>
      <c r="AA84" s="69"/>
      <c r="AB84" s="69"/>
      <c r="AC84" s="69"/>
    </row>
    <row r="85" spans="1:29" s="66" customFormat="1">
      <c r="A85" s="67"/>
      <c r="B85" s="67"/>
      <c r="C85" s="67"/>
      <c r="D85" s="67"/>
      <c r="E85" s="67"/>
      <c r="F85" s="67"/>
      <c r="G85" s="68"/>
      <c r="H85" s="67"/>
      <c r="I85" s="67"/>
      <c r="J85" s="69"/>
      <c r="K85" s="69"/>
      <c r="L85" s="69"/>
      <c r="M85" s="69"/>
      <c r="N85" s="67"/>
      <c r="O85" s="70"/>
      <c r="P85" s="69"/>
      <c r="Q85" s="14"/>
      <c r="R85" s="15"/>
      <c r="S85" s="16"/>
      <c r="T85" s="16"/>
      <c r="U85" s="17"/>
      <c r="V85" s="17"/>
      <c r="W85" s="65"/>
      <c r="X85" s="65"/>
      <c r="Z85" s="69"/>
      <c r="AA85" s="69"/>
      <c r="AB85" s="69"/>
      <c r="AC85" s="69"/>
    </row>
    <row r="86" spans="1:29" s="66" customFormat="1">
      <c r="A86" s="67"/>
      <c r="B86" s="67"/>
      <c r="C86" s="67"/>
      <c r="D86" s="67"/>
      <c r="E86" s="67"/>
      <c r="F86" s="67"/>
      <c r="G86" s="68"/>
      <c r="H86" s="67"/>
      <c r="I86" s="67"/>
      <c r="J86" s="69"/>
      <c r="K86" s="69"/>
      <c r="L86" s="69"/>
      <c r="M86" s="69"/>
      <c r="N86" s="67"/>
      <c r="O86" s="70"/>
      <c r="P86" s="69"/>
      <c r="Q86" s="14"/>
      <c r="R86" s="15"/>
      <c r="S86" s="16"/>
      <c r="T86" s="16"/>
      <c r="U86" s="17"/>
      <c r="V86" s="17"/>
      <c r="W86" s="65"/>
      <c r="X86" s="65"/>
      <c r="Z86" s="69"/>
      <c r="AA86" s="69"/>
      <c r="AB86" s="69"/>
      <c r="AC86" s="69"/>
    </row>
    <row r="87" spans="1:29" s="66" customFormat="1">
      <c r="A87" s="67"/>
      <c r="B87" s="67"/>
      <c r="C87" s="67"/>
      <c r="D87" s="67"/>
      <c r="E87" s="67"/>
      <c r="F87" s="67"/>
      <c r="G87" s="68"/>
      <c r="H87" s="67"/>
      <c r="I87" s="67"/>
      <c r="J87" s="69"/>
      <c r="K87" s="69"/>
      <c r="L87" s="69"/>
      <c r="M87" s="69"/>
      <c r="N87" s="67"/>
      <c r="O87" s="70"/>
      <c r="P87" s="69"/>
      <c r="Q87" s="14"/>
      <c r="R87" s="15"/>
      <c r="S87" s="16"/>
      <c r="T87" s="16"/>
      <c r="U87" s="17"/>
      <c r="V87" s="17"/>
      <c r="W87" s="65"/>
      <c r="X87" s="65"/>
      <c r="Z87" s="69"/>
      <c r="AA87" s="69"/>
      <c r="AB87" s="69"/>
      <c r="AC87" s="69"/>
    </row>
    <row r="88" spans="1:29" s="66" customFormat="1">
      <c r="A88" s="67"/>
      <c r="B88" s="67"/>
      <c r="C88" s="67"/>
      <c r="D88" s="67"/>
      <c r="E88" s="67"/>
      <c r="F88" s="67"/>
      <c r="G88" s="68"/>
      <c r="H88" s="67"/>
      <c r="I88" s="67"/>
      <c r="J88" s="69"/>
      <c r="K88" s="69"/>
      <c r="L88" s="69"/>
      <c r="M88" s="69"/>
      <c r="N88" s="67"/>
      <c r="O88" s="70"/>
      <c r="P88" s="69"/>
      <c r="Q88" s="14"/>
      <c r="R88" s="15"/>
      <c r="S88" s="16"/>
      <c r="T88" s="16"/>
      <c r="U88" s="17"/>
      <c r="V88" s="17"/>
      <c r="W88" s="65"/>
      <c r="X88" s="65"/>
      <c r="Z88" s="69"/>
      <c r="AA88" s="69"/>
      <c r="AB88" s="69"/>
      <c r="AC88" s="69"/>
    </row>
    <row r="89" spans="1:29" s="66" customFormat="1">
      <c r="A89" s="67"/>
      <c r="B89" s="67"/>
      <c r="C89" s="67"/>
      <c r="D89" s="67"/>
      <c r="E89" s="67"/>
      <c r="F89" s="67"/>
      <c r="G89" s="68"/>
      <c r="H89" s="67"/>
      <c r="I89" s="67"/>
      <c r="J89" s="69"/>
      <c r="K89" s="69"/>
      <c r="L89" s="69"/>
      <c r="M89" s="69"/>
      <c r="N89" s="67"/>
      <c r="O89" s="70"/>
      <c r="P89" s="69"/>
      <c r="Q89" s="14"/>
      <c r="R89" s="15"/>
      <c r="S89" s="16"/>
      <c r="T89" s="16"/>
      <c r="U89" s="17"/>
      <c r="V89" s="17"/>
      <c r="W89" s="65"/>
      <c r="X89" s="65"/>
      <c r="Z89" s="69"/>
      <c r="AA89" s="69"/>
      <c r="AB89" s="69"/>
      <c r="AC89" s="69"/>
    </row>
    <row r="90" spans="1:29" s="66" customFormat="1">
      <c r="A90" s="67"/>
      <c r="B90" s="67"/>
      <c r="C90" s="67"/>
      <c r="D90" s="67"/>
      <c r="E90" s="67"/>
      <c r="F90" s="67"/>
      <c r="G90" s="68"/>
      <c r="H90" s="67"/>
      <c r="I90" s="67"/>
      <c r="J90" s="69"/>
      <c r="K90" s="69"/>
      <c r="L90" s="69"/>
      <c r="M90" s="69"/>
      <c r="N90" s="67"/>
      <c r="O90" s="70"/>
      <c r="P90" s="69"/>
      <c r="Q90" s="14"/>
      <c r="R90" s="15"/>
      <c r="S90" s="16"/>
      <c r="T90" s="16"/>
      <c r="U90" s="17"/>
      <c r="V90" s="17"/>
      <c r="W90" s="65"/>
      <c r="X90" s="65"/>
      <c r="Z90" s="69"/>
      <c r="AA90" s="69"/>
      <c r="AB90" s="69"/>
      <c r="AC90" s="69"/>
    </row>
    <row r="91" spans="1:29" s="66" customFormat="1">
      <c r="A91" s="67"/>
      <c r="B91" s="67"/>
      <c r="C91" s="67"/>
      <c r="D91" s="67"/>
      <c r="E91" s="67"/>
      <c r="F91" s="67"/>
      <c r="G91" s="68"/>
      <c r="H91" s="67"/>
      <c r="I91" s="67"/>
      <c r="J91" s="69"/>
      <c r="K91" s="69"/>
      <c r="L91" s="69"/>
      <c r="M91" s="69"/>
      <c r="N91" s="67"/>
      <c r="O91" s="70"/>
      <c r="P91" s="69"/>
      <c r="Q91" s="14"/>
      <c r="R91" s="15"/>
      <c r="S91" s="16"/>
      <c r="T91" s="16"/>
      <c r="U91" s="17"/>
      <c r="V91" s="17"/>
      <c r="W91" s="65"/>
      <c r="X91" s="65"/>
      <c r="Z91" s="69"/>
      <c r="AA91" s="69"/>
      <c r="AB91" s="69"/>
      <c r="AC91" s="69"/>
    </row>
    <row r="92" spans="1:29" s="66" customFormat="1">
      <c r="A92" s="67"/>
      <c r="B92" s="67"/>
      <c r="C92" s="67"/>
      <c r="D92" s="67"/>
      <c r="E92" s="67"/>
      <c r="F92" s="67"/>
      <c r="G92" s="68"/>
      <c r="H92" s="67"/>
      <c r="I92" s="67"/>
      <c r="J92" s="69"/>
      <c r="K92" s="69"/>
      <c r="L92" s="69"/>
      <c r="M92" s="69"/>
      <c r="N92" s="67"/>
      <c r="O92" s="70"/>
      <c r="P92" s="69"/>
      <c r="Q92" s="14"/>
      <c r="R92" s="15"/>
      <c r="S92" s="16"/>
      <c r="T92" s="16"/>
      <c r="U92" s="17"/>
      <c r="V92" s="17"/>
      <c r="W92" s="65"/>
      <c r="X92" s="65"/>
      <c r="Z92" s="69"/>
      <c r="AA92" s="69"/>
      <c r="AB92" s="69"/>
      <c r="AC92" s="69"/>
    </row>
    <row r="93" spans="1:29" s="66" customFormat="1">
      <c r="A93" s="67"/>
      <c r="B93" s="67"/>
      <c r="C93" s="67"/>
      <c r="D93" s="67"/>
      <c r="E93" s="67"/>
      <c r="F93" s="67"/>
      <c r="G93" s="68"/>
      <c r="H93" s="67"/>
      <c r="I93" s="67"/>
      <c r="J93" s="69"/>
      <c r="K93" s="69"/>
      <c r="L93" s="69"/>
      <c r="M93" s="69"/>
      <c r="N93" s="67"/>
      <c r="O93" s="70"/>
      <c r="P93" s="69"/>
      <c r="Q93" s="14"/>
      <c r="R93" s="15"/>
      <c r="S93" s="16"/>
      <c r="T93" s="16"/>
      <c r="U93" s="17"/>
      <c r="V93" s="17"/>
      <c r="W93" s="65"/>
      <c r="X93" s="65"/>
      <c r="Z93" s="69"/>
      <c r="AA93" s="69"/>
      <c r="AB93" s="69"/>
      <c r="AC93" s="69"/>
    </row>
    <row r="94" spans="1:29" s="66" customFormat="1">
      <c r="A94" s="67"/>
      <c r="B94" s="67"/>
      <c r="C94" s="67"/>
      <c r="D94" s="67"/>
      <c r="E94" s="67"/>
      <c r="F94" s="67"/>
      <c r="G94" s="68"/>
      <c r="H94" s="67"/>
      <c r="I94" s="67"/>
      <c r="J94" s="69"/>
      <c r="K94" s="69"/>
      <c r="L94" s="69"/>
      <c r="M94" s="69"/>
      <c r="N94" s="67"/>
      <c r="O94" s="70"/>
      <c r="P94" s="69"/>
      <c r="Q94" s="14"/>
      <c r="R94" s="15"/>
      <c r="S94" s="16"/>
      <c r="T94" s="16"/>
      <c r="U94" s="17"/>
      <c r="V94" s="17"/>
      <c r="W94" s="65"/>
      <c r="X94" s="65"/>
      <c r="Z94" s="69"/>
      <c r="AA94" s="69"/>
      <c r="AB94" s="69"/>
      <c r="AC94" s="69"/>
    </row>
    <row r="95" spans="1:29" s="66" customFormat="1">
      <c r="A95" s="67"/>
      <c r="B95" s="67"/>
      <c r="C95" s="67"/>
      <c r="D95" s="67"/>
      <c r="E95" s="67"/>
      <c r="F95" s="67"/>
      <c r="G95" s="68"/>
      <c r="H95" s="67"/>
      <c r="I95" s="67"/>
      <c r="J95" s="69"/>
      <c r="K95" s="69"/>
      <c r="L95" s="69"/>
      <c r="M95" s="69"/>
      <c r="N95" s="67"/>
      <c r="O95" s="70"/>
      <c r="P95" s="69"/>
      <c r="Q95" s="14"/>
      <c r="R95" s="15"/>
      <c r="S95" s="16"/>
      <c r="T95" s="16"/>
      <c r="U95" s="17"/>
      <c r="V95" s="17"/>
      <c r="W95" s="65"/>
      <c r="X95" s="65"/>
      <c r="Z95" s="69"/>
      <c r="AA95" s="69"/>
      <c r="AB95" s="69"/>
      <c r="AC95" s="69"/>
    </row>
    <row r="96" spans="1:29" s="66" customFormat="1">
      <c r="A96" s="67"/>
      <c r="B96" s="67"/>
      <c r="C96" s="67"/>
      <c r="D96" s="67"/>
      <c r="E96" s="67"/>
      <c r="F96" s="67"/>
      <c r="G96" s="68"/>
      <c r="H96" s="67"/>
      <c r="I96" s="67"/>
      <c r="J96" s="69"/>
      <c r="K96" s="69"/>
      <c r="L96" s="69"/>
      <c r="M96" s="69"/>
      <c r="N96" s="67"/>
      <c r="O96" s="70"/>
      <c r="P96" s="69"/>
      <c r="Q96" s="14"/>
      <c r="R96" s="15"/>
      <c r="S96" s="16"/>
      <c r="T96" s="16"/>
      <c r="U96" s="17"/>
      <c r="V96" s="17"/>
      <c r="W96" s="65"/>
      <c r="X96" s="65"/>
      <c r="Z96" s="69"/>
      <c r="AA96" s="69"/>
      <c r="AB96" s="69"/>
      <c r="AC96" s="69"/>
    </row>
    <row r="97" spans="1:29" s="66" customFormat="1">
      <c r="A97" s="67"/>
      <c r="B97" s="67"/>
      <c r="C97" s="67"/>
      <c r="D97" s="67"/>
      <c r="E97" s="67"/>
      <c r="F97" s="67"/>
      <c r="G97" s="68"/>
      <c r="H97" s="67"/>
      <c r="I97" s="67"/>
      <c r="J97" s="69"/>
      <c r="K97" s="69"/>
      <c r="L97" s="69"/>
      <c r="M97" s="69"/>
      <c r="N97" s="67"/>
      <c r="O97" s="70"/>
      <c r="P97" s="69"/>
      <c r="Q97" s="14"/>
      <c r="R97" s="15"/>
      <c r="S97" s="16"/>
      <c r="T97" s="16"/>
      <c r="U97" s="17"/>
      <c r="V97" s="17"/>
      <c r="W97" s="65"/>
      <c r="X97" s="65"/>
      <c r="Z97" s="69"/>
      <c r="AA97" s="69"/>
      <c r="AB97" s="69"/>
      <c r="AC97" s="69"/>
    </row>
    <row r="98" spans="1:29" s="66" customFormat="1">
      <c r="A98" s="67"/>
      <c r="B98" s="67"/>
      <c r="C98" s="67"/>
      <c r="D98" s="67"/>
      <c r="E98" s="67"/>
      <c r="F98" s="67"/>
      <c r="G98" s="68"/>
      <c r="H98" s="67"/>
      <c r="I98" s="67"/>
      <c r="J98" s="69"/>
      <c r="K98" s="69"/>
      <c r="L98" s="69"/>
      <c r="M98" s="69"/>
      <c r="N98" s="67"/>
      <c r="O98" s="70"/>
      <c r="P98" s="69"/>
      <c r="Q98" s="14"/>
      <c r="R98" s="15"/>
      <c r="S98" s="16"/>
      <c r="T98" s="16"/>
      <c r="U98" s="17"/>
      <c r="V98" s="17"/>
      <c r="W98" s="65"/>
      <c r="X98" s="65"/>
      <c r="Z98" s="69"/>
      <c r="AA98" s="69"/>
      <c r="AB98" s="69"/>
      <c r="AC98" s="69"/>
    </row>
    <row r="99" spans="1:29" s="66" customFormat="1">
      <c r="A99" s="67"/>
      <c r="B99" s="67"/>
      <c r="C99" s="67"/>
      <c r="D99" s="67"/>
      <c r="E99" s="67"/>
      <c r="F99" s="67"/>
      <c r="G99" s="68"/>
      <c r="H99" s="67"/>
      <c r="I99" s="67"/>
      <c r="J99" s="69"/>
      <c r="K99" s="69"/>
      <c r="L99" s="69"/>
      <c r="M99" s="69"/>
      <c r="N99" s="67"/>
      <c r="O99" s="70"/>
      <c r="P99" s="69"/>
      <c r="Q99" s="14"/>
      <c r="R99" s="15"/>
      <c r="S99" s="16"/>
      <c r="T99" s="16"/>
      <c r="U99" s="17"/>
      <c r="V99" s="17"/>
      <c r="W99" s="65"/>
      <c r="X99" s="65"/>
      <c r="Z99" s="69"/>
      <c r="AA99" s="69"/>
      <c r="AB99" s="69"/>
      <c r="AC99" s="69"/>
    </row>
    <row r="100" spans="1:29" s="66" customFormat="1">
      <c r="A100" s="67"/>
      <c r="B100" s="67"/>
      <c r="C100" s="67"/>
      <c r="D100" s="67"/>
      <c r="E100" s="67"/>
      <c r="F100" s="67"/>
      <c r="G100" s="68"/>
      <c r="H100" s="67"/>
      <c r="I100" s="67"/>
      <c r="J100" s="69"/>
      <c r="K100" s="69"/>
      <c r="L100" s="69"/>
      <c r="M100" s="69"/>
      <c r="N100" s="67"/>
      <c r="O100" s="70"/>
      <c r="P100" s="69"/>
      <c r="Q100" s="14"/>
      <c r="R100" s="15"/>
      <c r="S100" s="16"/>
      <c r="T100" s="16"/>
      <c r="U100" s="17"/>
      <c r="V100" s="17"/>
      <c r="W100" s="65"/>
      <c r="X100" s="65"/>
      <c r="Z100" s="69"/>
      <c r="AA100" s="69"/>
      <c r="AB100" s="69"/>
      <c r="AC100" s="69"/>
    </row>
    <row r="101" spans="1:29" s="66" customFormat="1">
      <c r="A101" s="67"/>
      <c r="B101" s="67"/>
      <c r="C101" s="67"/>
      <c r="D101" s="67"/>
      <c r="E101" s="67"/>
      <c r="F101" s="67"/>
      <c r="G101" s="68"/>
      <c r="H101" s="67"/>
      <c r="I101" s="67"/>
      <c r="J101" s="69"/>
      <c r="K101" s="69"/>
      <c r="L101" s="69"/>
      <c r="M101" s="69"/>
      <c r="N101" s="67"/>
      <c r="O101" s="70"/>
      <c r="P101" s="69"/>
      <c r="Q101" s="14"/>
      <c r="R101" s="15"/>
      <c r="S101" s="16"/>
      <c r="T101" s="16"/>
      <c r="U101" s="17"/>
      <c r="V101" s="17"/>
      <c r="W101" s="65"/>
      <c r="X101" s="65"/>
      <c r="Z101" s="69"/>
      <c r="AA101" s="69"/>
      <c r="AB101" s="69"/>
      <c r="AC101" s="69"/>
    </row>
    <row r="102" spans="1:29" s="66" customFormat="1">
      <c r="A102" s="67"/>
      <c r="B102" s="67"/>
      <c r="C102" s="67"/>
      <c r="D102" s="67"/>
      <c r="E102" s="67"/>
      <c r="F102" s="67"/>
      <c r="G102" s="68"/>
      <c r="H102" s="67"/>
      <c r="I102" s="67"/>
      <c r="J102" s="69"/>
      <c r="K102" s="69"/>
      <c r="L102" s="69"/>
      <c r="M102" s="69"/>
      <c r="N102" s="67"/>
      <c r="O102" s="70"/>
      <c r="P102" s="69"/>
      <c r="Q102" s="14"/>
      <c r="R102" s="15"/>
      <c r="S102" s="16"/>
      <c r="T102" s="16"/>
      <c r="U102" s="17"/>
      <c r="V102" s="17"/>
      <c r="W102" s="65"/>
      <c r="X102" s="65"/>
      <c r="Z102" s="69"/>
      <c r="AA102" s="69"/>
      <c r="AB102" s="69"/>
      <c r="AC102" s="69"/>
    </row>
    <row r="103" spans="1:29" s="66" customFormat="1">
      <c r="A103" s="67"/>
      <c r="B103" s="67"/>
      <c r="C103" s="67"/>
      <c r="D103" s="67"/>
      <c r="E103" s="67"/>
      <c r="F103" s="67"/>
      <c r="G103" s="68"/>
      <c r="H103" s="67"/>
      <c r="I103" s="67"/>
      <c r="J103" s="69"/>
      <c r="K103" s="69"/>
      <c r="L103" s="69"/>
      <c r="M103" s="69"/>
      <c r="N103" s="67"/>
      <c r="O103" s="70"/>
      <c r="P103" s="69"/>
      <c r="Q103" s="14"/>
      <c r="R103" s="15"/>
      <c r="S103" s="16"/>
      <c r="T103" s="16"/>
      <c r="U103" s="17"/>
      <c r="V103" s="17"/>
      <c r="W103" s="65"/>
      <c r="X103" s="65"/>
      <c r="Z103" s="69"/>
      <c r="AA103" s="69"/>
      <c r="AB103" s="69"/>
      <c r="AC103" s="69"/>
    </row>
    <row r="104" spans="1:29" s="66" customFormat="1">
      <c r="A104" s="67"/>
      <c r="B104" s="67"/>
      <c r="C104" s="67"/>
      <c r="D104" s="67"/>
      <c r="E104" s="67"/>
      <c r="F104" s="67"/>
      <c r="G104" s="68"/>
      <c r="H104" s="67"/>
      <c r="I104" s="67"/>
      <c r="J104" s="69"/>
      <c r="K104" s="69"/>
      <c r="L104" s="69"/>
      <c r="M104" s="69"/>
      <c r="N104" s="67"/>
      <c r="O104" s="70"/>
      <c r="P104" s="69"/>
      <c r="Q104" s="14"/>
      <c r="R104" s="15"/>
      <c r="S104" s="16"/>
      <c r="T104" s="16"/>
      <c r="U104" s="17"/>
      <c r="V104" s="17"/>
      <c r="W104" s="65"/>
      <c r="X104" s="65"/>
      <c r="Z104" s="69"/>
      <c r="AA104" s="69"/>
      <c r="AB104" s="69"/>
      <c r="AC104" s="69"/>
    </row>
    <row r="105" spans="1:29" s="66" customFormat="1">
      <c r="A105" s="67"/>
      <c r="B105" s="67"/>
      <c r="C105" s="67"/>
      <c r="D105" s="67"/>
      <c r="E105" s="67"/>
      <c r="F105" s="67"/>
      <c r="G105" s="68"/>
      <c r="H105" s="67"/>
      <c r="I105" s="67"/>
      <c r="J105" s="69"/>
      <c r="K105" s="69"/>
      <c r="L105" s="69"/>
      <c r="M105" s="69"/>
      <c r="N105" s="67"/>
      <c r="O105" s="70"/>
      <c r="P105" s="69"/>
      <c r="Q105" s="14"/>
      <c r="R105" s="15"/>
      <c r="S105" s="16"/>
      <c r="T105" s="16"/>
      <c r="U105" s="17"/>
      <c r="V105" s="17"/>
      <c r="W105" s="65"/>
      <c r="X105" s="65"/>
      <c r="Z105" s="69"/>
      <c r="AA105" s="69"/>
      <c r="AB105" s="69"/>
      <c r="AC105" s="69"/>
    </row>
    <row r="106" spans="1:29" s="66" customFormat="1">
      <c r="A106" s="67"/>
      <c r="B106" s="67"/>
      <c r="C106" s="67"/>
      <c r="D106" s="67"/>
      <c r="E106" s="67"/>
      <c r="F106" s="67"/>
      <c r="G106" s="68"/>
      <c r="H106" s="67"/>
      <c r="I106" s="67"/>
      <c r="J106" s="69"/>
      <c r="K106" s="69"/>
      <c r="L106" s="69"/>
      <c r="M106" s="69"/>
      <c r="N106" s="67"/>
      <c r="O106" s="70"/>
      <c r="P106" s="69"/>
      <c r="Q106" s="14"/>
      <c r="R106" s="15"/>
      <c r="S106" s="16"/>
      <c r="T106" s="16"/>
      <c r="U106" s="17"/>
      <c r="V106" s="17"/>
      <c r="W106" s="65"/>
      <c r="X106" s="65"/>
      <c r="Z106" s="69"/>
      <c r="AA106" s="69"/>
      <c r="AB106" s="69"/>
      <c r="AC106" s="69"/>
    </row>
    <row r="107" spans="1:29" s="66" customFormat="1">
      <c r="A107" s="67"/>
      <c r="B107" s="67"/>
      <c r="C107" s="67"/>
      <c r="D107" s="67"/>
      <c r="E107" s="67"/>
      <c r="F107" s="67"/>
      <c r="G107" s="68"/>
      <c r="H107" s="67"/>
      <c r="I107" s="67"/>
      <c r="J107" s="69"/>
      <c r="K107" s="69"/>
      <c r="L107" s="69"/>
      <c r="M107" s="69"/>
      <c r="N107" s="67"/>
      <c r="O107" s="70"/>
      <c r="P107" s="69"/>
      <c r="Q107" s="14"/>
      <c r="R107" s="15"/>
      <c r="S107" s="16"/>
      <c r="T107" s="16"/>
      <c r="U107" s="17"/>
      <c r="V107" s="17"/>
      <c r="W107" s="65"/>
      <c r="X107" s="65"/>
      <c r="Z107" s="69"/>
      <c r="AA107" s="69"/>
      <c r="AB107" s="69"/>
      <c r="AC107" s="69"/>
    </row>
    <row r="108" spans="1:29" s="66" customFormat="1">
      <c r="A108" s="67"/>
      <c r="B108" s="67"/>
      <c r="C108" s="67"/>
      <c r="D108" s="67"/>
      <c r="E108" s="67"/>
      <c r="F108" s="67"/>
      <c r="G108" s="68"/>
      <c r="H108" s="67"/>
      <c r="I108" s="67"/>
      <c r="J108" s="69"/>
      <c r="K108" s="69"/>
      <c r="L108" s="69"/>
      <c r="M108" s="69"/>
      <c r="N108" s="67"/>
      <c r="O108" s="70"/>
      <c r="P108" s="69"/>
      <c r="Q108" s="14"/>
      <c r="R108" s="15"/>
      <c r="S108" s="16"/>
      <c r="T108" s="16"/>
      <c r="U108" s="17"/>
      <c r="V108" s="17"/>
      <c r="W108" s="65"/>
      <c r="X108" s="65"/>
      <c r="Z108" s="69"/>
      <c r="AA108" s="69"/>
      <c r="AB108" s="69"/>
      <c r="AC108" s="69"/>
    </row>
    <row r="109" spans="1:29" s="66" customFormat="1">
      <c r="A109" s="67"/>
      <c r="B109" s="67"/>
      <c r="C109" s="67"/>
      <c r="D109" s="67"/>
      <c r="E109" s="67"/>
      <c r="F109" s="67"/>
      <c r="G109" s="68"/>
      <c r="H109" s="67"/>
      <c r="I109" s="67"/>
      <c r="J109" s="69"/>
      <c r="K109" s="69"/>
      <c r="L109" s="69"/>
      <c r="M109" s="69"/>
      <c r="N109" s="67"/>
      <c r="O109" s="70"/>
      <c r="P109" s="69"/>
      <c r="Q109" s="14"/>
      <c r="R109" s="15"/>
      <c r="S109" s="16"/>
      <c r="T109" s="16"/>
      <c r="U109" s="17"/>
      <c r="V109" s="17"/>
      <c r="W109" s="65"/>
      <c r="X109" s="65"/>
      <c r="Z109" s="69"/>
      <c r="AA109" s="69"/>
      <c r="AB109" s="69"/>
      <c r="AC109" s="69"/>
    </row>
    <row r="110" spans="1:29" s="66" customFormat="1">
      <c r="A110" s="67"/>
      <c r="B110" s="67"/>
      <c r="C110" s="67"/>
      <c r="D110" s="67"/>
      <c r="E110" s="67"/>
      <c r="F110" s="67"/>
      <c r="G110" s="68"/>
      <c r="H110" s="67"/>
      <c r="I110" s="67"/>
      <c r="J110" s="69"/>
      <c r="K110" s="69"/>
      <c r="L110" s="69"/>
      <c r="M110" s="69"/>
      <c r="N110" s="67"/>
      <c r="O110" s="70"/>
      <c r="P110" s="69"/>
      <c r="Q110" s="14"/>
      <c r="R110" s="15"/>
      <c r="S110" s="16"/>
      <c r="T110" s="16"/>
      <c r="U110" s="17"/>
      <c r="V110" s="17"/>
      <c r="W110" s="65"/>
      <c r="X110" s="65"/>
      <c r="Z110" s="69"/>
      <c r="AA110" s="69"/>
      <c r="AB110" s="69"/>
      <c r="AC110" s="69"/>
    </row>
    <row r="111" spans="1:29" s="66" customFormat="1">
      <c r="A111" s="67"/>
      <c r="B111" s="67"/>
      <c r="C111" s="67"/>
      <c r="D111" s="67"/>
      <c r="E111" s="67"/>
      <c r="F111" s="67"/>
      <c r="G111" s="68"/>
      <c r="H111" s="67"/>
      <c r="I111" s="67"/>
      <c r="J111" s="69"/>
      <c r="K111" s="69"/>
      <c r="L111" s="69"/>
      <c r="M111" s="69"/>
      <c r="N111" s="67"/>
      <c r="O111" s="70"/>
      <c r="P111" s="69"/>
      <c r="Q111" s="14"/>
      <c r="R111" s="15"/>
      <c r="S111" s="16"/>
      <c r="T111" s="16"/>
      <c r="U111" s="17"/>
      <c r="V111" s="17"/>
      <c r="W111" s="65"/>
      <c r="X111" s="65"/>
      <c r="Z111" s="69"/>
      <c r="AA111" s="69"/>
      <c r="AB111" s="69"/>
      <c r="AC111" s="69"/>
    </row>
    <row r="112" spans="1:29" s="66" customFormat="1">
      <c r="A112" s="67"/>
      <c r="B112" s="67"/>
      <c r="C112" s="67"/>
      <c r="D112" s="67"/>
      <c r="E112" s="67"/>
      <c r="F112" s="67"/>
      <c r="G112" s="68"/>
      <c r="H112" s="67"/>
      <c r="I112" s="67"/>
      <c r="J112" s="69"/>
      <c r="K112" s="69"/>
      <c r="L112" s="69"/>
      <c r="M112" s="69"/>
      <c r="N112" s="67"/>
      <c r="O112" s="70"/>
      <c r="P112" s="69"/>
      <c r="Q112" s="14"/>
      <c r="R112" s="15"/>
      <c r="S112" s="16"/>
      <c r="T112" s="16"/>
      <c r="U112" s="17"/>
      <c r="V112" s="17"/>
      <c r="W112" s="65"/>
      <c r="X112" s="65"/>
      <c r="Z112" s="69"/>
      <c r="AA112" s="69"/>
      <c r="AB112" s="69"/>
      <c r="AC112" s="69"/>
    </row>
    <row r="113" spans="1:29" s="66" customFormat="1">
      <c r="A113" s="67"/>
      <c r="B113" s="67"/>
      <c r="C113" s="67"/>
      <c r="D113" s="67"/>
      <c r="E113" s="67"/>
      <c r="F113" s="67"/>
      <c r="G113" s="68"/>
      <c r="H113" s="67"/>
      <c r="I113" s="67"/>
      <c r="J113" s="69"/>
      <c r="K113" s="69"/>
      <c r="L113" s="69"/>
      <c r="M113" s="69"/>
      <c r="N113" s="67"/>
      <c r="O113" s="70"/>
      <c r="P113" s="69"/>
      <c r="Q113" s="14"/>
      <c r="R113" s="15"/>
      <c r="S113" s="16"/>
      <c r="T113" s="16"/>
      <c r="U113" s="17"/>
      <c r="V113" s="17"/>
      <c r="W113" s="65"/>
      <c r="X113" s="65"/>
      <c r="Z113" s="69"/>
      <c r="AA113" s="69"/>
      <c r="AB113" s="69"/>
      <c r="AC113" s="69"/>
    </row>
    <row r="114" spans="1:29" s="66" customFormat="1">
      <c r="A114" s="67"/>
      <c r="B114" s="67"/>
      <c r="C114" s="67"/>
      <c r="D114" s="67"/>
      <c r="E114" s="67"/>
      <c r="F114" s="67"/>
      <c r="G114" s="68"/>
      <c r="H114" s="67"/>
      <c r="I114" s="67"/>
      <c r="J114" s="69"/>
      <c r="K114" s="69"/>
      <c r="L114" s="69"/>
      <c r="M114" s="69"/>
      <c r="N114" s="67"/>
      <c r="O114" s="70"/>
      <c r="P114" s="69"/>
      <c r="Q114" s="14"/>
      <c r="R114" s="15"/>
      <c r="S114" s="16"/>
      <c r="T114" s="16"/>
      <c r="U114" s="17"/>
      <c r="V114" s="17"/>
      <c r="W114" s="65"/>
      <c r="X114" s="65"/>
      <c r="Z114" s="69"/>
      <c r="AA114" s="69"/>
      <c r="AB114" s="69"/>
      <c r="AC114" s="69"/>
    </row>
    <row r="115" spans="1:29" s="66" customFormat="1">
      <c r="A115" s="67"/>
      <c r="B115" s="67"/>
      <c r="C115" s="67"/>
      <c r="D115" s="67"/>
      <c r="E115" s="67"/>
      <c r="F115" s="67"/>
      <c r="G115" s="67"/>
      <c r="H115" s="67"/>
      <c r="I115" s="67"/>
      <c r="J115" s="69"/>
      <c r="K115" s="69"/>
      <c r="L115" s="69"/>
      <c r="M115" s="69"/>
      <c r="N115" s="67"/>
      <c r="O115" s="70"/>
      <c r="P115" s="69"/>
      <c r="Q115" s="14"/>
      <c r="R115" s="15"/>
      <c r="S115" s="16"/>
      <c r="T115" s="16"/>
      <c r="U115" s="17"/>
      <c r="V115" s="17"/>
      <c r="W115" s="65"/>
      <c r="X115" s="65"/>
      <c r="Z115" s="69"/>
      <c r="AA115" s="69"/>
      <c r="AB115" s="69"/>
      <c r="AC115" s="69"/>
    </row>
    <row r="116" spans="1:29" s="66" customFormat="1">
      <c r="A116" s="67"/>
      <c r="B116" s="67"/>
      <c r="C116" s="67"/>
      <c r="D116" s="67"/>
      <c r="E116" s="67"/>
      <c r="F116" s="67"/>
      <c r="G116" s="67"/>
      <c r="H116" s="67"/>
      <c r="I116" s="67"/>
      <c r="J116" s="69"/>
      <c r="K116" s="69"/>
      <c r="L116" s="69"/>
      <c r="M116" s="69"/>
      <c r="N116" s="67"/>
      <c r="O116" s="70"/>
      <c r="P116" s="69"/>
      <c r="Q116" s="14"/>
      <c r="R116" s="15"/>
      <c r="S116" s="16"/>
      <c r="T116" s="16"/>
      <c r="U116" s="17"/>
      <c r="V116" s="17"/>
      <c r="W116" s="65"/>
      <c r="X116" s="65"/>
      <c r="Z116" s="69"/>
      <c r="AA116" s="69"/>
      <c r="AB116" s="69"/>
      <c r="AC116" s="69"/>
    </row>
    <row r="117" spans="1:29" s="66" customFormat="1">
      <c r="A117" s="67"/>
      <c r="B117" s="67"/>
      <c r="C117" s="67"/>
      <c r="D117" s="67"/>
      <c r="E117" s="67"/>
      <c r="F117" s="67"/>
      <c r="G117" s="67"/>
      <c r="H117" s="67"/>
      <c r="I117" s="67"/>
      <c r="J117" s="69"/>
      <c r="K117" s="69"/>
      <c r="L117" s="69"/>
      <c r="M117" s="69"/>
      <c r="N117" s="67"/>
      <c r="O117" s="70"/>
      <c r="P117" s="69"/>
      <c r="Q117" s="14"/>
      <c r="R117" s="15"/>
      <c r="S117" s="16"/>
      <c r="T117" s="16"/>
      <c r="U117" s="17"/>
      <c r="V117" s="17"/>
      <c r="W117" s="65"/>
      <c r="X117" s="65"/>
      <c r="Z117" s="69"/>
      <c r="AA117" s="69"/>
      <c r="AB117" s="69"/>
      <c r="AC117" s="69"/>
    </row>
    <row r="118" spans="1:29" s="66" customFormat="1">
      <c r="A118" s="67"/>
      <c r="B118" s="67"/>
      <c r="C118" s="67"/>
      <c r="D118" s="67"/>
      <c r="E118" s="67"/>
      <c r="F118" s="67"/>
      <c r="G118" s="67"/>
      <c r="H118" s="67"/>
      <c r="I118" s="67"/>
      <c r="J118" s="69"/>
      <c r="K118" s="69"/>
      <c r="L118" s="69"/>
      <c r="M118" s="69"/>
      <c r="N118" s="67"/>
      <c r="O118" s="70"/>
      <c r="P118" s="69"/>
      <c r="Q118" s="14"/>
      <c r="R118" s="15"/>
      <c r="S118" s="16"/>
      <c r="T118" s="16"/>
      <c r="U118" s="17"/>
      <c r="V118" s="17"/>
      <c r="W118" s="65"/>
      <c r="X118" s="65"/>
      <c r="Z118" s="69"/>
      <c r="AA118" s="69"/>
      <c r="AB118" s="69"/>
      <c r="AC118" s="69"/>
    </row>
    <row r="119" spans="1:29" s="66" customFormat="1">
      <c r="A119" s="67"/>
      <c r="B119" s="67"/>
      <c r="C119" s="67"/>
      <c r="D119" s="67"/>
      <c r="E119" s="67"/>
      <c r="F119" s="67"/>
      <c r="G119" s="67"/>
      <c r="H119" s="67"/>
      <c r="I119" s="67"/>
      <c r="J119" s="69"/>
      <c r="K119" s="69"/>
      <c r="L119" s="69"/>
      <c r="M119" s="69"/>
      <c r="N119" s="67"/>
      <c r="O119" s="70"/>
      <c r="P119" s="69"/>
      <c r="Q119" s="14"/>
      <c r="R119" s="15"/>
      <c r="S119" s="16"/>
      <c r="T119" s="16"/>
      <c r="U119" s="17"/>
      <c r="V119" s="17"/>
      <c r="W119" s="65"/>
      <c r="X119" s="65"/>
      <c r="Z119" s="69"/>
      <c r="AA119" s="69"/>
      <c r="AB119" s="69"/>
      <c r="AC119" s="69"/>
    </row>
    <row r="120" spans="1:29" s="66" customFormat="1">
      <c r="A120" s="67"/>
      <c r="B120" s="67"/>
      <c r="C120" s="67"/>
      <c r="D120" s="67"/>
      <c r="E120" s="67"/>
      <c r="F120" s="67"/>
      <c r="G120" s="67"/>
      <c r="H120" s="67"/>
      <c r="I120" s="67"/>
      <c r="J120" s="69"/>
      <c r="K120" s="69"/>
      <c r="L120" s="69"/>
      <c r="M120" s="69"/>
      <c r="N120" s="67"/>
      <c r="O120" s="70"/>
      <c r="P120" s="69"/>
      <c r="Q120" s="14"/>
      <c r="R120" s="15"/>
      <c r="S120" s="16"/>
      <c r="T120" s="16"/>
      <c r="U120" s="17"/>
      <c r="V120" s="17"/>
      <c r="W120" s="65"/>
      <c r="X120" s="65"/>
      <c r="Z120" s="69"/>
      <c r="AA120" s="69"/>
      <c r="AB120" s="69"/>
      <c r="AC120" s="69"/>
    </row>
    <row r="121" spans="1:29" s="66" customFormat="1">
      <c r="A121" s="67"/>
      <c r="B121" s="67"/>
      <c r="C121" s="67"/>
      <c r="D121" s="67"/>
      <c r="E121" s="67"/>
      <c r="F121" s="67"/>
      <c r="G121" s="67"/>
      <c r="H121" s="67"/>
      <c r="I121" s="67"/>
      <c r="J121" s="69"/>
      <c r="K121" s="69"/>
      <c r="L121" s="69"/>
      <c r="M121" s="69"/>
      <c r="N121" s="67"/>
      <c r="O121" s="70"/>
      <c r="P121" s="69"/>
      <c r="Q121" s="14"/>
      <c r="R121" s="15"/>
      <c r="S121" s="16"/>
      <c r="T121" s="16"/>
      <c r="U121" s="17"/>
      <c r="V121" s="17"/>
      <c r="W121" s="65"/>
      <c r="X121" s="65"/>
      <c r="Z121" s="69"/>
      <c r="AA121" s="69"/>
      <c r="AB121" s="69"/>
      <c r="AC121" s="69"/>
    </row>
    <row r="122" spans="1:29" s="66" customFormat="1">
      <c r="A122" s="67"/>
      <c r="B122" s="67"/>
      <c r="C122" s="67"/>
      <c r="D122" s="67"/>
      <c r="E122" s="67"/>
      <c r="F122" s="67"/>
      <c r="G122" s="67"/>
      <c r="H122" s="67"/>
      <c r="I122" s="67"/>
      <c r="J122" s="69"/>
      <c r="K122" s="69"/>
      <c r="L122" s="69"/>
      <c r="M122" s="69"/>
      <c r="N122" s="67"/>
      <c r="O122" s="70"/>
      <c r="P122" s="69"/>
      <c r="Q122" s="14"/>
      <c r="R122" s="15"/>
      <c r="S122" s="16"/>
      <c r="T122" s="16"/>
      <c r="U122" s="17"/>
      <c r="V122" s="17"/>
      <c r="W122" s="65"/>
      <c r="X122" s="65"/>
      <c r="Z122" s="69"/>
      <c r="AA122" s="69"/>
      <c r="AB122" s="69"/>
      <c r="AC122" s="69"/>
    </row>
    <row r="123" spans="1:29">
      <c r="B123" s="67"/>
      <c r="C123" s="67"/>
      <c r="D123" s="67"/>
      <c r="E123" s="67"/>
      <c r="F123" s="67"/>
      <c r="G123" s="67"/>
      <c r="H123" s="67"/>
      <c r="I123" s="67"/>
      <c r="J123" s="69"/>
      <c r="K123" s="69"/>
      <c r="L123" s="69"/>
      <c r="M123" s="69"/>
      <c r="N123" s="67"/>
      <c r="O123" s="70"/>
      <c r="P123" s="69"/>
    </row>
    <row r="124" spans="1:29">
      <c r="B124" s="67"/>
      <c r="C124" s="67"/>
      <c r="D124" s="67"/>
      <c r="E124" s="67"/>
      <c r="F124" s="67"/>
      <c r="G124" s="67"/>
      <c r="H124" s="67"/>
      <c r="I124" s="67"/>
      <c r="J124" s="69"/>
      <c r="K124" s="69"/>
      <c r="L124" s="69"/>
      <c r="M124" s="69"/>
      <c r="N124" s="67"/>
      <c r="O124" s="70"/>
      <c r="P124" s="69"/>
    </row>
    <row r="125" spans="1:29">
      <c r="B125" s="67"/>
      <c r="C125" s="67"/>
      <c r="D125" s="67"/>
      <c r="E125" s="67"/>
      <c r="F125" s="67"/>
      <c r="G125" s="67"/>
      <c r="H125" s="67"/>
      <c r="I125" s="67"/>
      <c r="J125" s="69"/>
      <c r="K125" s="69"/>
      <c r="L125" s="69"/>
      <c r="M125" s="69"/>
      <c r="N125" s="67"/>
      <c r="O125" s="70"/>
      <c r="P125" s="69"/>
    </row>
    <row r="126" spans="1:29">
      <c r="B126" s="67"/>
      <c r="C126" s="67"/>
      <c r="D126" s="67"/>
      <c r="E126" s="67"/>
      <c r="F126" s="67"/>
      <c r="G126" s="67"/>
      <c r="H126" s="67"/>
      <c r="I126" s="67"/>
      <c r="J126" s="69"/>
      <c r="K126" s="69"/>
      <c r="L126" s="69"/>
      <c r="M126" s="69"/>
      <c r="N126" s="67"/>
      <c r="O126" s="70"/>
      <c r="P126" s="69"/>
    </row>
    <row r="127" spans="1:29">
      <c r="B127" s="67"/>
      <c r="C127" s="67"/>
      <c r="D127" s="67"/>
      <c r="E127" s="67"/>
      <c r="F127" s="67"/>
      <c r="G127" s="67"/>
      <c r="H127" s="67"/>
      <c r="I127" s="67"/>
      <c r="J127" s="69"/>
      <c r="K127" s="69"/>
      <c r="L127" s="69"/>
      <c r="M127" s="69"/>
      <c r="N127" s="67"/>
      <c r="O127" s="70"/>
      <c r="P127" s="69"/>
    </row>
    <row r="128" spans="1:29">
      <c r="B128" s="67"/>
      <c r="C128" s="67"/>
      <c r="D128" s="67"/>
      <c r="E128" s="67"/>
      <c r="F128" s="67"/>
      <c r="G128" s="67"/>
      <c r="H128" s="67"/>
      <c r="I128" s="67"/>
      <c r="J128" s="69"/>
      <c r="K128" s="69"/>
      <c r="L128" s="69"/>
      <c r="M128" s="69"/>
      <c r="N128" s="67"/>
      <c r="O128" s="70"/>
      <c r="P128" s="69"/>
    </row>
    <row r="129" spans="2:16">
      <c r="B129" s="67"/>
      <c r="C129" s="67"/>
      <c r="D129" s="67"/>
      <c r="E129" s="67"/>
      <c r="F129" s="67"/>
      <c r="G129" s="67"/>
      <c r="H129" s="67"/>
      <c r="I129" s="67"/>
      <c r="J129" s="69"/>
      <c r="K129" s="69"/>
      <c r="L129" s="69"/>
      <c r="M129" s="69"/>
      <c r="N129" s="67"/>
      <c r="O129" s="70"/>
      <c r="P129" s="69"/>
    </row>
    <row r="130" spans="2:16">
      <c r="B130" s="67"/>
      <c r="C130" s="67"/>
      <c r="D130" s="67"/>
      <c r="E130" s="67"/>
      <c r="F130" s="67"/>
      <c r="G130" s="67"/>
      <c r="H130" s="67"/>
      <c r="I130" s="67"/>
      <c r="J130" s="69"/>
      <c r="K130" s="69"/>
      <c r="L130" s="69"/>
      <c r="M130" s="69"/>
      <c r="N130" s="67"/>
      <c r="O130" s="70"/>
      <c r="P130" s="69"/>
    </row>
    <row r="131" spans="2:16">
      <c r="B131" s="67"/>
      <c r="C131" s="67"/>
      <c r="D131" s="67"/>
      <c r="E131" s="67"/>
      <c r="F131" s="67"/>
      <c r="G131" s="67"/>
      <c r="H131" s="67"/>
      <c r="I131" s="67"/>
      <c r="J131" s="69"/>
      <c r="K131" s="69"/>
      <c r="L131" s="69"/>
      <c r="M131" s="69"/>
      <c r="N131" s="67"/>
      <c r="O131" s="70"/>
      <c r="P131" s="69"/>
    </row>
    <row r="132" spans="2:16">
      <c r="B132" s="67"/>
      <c r="C132" s="67"/>
      <c r="D132" s="67"/>
      <c r="E132" s="67"/>
      <c r="F132" s="67"/>
      <c r="G132" s="67"/>
      <c r="H132" s="67"/>
      <c r="I132" s="67"/>
      <c r="J132" s="69"/>
      <c r="K132" s="69"/>
      <c r="L132" s="69"/>
      <c r="M132" s="69"/>
      <c r="N132" s="67"/>
      <c r="O132" s="70"/>
      <c r="P132" s="69"/>
    </row>
    <row r="133" spans="2:16">
      <c r="B133" s="67"/>
      <c r="C133" s="67"/>
      <c r="D133" s="67"/>
      <c r="E133" s="67"/>
      <c r="F133" s="67"/>
      <c r="G133" s="67"/>
      <c r="H133" s="67"/>
      <c r="I133" s="67"/>
      <c r="J133" s="69"/>
      <c r="K133" s="69"/>
      <c r="L133" s="69"/>
      <c r="M133" s="69"/>
      <c r="N133" s="67"/>
      <c r="O133" s="70"/>
      <c r="P133" s="69"/>
    </row>
    <row r="134" spans="2:16">
      <c r="B134" s="67"/>
      <c r="C134" s="67"/>
      <c r="D134" s="67"/>
      <c r="E134" s="67"/>
      <c r="F134" s="67"/>
      <c r="G134" s="67"/>
      <c r="H134" s="67"/>
      <c r="I134" s="67"/>
      <c r="J134" s="69"/>
      <c r="K134" s="69"/>
      <c r="L134" s="69"/>
      <c r="M134" s="69"/>
      <c r="N134" s="67"/>
      <c r="O134" s="70"/>
      <c r="P134" s="69"/>
    </row>
    <row r="135" spans="2:16">
      <c r="B135" s="67"/>
      <c r="C135" s="67"/>
      <c r="D135" s="67"/>
      <c r="E135" s="67"/>
      <c r="F135" s="67"/>
      <c r="G135" s="67"/>
      <c r="H135" s="67"/>
      <c r="I135" s="67"/>
      <c r="J135" s="69"/>
      <c r="K135" s="69"/>
      <c r="L135" s="69"/>
      <c r="M135" s="69"/>
      <c r="N135" s="67"/>
      <c r="O135" s="70"/>
      <c r="P135" s="69"/>
    </row>
    <row r="136" spans="2:16">
      <c r="B136" s="67"/>
      <c r="C136" s="67"/>
      <c r="D136" s="67"/>
      <c r="E136" s="67"/>
      <c r="F136" s="67"/>
      <c r="G136" s="67"/>
      <c r="H136" s="67"/>
      <c r="I136" s="67"/>
      <c r="J136" s="69"/>
      <c r="K136" s="69"/>
      <c r="L136" s="69"/>
      <c r="M136" s="69"/>
      <c r="N136" s="67"/>
      <c r="O136" s="70"/>
      <c r="P136" s="69"/>
    </row>
    <row r="137" spans="2:16">
      <c r="B137" s="67"/>
      <c r="C137" s="67"/>
      <c r="D137" s="67"/>
      <c r="E137" s="67"/>
      <c r="F137" s="67"/>
      <c r="G137" s="67"/>
      <c r="H137" s="67"/>
      <c r="I137" s="67"/>
      <c r="J137" s="69"/>
      <c r="K137" s="69"/>
      <c r="L137" s="69"/>
      <c r="M137" s="69"/>
      <c r="N137" s="67"/>
      <c r="O137" s="70"/>
      <c r="P137" s="69"/>
    </row>
    <row r="138" spans="2:16">
      <c r="B138" s="67"/>
      <c r="C138" s="67"/>
      <c r="D138" s="67"/>
      <c r="E138" s="67"/>
      <c r="F138" s="67"/>
      <c r="G138" s="67"/>
      <c r="H138" s="67"/>
      <c r="I138" s="67"/>
      <c r="J138" s="69"/>
      <c r="K138" s="69"/>
      <c r="L138" s="69"/>
      <c r="M138" s="69"/>
      <c r="N138" s="67"/>
      <c r="O138" s="70"/>
      <c r="P138" s="69"/>
    </row>
    <row r="139" spans="2:16">
      <c r="B139" s="67"/>
      <c r="C139" s="67"/>
      <c r="D139" s="67"/>
      <c r="E139" s="67"/>
      <c r="F139" s="67"/>
      <c r="G139" s="67"/>
      <c r="H139" s="67"/>
      <c r="I139" s="67"/>
      <c r="J139" s="69"/>
      <c r="K139" s="69"/>
      <c r="L139" s="69"/>
      <c r="M139" s="69"/>
      <c r="N139" s="67"/>
      <c r="O139" s="70"/>
      <c r="P139" s="69"/>
    </row>
    <row r="140" spans="2:16">
      <c r="B140" s="67"/>
      <c r="C140" s="67"/>
      <c r="D140" s="67"/>
      <c r="E140" s="67"/>
      <c r="F140" s="67"/>
      <c r="G140" s="67"/>
      <c r="H140" s="67"/>
      <c r="I140" s="67"/>
      <c r="J140" s="69"/>
      <c r="K140" s="69"/>
      <c r="L140" s="69"/>
      <c r="M140" s="69"/>
      <c r="N140" s="67"/>
      <c r="O140" s="70"/>
      <c r="P140" s="69"/>
    </row>
    <row r="141" spans="2:16">
      <c r="B141" s="67"/>
      <c r="C141" s="67"/>
      <c r="D141" s="67"/>
      <c r="E141" s="67"/>
      <c r="F141" s="67"/>
      <c r="G141" s="67"/>
      <c r="H141" s="67"/>
      <c r="I141" s="67"/>
      <c r="J141" s="69"/>
      <c r="K141" s="69"/>
      <c r="L141" s="69"/>
      <c r="M141" s="69"/>
      <c r="N141" s="67"/>
      <c r="O141" s="70"/>
      <c r="P141" s="69"/>
    </row>
    <row r="142" spans="2:16">
      <c r="B142" s="67"/>
      <c r="C142" s="67"/>
      <c r="D142" s="67"/>
      <c r="E142" s="67"/>
      <c r="F142" s="67"/>
      <c r="G142" s="67"/>
      <c r="H142" s="67"/>
      <c r="I142" s="67"/>
      <c r="J142" s="69"/>
      <c r="K142" s="69"/>
      <c r="L142" s="69"/>
      <c r="M142" s="69"/>
      <c r="N142" s="67"/>
      <c r="O142" s="70"/>
      <c r="P142" s="69"/>
    </row>
    <row r="143" spans="2:16">
      <c r="B143" s="67"/>
      <c r="C143" s="67"/>
      <c r="D143" s="67"/>
      <c r="E143" s="67"/>
      <c r="F143" s="67"/>
      <c r="G143" s="67"/>
      <c r="H143" s="67"/>
      <c r="I143" s="67"/>
      <c r="J143" s="69"/>
      <c r="K143" s="69"/>
      <c r="L143" s="69"/>
      <c r="M143" s="69"/>
      <c r="N143" s="67"/>
      <c r="O143" s="70"/>
      <c r="P143" s="69"/>
    </row>
    <row r="144" spans="2:16">
      <c r="B144" s="67"/>
      <c r="C144" s="67"/>
      <c r="D144" s="67"/>
      <c r="E144" s="67"/>
      <c r="F144" s="67"/>
      <c r="G144" s="67"/>
      <c r="H144" s="67"/>
      <c r="I144" s="67"/>
      <c r="J144" s="69"/>
      <c r="K144" s="69"/>
      <c r="L144" s="69"/>
      <c r="M144" s="69"/>
      <c r="N144" s="67"/>
      <c r="O144" s="70"/>
      <c r="P144" s="69"/>
    </row>
    <row r="145" spans="2:16">
      <c r="B145" s="67"/>
      <c r="C145" s="67"/>
      <c r="D145" s="67"/>
      <c r="E145" s="67"/>
      <c r="F145" s="67"/>
      <c r="G145" s="67"/>
      <c r="H145" s="67"/>
      <c r="I145" s="67"/>
      <c r="J145" s="69"/>
      <c r="K145" s="69"/>
      <c r="L145" s="69"/>
      <c r="M145" s="69"/>
      <c r="N145" s="67"/>
      <c r="O145" s="70"/>
      <c r="P145" s="69"/>
    </row>
    <row r="146" spans="2:16">
      <c r="B146" s="67"/>
      <c r="C146" s="67"/>
      <c r="D146" s="67"/>
      <c r="E146" s="67"/>
      <c r="F146" s="67"/>
      <c r="G146" s="67"/>
      <c r="H146" s="67"/>
      <c r="I146" s="67"/>
      <c r="J146" s="69"/>
      <c r="K146" s="69"/>
      <c r="L146" s="69"/>
      <c r="M146" s="69"/>
      <c r="N146" s="67"/>
      <c r="O146" s="70"/>
      <c r="P146" s="69"/>
    </row>
    <row r="147" spans="2:16">
      <c r="B147" s="67"/>
      <c r="C147" s="67"/>
      <c r="D147" s="67"/>
      <c r="E147" s="67"/>
      <c r="F147" s="67"/>
      <c r="G147" s="67"/>
      <c r="H147" s="67"/>
      <c r="I147" s="67"/>
      <c r="J147" s="69"/>
      <c r="K147" s="69"/>
      <c r="L147" s="69"/>
      <c r="M147" s="69"/>
      <c r="N147" s="67"/>
      <c r="O147" s="70"/>
      <c r="P147" s="69"/>
    </row>
    <row r="148" spans="2:16">
      <c r="B148" s="67"/>
      <c r="C148" s="67"/>
      <c r="D148" s="67"/>
      <c r="E148" s="67"/>
      <c r="F148" s="67"/>
      <c r="G148" s="67"/>
      <c r="H148" s="67"/>
      <c r="I148" s="67"/>
      <c r="J148" s="69"/>
      <c r="K148" s="69"/>
      <c r="L148" s="69"/>
      <c r="M148" s="69"/>
      <c r="N148" s="67"/>
      <c r="O148" s="70"/>
      <c r="P148" s="69"/>
    </row>
    <row r="149" spans="2:16">
      <c r="B149" s="67"/>
      <c r="C149" s="67"/>
      <c r="D149" s="67"/>
      <c r="E149" s="67"/>
      <c r="F149" s="67"/>
      <c r="G149" s="67"/>
      <c r="H149" s="67"/>
      <c r="I149" s="67"/>
      <c r="J149" s="69"/>
      <c r="K149" s="69"/>
      <c r="L149" s="69"/>
      <c r="M149" s="69"/>
      <c r="N149" s="67"/>
      <c r="O149" s="70"/>
      <c r="P149" s="69"/>
    </row>
    <row r="150" spans="2:16">
      <c r="B150" s="67"/>
      <c r="C150" s="67"/>
      <c r="D150" s="67"/>
      <c r="E150" s="67"/>
      <c r="F150" s="67"/>
      <c r="G150" s="67"/>
      <c r="H150" s="67"/>
      <c r="I150" s="67"/>
      <c r="J150" s="69"/>
      <c r="K150" s="69"/>
      <c r="L150" s="69"/>
      <c r="M150" s="69"/>
      <c r="N150" s="67"/>
      <c r="O150" s="70"/>
      <c r="P150" s="69"/>
    </row>
    <row r="151" spans="2:16">
      <c r="B151" s="67"/>
      <c r="C151" s="67"/>
      <c r="D151" s="67"/>
      <c r="E151" s="67"/>
      <c r="F151" s="67"/>
      <c r="G151" s="67"/>
      <c r="H151" s="67"/>
      <c r="I151" s="67"/>
      <c r="J151" s="69"/>
      <c r="K151" s="69"/>
      <c r="L151" s="69"/>
      <c r="M151" s="69"/>
      <c r="N151" s="67"/>
      <c r="O151" s="70"/>
      <c r="P151" s="69"/>
    </row>
    <row r="152" spans="2:16">
      <c r="B152" s="67"/>
      <c r="C152" s="67"/>
      <c r="D152" s="67"/>
      <c r="E152" s="67"/>
      <c r="F152" s="67"/>
      <c r="G152" s="67"/>
      <c r="H152" s="67"/>
      <c r="I152" s="67"/>
      <c r="J152" s="69"/>
      <c r="K152" s="69"/>
      <c r="L152" s="69"/>
      <c r="M152" s="69"/>
      <c r="N152" s="67"/>
      <c r="O152" s="70"/>
      <c r="P152" s="69"/>
    </row>
    <row r="153" spans="2:16">
      <c r="B153" s="67"/>
      <c r="C153" s="67"/>
      <c r="D153" s="67"/>
      <c r="E153" s="67"/>
      <c r="F153" s="67"/>
      <c r="G153" s="67"/>
      <c r="H153" s="67"/>
      <c r="I153" s="67"/>
      <c r="J153" s="69"/>
      <c r="K153" s="69"/>
      <c r="L153" s="69"/>
      <c r="M153" s="69"/>
      <c r="N153" s="67"/>
      <c r="O153" s="70"/>
      <c r="P153" s="69"/>
    </row>
    <row r="154" spans="2:16">
      <c r="B154" s="67"/>
      <c r="C154" s="67"/>
      <c r="D154" s="67"/>
      <c r="E154" s="67"/>
      <c r="F154" s="67"/>
      <c r="G154" s="67"/>
      <c r="H154" s="67"/>
      <c r="I154" s="67"/>
      <c r="J154" s="69"/>
      <c r="K154" s="69"/>
      <c r="L154" s="69"/>
      <c r="M154" s="69"/>
      <c r="N154" s="67"/>
      <c r="O154" s="70"/>
      <c r="P154" s="69"/>
    </row>
    <row r="155" spans="2:16">
      <c r="B155" s="67"/>
      <c r="C155" s="67"/>
      <c r="D155" s="67"/>
      <c r="E155" s="67"/>
      <c r="F155" s="67"/>
      <c r="G155" s="67"/>
      <c r="H155" s="67"/>
      <c r="I155" s="67"/>
      <c r="J155" s="69"/>
      <c r="K155" s="69"/>
      <c r="L155" s="69"/>
      <c r="M155" s="69"/>
      <c r="N155" s="67"/>
      <c r="O155" s="70"/>
      <c r="P155" s="69"/>
    </row>
    <row r="156" spans="2:16">
      <c r="B156" s="67"/>
      <c r="C156" s="67"/>
      <c r="D156" s="67"/>
      <c r="E156" s="67"/>
      <c r="F156" s="67"/>
      <c r="G156" s="67"/>
      <c r="H156" s="67"/>
      <c r="I156" s="67"/>
      <c r="J156" s="69"/>
      <c r="K156" s="69"/>
      <c r="L156" s="69"/>
      <c r="M156" s="69"/>
      <c r="N156" s="67"/>
      <c r="O156" s="70"/>
      <c r="P156" s="69"/>
    </row>
    <row r="157" spans="2:16">
      <c r="B157" s="67"/>
      <c r="C157" s="67"/>
      <c r="D157" s="67"/>
      <c r="E157" s="67"/>
      <c r="F157" s="67"/>
      <c r="G157" s="67"/>
      <c r="H157" s="67"/>
      <c r="I157" s="67"/>
      <c r="J157" s="69"/>
      <c r="K157" s="69"/>
      <c r="L157" s="69"/>
      <c r="M157" s="69"/>
      <c r="N157" s="67"/>
      <c r="O157" s="70"/>
      <c r="P157" s="69"/>
    </row>
    <row r="158" spans="2:16">
      <c r="B158" s="67"/>
      <c r="C158" s="67"/>
      <c r="D158" s="67"/>
      <c r="E158" s="67"/>
      <c r="F158" s="67"/>
      <c r="G158" s="67"/>
      <c r="H158" s="67"/>
      <c r="I158" s="67"/>
      <c r="J158" s="69"/>
      <c r="K158" s="69"/>
      <c r="L158" s="69"/>
      <c r="M158" s="69"/>
      <c r="N158" s="67"/>
      <c r="O158" s="70"/>
      <c r="P158" s="69"/>
    </row>
    <row r="159" spans="2:16">
      <c r="B159" s="67"/>
      <c r="C159" s="67"/>
      <c r="D159" s="67"/>
      <c r="E159" s="67"/>
      <c r="F159" s="67"/>
      <c r="G159" s="67"/>
      <c r="H159" s="67"/>
      <c r="I159" s="67"/>
      <c r="J159" s="69"/>
      <c r="K159" s="69"/>
      <c r="L159" s="69"/>
      <c r="M159" s="69"/>
      <c r="N159" s="67"/>
      <c r="O159" s="70"/>
      <c r="P159" s="69"/>
    </row>
    <row r="160" spans="2:16">
      <c r="B160" s="67"/>
      <c r="C160" s="67"/>
      <c r="D160" s="67"/>
      <c r="E160" s="67"/>
      <c r="F160" s="67"/>
      <c r="G160" s="67"/>
      <c r="H160" s="67"/>
      <c r="I160" s="67"/>
      <c r="J160" s="69"/>
      <c r="K160" s="69"/>
      <c r="L160" s="69"/>
      <c r="M160" s="69"/>
      <c r="N160" s="67"/>
      <c r="O160" s="70"/>
      <c r="P160" s="69"/>
    </row>
    <row r="161" spans="2:16">
      <c r="B161" s="67"/>
      <c r="C161" s="67"/>
      <c r="D161" s="67"/>
      <c r="E161" s="67"/>
      <c r="F161" s="67"/>
      <c r="G161" s="67"/>
      <c r="H161" s="67"/>
      <c r="I161" s="67"/>
      <c r="J161" s="69"/>
      <c r="K161" s="69"/>
      <c r="L161" s="69"/>
      <c r="M161" s="69"/>
      <c r="N161" s="67"/>
      <c r="O161" s="70"/>
      <c r="P161" s="69"/>
    </row>
    <row r="162" spans="2:16">
      <c r="B162" s="67"/>
      <c r="C162" s="67"/>
      <c r="D162" s="67"/>
      <c r="E162" s="67"/>
      <c r="F162" s="67"/>
      <c r="G162" s="67"/>
      <c r="H162" s="67"/>
      <c r="I162" s="67"/>
      <c r="J162" s="69"/>
      <c r="K162" s="69"/>
      <c r="L162" s="69"/>
      <c r="M162" s="69"/>
      <c r="N162" s="67"/>
      <c r="O162" s="70"/>
      <c r="P162" s="69"/>
    </row>
    <row r="163" spans="2:16">
      <c r="B163" s="67"/>
      <c r="C163" s="67"/>
      <c r="D163" s="67"/>
      <c r="E163" s="67"/>
      <c r="F163" s="67"/>
      <c r="G163" s="67"/>
      <c r="H163" s="67"/>
      <c r="I163" s="67"/>
      <c r="J163" s="69"/>
      <c r="K163" s="69"/>
      <c r="L163" s="69"/>
      <c r="M163" s="69"/>
      <c r="N163" s="67"/>
      <c r="O163" s="70"/>
      <c r="P163" s="69"/>
    </row>
    <row r="164" spans="2:16">
      <c r="B164" s="67"/>
      <c r="C164" s="67"/>
      <c r="D164" s="67"/>
      <c r="E164" s="67"/>
      <c r="F164" s="67"/>
      <c r="G164" s="67"/>
      <c r="H164" s="67"/>
      <c r="I164" s="67"/>
      <c r="J164" s="69"/>
      <c r="K164" s="69"/>
      <c r="L164" s="69"/>
      <c r="M164" s="69"/>
      <c r="N164" s="67"/>
      <c r="O164" s="70"/>
      <c r="P164" s="69"/>
    </row>
    <row r="165" spans="2:16">
      <c r="B165" s="67"/>
      <c r="C165" s="67"/>
      <c r="D165" s="67"/>
      <c r="E165" s="67"/>
      <c r="F165" s="67"/>
      <c r="G165" s="67"/>
      <c r="H165" s="67"/>
      <c r="I165" s="67"/>
      <c r="J165" s="69"/>
      <c r="K165" s="69"/>
      <c r="L165" s="69"/>
      <c r="M165" s="69"/>
      <c r="N165" s="67"/>
      <c r="O165" s="70"/>
      <c r="P165" s="69"/>
    </row>
    <row r="166" spans="2:16">
      <c r="B166" s="67"/>
      <c r="C166" s="67"/>
      <c r="D166" s="67"/>
      <c r="E166" s="67"/>
      <c r="F166" s="67"/>
      <c r="G166" s="67"/>
      <c r="H166" s="67"/>
      <c r="I166" s="67"/>
      <c r="J166" s="69"/>
      <c r="K166" s="69"/>
      <c r="L166" s="69"/>
      <c r="M166" s="69"/>
      <c r="N166" s="67"/>
      <c r="O166" s="70"/>
      <c r="P166" s="69"/>
    </row>
    <row r="167" spans="2:16">
      <c r="B167" s="67"/>
      <c r="C167" s="67"/>
      <c r="D167" s="67"/>
      <c r="E167" s="67"/>
      <c r="F167" s="67"/>
      <c r="G167" s="67"/>
      <c r="H167" s="67"/>
      <c r="I167" s="67"/>
      <c r="J167" s="69"/>
      <c r="K167" s="69"/>
      <c r="L167" s="69"/>
      <c r="M167" s="69"/>
      <c r="N167" s="67"/>
      <c r="O167" s="70"/>
      <c r="P167" s="69"/>
    </row>
    <row r="168" spans="2:16">
      <c r="B168" s="67"/>
      <c r="C168" s="67"/>
      <c r="D168" s="67"/>
      <c r="E168" s="67"/>
      <c r="F168" s="67"/>
      <c r="G168" s="67"/>
      <c r="H168" s="67"/>
      <c r="I168" s="67"/>
      <c r="J168" s="69"/>
      <c r="K168" s="69"/>
      <c r="L168" s="69"/>
      <c r="M168" s="69"/>
      <c r="N168" s="67"/>
      <c r="O168" s="70"/>
      <c r="P168" s="69"/>
    </row>
    <row r="169" spans="2:16">
      <c r="B169" s="67"/>
      <c r="C169" s="67"/>
      <c r="D169" s="67"/>
      <c r="E169" s="67"/>
      <c r="F169" s="67"/>
      <c r="G169" s="67"/>
      <c r="H169" s="67"/>
      <c r="I169" s="67"/>
      <c r="J169" s="69"/>
      <c r="K169" s="69"/>
      <c r="L169" s="69"/>
      <c r="M169" s="69"/>
      <c r="N169" s="67"/>
      <c r="O169" s="70"/>
      <c r="P169" s="69"/>
    </row>
    <row r="170" spans="2:16">
      <c r="B170" s="67"/>
      <c r="C170" s="67"/>
      <c r="D170" s="67"/>
      <c r="E170" s="67"/>
      <c r="F170" s="67"/>
      <c r="G170" s="67"/>
      <c r="H170" s="67"/>
      <c r="I170" s="67"/>
      <c r="J170" s="69"/>
      <c r="K170" s="69"/>
      <c r="L170" s="69"/>
      <c r="M170" s="69"/>
      <c r="N170" s="67"/>
      <c r="O170" s="70"/>
      <c r="P170" s="69"/>
    </row>
    <row r="171" spans="2:16">
      <c r="B171" s="67"/>
      <c r="C171" s="67"/>
      <c r="D171" s="67"/>
      <c r="E171" s="67"/>
      <c r="F171" s="67"/>
      <c r="G171" s="67"/>
      <c r="H171" s="67"/>
      <c r="I171" s="67"/>
      <c r="J171" s="69"/>
      <c r="K171" s="69"/>
      <c r="L171" s="69"/>
      <c r="M171" s="69"/>
      <c r="N171" s="67"/>
      <c r="O171" s="70"/>
      <c r="P171" s="69"/>
    </row>
    <row r="172" spans="2:16">
      <c r="B172" s="67"/>
      <c r="C172" s="67"/>
      <c r="D172" s="67"/>
      <c r="E172" s="67"/>
      <c r="F172" s="67"/>
      <c r="G172" s="67"/>
      <c r="H172" s="67"/>
      <c r="I172" s="67"/>
      <c r="J172" s="69"/>
      <c r="K172" s="69"/>
      <c r="L172" s="69"/>
      <c r="M172" s="69"/>
      <c r="N172" s="67"/>
      <c r="O172" s="70"/>
      <c r="P172" s="69"/>
    </row>
    <row r="173" spans="2:16">
      <c r="B173" s="67"/>
      <c r="C173" s="67"/>
      <c r="D173" s="67"/>
      <c r="E173" s="67"/>
      <c r="F173" s="67"/>
      <c r="G173" s="67"/>
      <c r="H173" s="67"/>
      <c r="I173" s="67"/>
      <c r="J173" s="69"/>
      <c r="K173" s="69"/>
      <c r="L173" s="69"/>
      <c r="M173" s="69"/>
      <c r="N173" s="67"/>
      <c r="O173" s="70"/>
      <c r="P173" s="69"/>
    </row>
    <row r="174" spans="2:16">
      <c r="B174" s="67"/>
      <c r="C174" s="67"/>
      <c r="D174" s="67"/>
      <c r="E174" s="67"/>
      <c r="F174" s="67"/>
      <c r="G174" s="67"/>
      <c r="H174" s="67"/>
      <c r="I174" s="67"/>
      <c r="J174" s="69"/>
      <c r="K174" s="69"/>
      <c r="L174" s="69"/>
      <c r="M174" s="69"/>
      <c r="N174" s="67"/>
      <c r="O174" s="70"/>
      <c r="P174" s="69"/>
    </row>
    <row r="175" spans="2:16">
      <c r="B175" s="67"/>
      <c r="C175" s="67"/>
      <c r="D175" s="67"/>
      <c r="E175" s="67"/>
      <c r="F175" s="67"/>
      <c r="G175" s="67"/>
      <c r="H175" s="67"/>
      <c r="I175" s="67"/>
      <c r="J175" s="69"/>
      <c r="K175" s="69"/>
      <c r="L175" s="69"/>
      <c r="M175" s="69"/>
      <c r="N175" s="67"/>
      <c r="O175" s="70"/>
      <c r="P175" s="69"/>
    </row>
    <row r="176" spans="2:16">
      <c r="B176" s="67"/>
      <c r="C176" s="67"/>
      <c r="D176" s="67"/>
      <c r="E176" s="67"/>
      <c r="F176" s="67"/>
      <c r="G176" s="67"/>
      <c r="H176" s="67"/>
      <c r="I176" s="67"/>
      <c r="J176" s="69"/>
      <c r="K176" s="69"/>
      <c r="L176" s="69"/>
      <c r="M176" s="69"/>
      <c r="N176" s="67"/>
      <c r="O176" s="70"/>
      <c r="P176" s="69"/>
    </row>
    <row r="177" spans="2:16">
      <c r="B177" s="67"/>
      <c r="C177" s="67"/>
      <c r="D177" s="67"/>
      <c r="E177" s="67"/>
      <c r="F177" s="67"/>
      <c r="G177" s="67"/>
      <c r="H177" s="67"/>
      <c r="I177" s="67"/>
      <c r="J177" s="69"/>
      <c r="K177" s="69"/>
      <c r="L177" s="69"/>
      <c r="M177" s="69"/>
      <c r="N177" s="67"/>
      <c r="O177" s="70"/>
      <c r="P177" s="69"/>
    </row>
    <row r="178" spans="2:16">
      <c r="B178" s="67"/>
      <c r="C178" s="67"/>
      <c r="D178" s="67"/>
      <c r="E178" s="67"/>
      <c r="F178" s="67"/>
      <c r="G178" s="67"/>
      <c r="H178" s="67"/>
      <c r="I178" s="67"/>
      <c r="J178" s="69"/>
      <c r="K178" s="69"/>
      <c r="L178" s="69"/>
      <c r="M178" s="69"/>
      <c r="N178" s="67"/>
      <c r="O178" s="70"/>
      <c r="P178" s="69"/>
    </row>
    <row r="179" spans="2:16">
      <c r="B179" s="67"/>
      <c r="C179" s="67"/>
      <c r="D179" s="67"/>
      <c r="E179" s="67"/>
      <c r="F179" s="67"/>
      <c r="G179" s="67"/>
      <c r="H179" s="67"/>
      <c r="I179" s="67"/>
      <c r="J179" s="69"/>
      <c r="K179" s="69"/>
      <c r="L179" s="69"/>
      <c r="M179" s="69"/>
      <c r="N179" s="67"/>
      <c r="O179" s="70"/>
      <c r="P179" s="69"/>
    </row>
    <row r="180" spans="2:16">
      <c r="B180" s="67"/>
      <c r="C180" s="67"/>
      <c r="D180" s="67"/>
      <c r="E180" s="67"/>
      <c r="F180" s="67"/>
      <c r="G180" s="67"/>
      <c r="H180" s="67"/>
      <c r="I180" s="67"/>
      <c r="J180" s="69"/>
      <c r="K180" s="69"/>
      <c r="L180" s="69"/>
      <c r="M180" s="69"/>
      <c r="N180" s="67"/>
      <c r="O180" s="70"/>
      <c r="P180" s="69"/>
    </row>
    <row r="181" spans="2:16">
      <c r="B181" s="67"/>
      <c r="C181" s="67"/>
      <c r="D181" s="67"/>
      <c r="E181" s="67"/>
      <c r="F181" s="67"/>
      <c r="G181" s="67"/>
      <c r="H181" s="67"/>
      <c r="I181" s="67"/>
      <c r="J181" s="69"/>
      <c r="K181" s="69"/>
      <c r="L181" s="69"/>
      <c r="M181" s="69"/>
      <c r="N181" s="67"/>
      <c r="O181" s="70"/>
      <c r="P181" s="69"/>
    </row>
    <row r="182" spans="2:16">
      <c r="B182" s="67"/>
      <c r="C182" s="67"/>
      <c r="D182" s="67"/>
      <c r="E182" s="67"/>
      <c r="F182" s="67"/>
      <c r="G182" s="67"/>
      <c r="H182" s="67"/>
      <c r="I182" s="67"/>
      <c r="J182" s="69"/>
      <c r="K182" s="69"/>
      <c r="L182" s="69"/>
      <c r="M182" s="69"/>
      <c r="N182" s="67"/>
      <c r="O182" s="70"/>
      <c r="P182" s="69"/>
    </row>
    <row r="183" spans="2:16">
      <c r="B183" s="67"/>
      <c r="C183" s="67"/>
      <c r="D183" s="67"/>
      <c r="E183" s="67"/>
      <c r="F183" s="67"/>
      <c r="G183" s="67"/>
      <c r="H183" s="67"/>
      <c r="I183" s="67"/>
      <c r="J183" s="69"/>
      <c r="K183" s="69"/>
      <c r="L183" s="69"/>
      <c r="M183" s="69"/>
      <c r="N183" s="67"/>
      <c r="O183" s="70"/>
      <c r="P183" s="69"/>
    </row>
    <row r="184" spans="2:16">
      <c r="B184" s="67"/>
      <c r="C184" s="67"/>
      <c r="D184" s="67"/>
      <c r="E184" s="67"/>
      <c r="F184" s="67"/>
      <c r="G184" s="67"/>
      <c r="H184" s="67"/>
      <c r="I184" s="67"/>
      <c r="J184" s="69"/>
      <c r="K184" s="69"/>
      <c r="L184" s="69"/>
      <c r="M184" s="69"/>
      <c r="N184" s="67"/>
      <c r="O184" s="70"/>
      <c r="P184" s="69"/>
    </row>
    <row r="185" spans="2:16">
      <c r="B185" s="67"/>
      <c r="C185" s="67"/>
      <c r="D185" s="67"/>
      <c r="E185" s="67"/>
      <c r="F185" s="67"/>
      <c r="G185" s="67"/>
      <c r="H185" s="67"/>
      <c r="I185" s="67"/>
      <c r="J185" s="69"/>
      <c r="K185" s="69"/>
      <c r="L185" s="69"/>
      <c r="M185" s="69"/>
      <c r="N185" s="67"/>
      <c r="O185" s="70"/>
      <c r="P185" s="69"/>
    </row>
    <row r="186" spans="2:16">
      <c r="I186" s="67"/>
      <c r="J186" s="69"/>
      <c r="K186" s="69"/>
      <c r="L186" s="69"/>
      <c r="M186" s="69"/>
      <c r="N186" s="67"/>
      <c r="O186" s="70"/>
      <c r="P186" s="69"/>
    </row>
    <row r="187" spans="2:16">
      <c r="I187" s="67"/>
      <c r="J187" s="69"/>
      <c r="K187" s="69"/>
      <c r="L187" s="69"/>
      <c r="M187" s="69"/>
      <c r="N187" s="67"/>
      <c r="O187" s="70"/>
      <c r="P187" s="69"/>
    </row>
    <row r="188" spans="2:16">
      <c r="I188" s="67"/>
      <c r="J188" s="69"/>
      <c r="K188" s="69"/>
      <c r="L188" s="69"/>
      <c r="M188" s="69"/>
      <c r="N188" s="67"/>
      <c r="O188" s="70"/>
      <c r="P188" s="69"/>
    </row>
    <row r="189" spans="2:16">
      <c r="I189" s="67"/>
      <c r="J189" s="69"/>
      <c r="K189" s="69"/>
      <c r="L189" s="69"/>
      <c r="M189" s="69"/>
      <c r="N189" s="67"/>
      <c r="O189" s="70"/>
      <c r="P189" s="69"/>
    </row>
    <row r="190" spans="2:16">
      <c r="I190" s="67"/>
      <c r="J190" s="69"/>
      <c r="K190" s="69"/>
      <c r="L190" s="69"/>
      <c r="M190" s="69"/>
      <c r="N190" s="67"/>
      <c r="O190" s="70"/>
      <c r="P190" s="69"/>
    </row>
    <row r="191" spans="2:16">
      <c r="I191" s="67"/>
      <c r="J191" s="69"/>
      <c r="K191" s="69"/>
      <c r="L191" s="69"/>
      <c r="M191" s="69"/>
      <c r="N191" s="67"/>
      <c r="O191" s="70"/>
      <c r="P191" s="69"/>
    </row>
    <row r="192" spans="2:16">
      <c r="I192" s="67"/>
      <c r="J192" s="69"/>
      <c r="K192" s="69"/>
      <c r="L192" s="69"/>
      <c r="M192" s="69"/>
      <c r="N192" s="67"/>
      <c r="O192" s="70"/>
      <c r="P192" s="69"/>
    </row>
    <row r="193" spans="9:16">
      <c r="I193" s="67"/>
      <c r="J193" s="69"/>
      <c r="K193" s="69"/>
      <c r="L193" s="69"/>
      <c r="M193" s="69"/>
      <c r="N193" s="67"/>
      <c r="O193" s="70"/>
      <c r="P193" s="69"/>
    </row>
    <row r="194" spans="9:16">
      <c r="I194" s="67"/>
      <c r="J194" s="69"/>
      <c r="K194" s="69"/>
      <c r="L194" s="69"/>
      <c r="M194" s="69"/>
      <c r="N194" s="67"/>
      <c r="O194" s="70"/>
      <c r="P194" s="69"/>
    </row>
    <row r="195" spans="9:16">
      <c r="I195" s="67"/>
      <c r="J195" s="69"/>
      <c r="K195" s="69"/>
      <c r="L195" s="69"/>
      <c r="M195" s="69"/>
      <c r="N195" s="67"/>
      <c r="O195" s="70"/>
      <c r="P195" s="69"/>
    </row>
    <row r="196" spans="9:16">
      <c r="I196" s="67"/>
      <c r="J196" s="69"/>
      <c r="K196" s="69"/>
      <c r="L196" s="69"/>
      <c r="M196" s="69"/>
      <c r="N196" s="67"/>
      <c r="O196" s="70"/>
      <c r="P196" s="69"/>
    </row>
    <row r="197" spans="9:16">
      <c r="I197" s="67"/>
      <c r="J197" s="69"/>
      <c r="K197" s="69"/>
      <c r="L197" s="69"/>
      <c r="M197" s="69"/>
      <c r="N197" s="67"/>
      <c r="O197" s="70"/>
      <c r="P197" s="69"/>
    </row>
    <row r="198" spans="9:16">
      <c r="I198" s="67"/>
      <c r="J198" s="69"/>
      <c r="K198" s="69"/>
      <c r="L198" s="69"/>
      <c r="M198" s="69"/>
      <c r="N198" s="67"/>
      <c r="O198" s="70"/>
      <c r="P198" s="69"/>
    </row>
    <row r="199" spans="9:16">
      <c r="I199" s="67"/>
      <c r="J199" s="69"/>
      <c r="K199" s="69"/>
      <c r="L199" s="69"/>
      <c r="M199" s="69"/>
      <c r="N199" s="67"/>
      <c r="O199" s="70"/>
      <c r="P199" s="69"/>
    </row>
    <row r="200" spans="9:16">
      <c r="I200" s="67"/>
      <c r="J200" s="69"/>
      <c r="K200" s="69"/>
      <c r="L200" s="69"/>
      <c r="M200" s="69"/>
      <c r="N200" s="67"/>
      <c r="O200" s="70"/>
      <c r="P200" s="69"/>
    </row>
    <row r="201" spans="9:16">
      <c r="I201" s="67"/>
      <c r="J201" s="69"/>
      <c r="K201" s="69"/>
      <c r="L201" s="69"/>
      <c r="M201" s="69"/>
      <c r="N201" s="67"/>
      <c r="O201" s="70"/>
      <c r="P201" s="69"/>
    </row>
    <row r="202" spans="9:16">
      <c r="I202" s="67"/>
      <c r="J202" s="69"/>
      <c r="K202" s="69"/>
      <c r="L202" s="69"/>
      <c r="M202" s="69"/>
      <c r="N202" s="67"/>
      <c r="O202" s="70"/>
      <c r="P202" s="69"/>
    </row>
    <row r="203" spans="9:16">
      <c r="I203" s="67"/>
      <c r="J203" s="69"/>
      <c r="K203" s="69"/>
      <c r="L203" s="69"/>
      <c r="M203" s="69"/>
      <c r="N203" s="67"/>
      <c r="O203" s="70"/>
      <c r="P203" s="69"/>
    </row>
    <row r="204" spans="9:16">
      <c r="I204" s="67"/>
      <c r="J204" s="69"/>
      <c r="K204" s="69"/>
      <c r="L204" s="69"/>
      <c r="M204" s="69"/>
      <c r="N204" s="67"/>
      <c r="O204" s="70"/>
      <c r="P204" s="69"/>
    </row>
    <row r="205" spans="9:16">
      <c r="I205" s="67"/>
      <c r="J205" s="69"/>
      <c r="K205" s="69"/>
      <c r="L205" s="69"/>
      <c r="M205" s="69"/>
      <c r="N205" s="67"/>
      <c r="O205" s="70"/>
      <c r="P205" s="69"/>
    </row>
    <row r="206" spans="9:16">
      <c r="I206" s="67"/>
      <c r="J206" s="69"/>
      <c r="K206" s="69"/>
      <c r="L206" s="69"/>
      <c r="M206" s="69"/>
      <c r="N206" s="67"/>
      <c r="O206" s="70"/>
      <c r="P206" s="69"/>
    </row>
    <row r="207" spans="9:16">
      <c r="I207" s="67"/>
      <c r="J207" s="69"/>
      <c r="K207" s="69"/>
      <c r="L207" s="69"/>
      <c r="M207" s="69"/>
      <c r="N207" s="67"/>
      <c r="O207" s="70"/>
      <c r="P207" s="69"/>
    </row>
    <row r="208" spans="9:16">
      <c r="I208" s="67"/>
      <c r="J208" s="69"/>
      <c r="K208" s="69"/>
      <c r="L208" s="69"/>
      <c r="M208" s="69"/>
      <c r="N208" s="67"/>
      <c r="O208" s="70"/>
      <c r="P208" s="69"/>
    </row>
    <row r="209" spans="9:16">
      <c r="I209" s="67"/>
      <c r="J209" s="69"/>
      <c r="K209" s="69"/>
      <c r="L209" s="69"/>
      <c r="M209" s="69"/>
      <c r="N209" s="67"/>
      <c r="O209" s="70"/>
      <c r="P209" s="69"/>
    </row>
    <row r="210" spans="9:16">
      <c r="I210" s="67"/>
      <c r="J210" s="69"/>
      <c r="K210" s="69"/>
      <c r="L210" s="69"/>
      <c r="M210" s="69"/>
      <c r="N210" s="67"/>
      <c r="O210" s="70"/>
      <c r="P210" s="69"/>
    </row>
    <row r="211" spans="9:16">
      <c r="I211" s="67"/>
      <c r="J211" s="69"/>
      <c r="K211" s="69"/>
      <c r="L211" s="69"/>
      <c r="M211" s="69"/>
      <c r="N211" s="67"/>
      <c r="O211" s="70"/>
      <c r="P211" s="69"/>
    </row>
    <row r="212" spans="9:16">
      <c r="I212" s="67"/>
      <c r="J212" s="69"/>
      <c r="K212" s="69"/>
      <c r="L212" s="69"/>
      <c r="M212" s="69"/>
      <c r="N212" s="67"/>
      <c r="O212" s="70"/>
      <c r="P212" s="69"/>
    </row>
    <row r="213" spans="9:16">
      <c r="I213" s="67"/>
      <c r="J213" s="69"/>
      <c r="K213" s="69"/>
      <c r="L213" s="69"/>
      <c r="M213" s="69"/>
      <c r="N213" s="67"/>
      <c r="O213" s="70"/>
      <c r="P213" s="69"/>
    </row>
    <row r="214" spans="9:16">
      <c r="I214" s="67"/>
      <c r="J214" s="69"/>
      <c r="K214" s="69"/>
      <c r="L214" s="69"/>
      <c r="M214" s="69"/>
      <c r="N214" s="67"/>
      <c r="O214" s="70"/>
      <c r="P214" s="69"/>
    </row>
    <row r="215" spans="9:16">
      <c r="I215" s="67"/>
      <c r="J215" s="69"/>
      <c r="K215" s="69"/>
      <c r="L215" s="69"/>
      <c r="M215" s="69"/>
      <c r="N215" s="67"/>
      <c r="O215" s="70"/>
      <c r="P215" s="69"/>
    </row>
    <row r="216" spans="9:16">
      <c r="I216" s="67"/>
      <c r="J216" s="69"/>
      <c r="K216" s="69"/>
      <c r="L216" s="69"/>
      <c r="M216" s="69"/>
      <c r="N216" s="67"/>
      <c r="O216" s="70"/>
      <c r="P216" s="69"/>
    </row>
    <row r="217" spans="9:16">
      <c r="I217" s="67"/>
      <c r="J217" s="69"/>
      <c r="K217" s="69"/>
      <c r="L217" s="69"/>
      <c r="M217" s="69"/>
      <c r="N217" s="67"/>
      <c r="O217" s="70"/>
      <c r="P217" s="69"/>
    </row>
    <row r="218" spans="9:16">
      <c r="I218" s="67"/>
      <c r="J218" s="69"/>
      <c r="K218" s="69"/>
      <c r="L218" s="69"/>
      <c r="M218" s="69"/>
      <c r="N218" s="67"/>
      <c r="O218" s="70"/>
      <c r="P218" s="69"/>
    </row>
    <row r="219" spans="9:16">
      <c r="I219" s="67"/>
      <c r="J219" s="69"/>
      <c r="K219" s="69"/>
      <c r="L219" s="69"/>
      <c r="M219" s="69"/>
      <c r="N219" s="67"/>
      <c r="O219" s="70"/>
      <c r="P219" s="69"/>
    </row>
    <row r="220" spans="9:16">
      <c r="I220" s="67"/>
      <c r="J220" s="69"/>
      <c r="K220" s="69"/>
      <c r="L220" s="69"/>
      <c r="M220" s="69"/>
      <c r="N220" s="67"/>
      <c r="O220" s="70"/>
      <c r="P220" s="69"/>
    </row>
    <row r="221" spans="9:16">
      <c r="I221" s="67"/>
      <c r="J221" s="69"/>
      <c r="K221" s="69"/>
      <c r="L221" s="69"/>
      <c r="M221" s="69"/>
      <c r="N221" s="67"/>
      <c r="O221" s="70"/>
      <c r="P221" s="69"/>
    </row>
    <row r="222" spans="9:16">
      <c r="I222" s="67"/>
      <c r="J222" s="69"/>
      <c r="K222" s="69"/>
      <c r="L222" s="69"/>
      <c r="M222" s="69"/>
      <c r="N222" s="67"/>
      <c r="O222" s="70"/>
      <c r="P222" s="69"/>
    </row>
    <row r="223" spans="9:16">
      <c r="I223" s="67"/>
      <c r="J223" s="69"/>
      <c r="K223" s="69"/>
      <c r="L223" s="69"/>
      <c r="M223" s="69"/>
      <c r="N223" s="67"/>
      <c r="O223" s="70"/>
      <c r="P223" s="69"/>
    </row>
    <row r="224" spans="9:16">
      <c r="I224" s="67"/>
      <c r="J224" s="69"/>
      <c r="K224" s="69"/>
      <c r="L224" s="69"/>
      <c r="M224" s="69"/>
      <c r="N224" s="67"/>
      <c r="O224" s="70"/>
      <c r="P224" s="69"/>
    </row>
    <row r="225" spans="9:16">
      <c r="I225" s="67"/>
      <c r="J225" s="69"/>
      <c r="K225" s="69"/>
      <c r="L225" s="69"/>
      <c r="M225" s="69"/>
      <c r="N225" s="67"/>
      <c r="O225" s="70"/>
      <c r="P225" s="69"/>
    </row>
    <row r="226" spans="9:16">
      <c r="I226" s="67"/>
      <c r="J226" s="69"/>
      <c r="K226" s="69"/>
      <c r="L226" s="69"/>
      <c r="M226" s="69"/>
      <c r="N226" s="67"/>
      <c r="O226" s="70"/>
      <c r="P226" s="69"/>
    </row>
    <row r="227" spans="9:16">
      <c r="I227" s="67"/>
      <c r="J227" s="69"/>
      <c r="K227" s="69"/>
      <c r="L227" s="69"/>
      <c r="M227" s="69"/>
      <c r="N227" s="67"/>
      <c r="O227" s="70"/>
      <c r="P227" s="69"/>
    </row>
    <row r="228" spans="9:16">
      <c r="I228" s="67"/>
      <c r="J228" s="69"/>
      <c r="K228" s="69"/>
      <c r="L228" s="69"/>
      <c r="M228" s="69"/>
      <c r="N228" s="67"/>
      <c r="O228" s="70"/>
      <c r="P228" s="69"/>
    </row>
    <row r="229" spans="9:16">
      <c r="I229" s="67"/>
      <c r="J229" s="69"/>
      <c r="K229" s="69"/>
      <c r="L229" s="69"/>
      <c r="M229" s="69"/>
      <c r="N229" s="67"/>
      <c r="O229" s="70"/>
      <c r="P229" s="69"/>
    </row>
    <row r="230" spans="9:16">
      <c r="I230" s="67"/>
      <c r="J230" s="69"/>
      <c r="K230" s="69"/>
      <c r="L230" s="69"/>
      <c r="M230" s="69"/>
      <c r="N230" s="67"/>
      <c r="O230" s="70"/>
      <c r="P230" s="69"/>
    </row>
    <row r="231" spans="9:16">
      <c r="I231" s="67"/>
      <c r="J231" s="69"/>
      <c r="K231" s="69"/>
      <c r="L231" s="69"/>
      <c r="M231" s="69"/>
      <c r="N231" s="67"/>
      <c r="O231" s="70"/>
      <c r="P231" s="69"/>
    </row>
    <row r="232" spans="9:16">
      <c r="I232" s="67"/>
      <c r="J232" s="69"/>
      <c r="K232" s="69"/>
      <c r="L232" s="69"/>
      <c r="M232" s="69"/>
      <c r="N232" s="67"/>
      <c r="O232" s="70"/>
      <c r="P232" s="69"/>
    </row>
    <row r="233" spans="9:16">
      <c r="I233" s="67"/>
      <c r="J233" s="69"/>
      <c r="K233" s="69"/>
      <c r="L233" s="69"/>
      <c r="M233" s="69"/>
      <c r="N233" s="67"/>
      <c r="O233" s="70"/>
      <c r="P233" s="69"/>
    </row>
  </sheetData>
  <mergeCells count="47">
    <mergeCell ref="A54:H54"/>
    <mergeCell ref="I49:I53"/>
    <mergeCell ref="A49:A53"/>
    <mergeCell ref="C52:D52"/>
    <mergeCell ref="C53:D53"/>
    <mergeCell ref="C51:D51"/>
    <mergeCell ref="C49:D49"/>
    <mergeCell ref="C50:D50"/>
    <mergeCell ref="I54:P54"/>
    <mergeCell ref="K53:L53"/>
    <mergeCell ref="K52:L52"/>
    <mergeCell ref="K51:L51"/>
    <mergeCell ref="K50:L50"/>
    <mergeCell ref="A1:P1"/>
    <mergeCell ref="A3:B3"/>
    <mergeCell ref="D3:H3"/>
    <mergeCell ref="B42:H42"/>
    <mergeCell ref="B43:H43"/>
    <mergeCell ref="I42:P42"/>
    <mergeCell ref="F46:H46"/>
    <mergeCell ref="F47:H47"/>
    <mergeCell ref="F45:H45"/>
    <mergeCell ref="F48:H48"/>
    <mergeCell ref="A44:A48"/>
    <mergeCell ref="C44:E44"/>
    <mergeCell ref="C45:E45"/>
    <mergeCell ref="C46:E46"/>
    <mergeCell ref="C47:E47"/>
    <mergeCell ref="C48:E48"/>
    <mergeCell ref="F44:H44"/>
    <mergeCell ref="Q49:R49"/>
    <mergeCell ref="Q48:R48"/>
    <mergeCell ref="I43:P43"/>
    <mergeCell ref="K44:M44"/>
    <mergeCell ref="N44:P44"/>
    <mergeCell ref="I44:I48"/>
    <mergeCell ref="K46:L46"/>
    <mergeCell ref="K47:L47"/>
    <mergeCell ref="K49:L49"/>
    <mergeCell ref="K48:L48"/>
    <mergeCell ref="K45:L45"/>
    <mergeCell ref="U3:V3"/>
    <mergeCell ref="Q3:T3"/>
    <mergeCell ref="C4:D4"/>
    <mergeCell ref="K4:L4"/>
    <mergeCell ref="I3:J3"/>
    <mergeCell ref="K3:P3"/>
  </mergeCells>
  <phoneticPr fontId="2" type="noConversion"/>
  <printOptions horizontalCentered="1"/>
  <pageMargins left="0" right="0" top="0.19685039370078741" bottom="0.19685039370078741" header="0.23622047244094491" footer="0.2362204724409449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Upload</vt:lpstr>
      <vt:lpstr>订单</vt:lpstr>
      <vt:lpstr>00</vt:lpstr>
      <vt:lpstr>01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</dc:creator>
  <cp:lastModifiedBy>huil</cp:lastModifiedBy>
  <cp:lastPrinted>2012-04-24T07:35:36Z</cp:lastPrinted>
  <dcterms:created xsi:type="dcterms:W3CDTF">1999-12-06T13:29:37Z</dcterms:created>
  <dcterms:modified xsi:type="dcterms:W3CDTF">2013-11-05T06:15:51Z</dcterms:modified>
</cp:coreProperties>
</file>