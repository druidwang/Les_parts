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1970" windowHeight="6405" tabRatio="442"/>
  </bookViews>
  <sheets>
    <sheet name="测算" sheetId="11" r:id="rId1"/>
    <sheet name="1 " sheetId="65" r:id="rId2"/>
    <sheet name="0" sheetId="2" r:id="rId3"/>
    <sheet name="挤出生产需求明细" sheetId="66" r:id="rId4"/>
  </sheets>
  <calcPr calcId="124519"/>
</workbook>
</file>

<file path=xl/calcChain.xml><?xml version="1.0" encoding="utf-8"?>
<calcChain xmlns="http://schemas.openxmlformats.org/spreadsheetml/2006/main">
  <c r="AD5" i="11"/>
  <c r="AE5"/>
  <c r="AF5"/>
  <c r="AG5"/>
  <c r="AD6"/>
  <c r="AE6"/>
  <c r="AF6"/>
  <c r="AG6"/>
  <c r="AD7"/>
  <c r="AE7"/>
  <c r="AF7"/>
  <c r="AG7"/>
  <c r="Q60"/>
  <c r="E60" s="1"/>
  <c r="Q124"/>
  <c r="Q123"/>
  <c r="E123" s="1"/>
  <c r="Q122"/>
  <c r="E122" s="1"/>
  <c r="Q121"/>
  <c r="E121" s="1"/>
  <c r="Q120"/>
  <c r="E120" s="1"/>
  <c r="Q119"/>
  <c r="E119" s="1"/>
  <c r="Q118"/>
  <c r="E118" s="1"/>
  <c r="Q117"/>
  <c r="E117" s="1"/>
  <c r="Q116"/>
  <c r="E116" s="1"/>
  <c r="Q115"/>
  <c r="E115" s="1"/>
  <c r="Q114"/>
  <c r="E114" s="1"/>
  <c r="Q113"/>
  <c r="E113" s="1"/>
  <c r="Q112"/>
  <c r="E112" s="1"/>
  <c r="Q111"/>
  <c r="E111" s="1"/>
  <c r="Q110"/>
  <c r="E110" s="1"/>
  <c r="Q109"/>
  <c r="E109" s="1"/>
  <c r="Q108"/>
  <c r="E108" s="1"/>
  <c r="Q107"/>
  <c r="E107" s="1"/>
  <c r="Q106"/>
  <c r="E106" s="1"/>
  <c r="Q105"/>
  <c r="E105" s="1"/>
  <c r="Q104"/>
  <c r="E104" s="1"/>
  <c r="Q103"/>
  <c r="E103" s="1"/>
  <c r="Q102"/>
  <c r="E102" s="1"/>
  <c r="Q101"/>
  <c r="E101" s="1"/>
  <c r="Q100"/>
  <c r="E100" s="1"/>
  <c r="Q99"/>
  <c r="E99" s="1"/>
  <c r="Q98"/>
  <c r="E98" s="1"/>
  <c r="Q97"/>
  <c r="E97" s="1"/>
  <c r="Q96"/>
  <c r="E96" s="1"/>
  <c r="Q95"/>
  <c r="E95" s="1"/>
  <c r="Q94"/>
  <c r="E94" s="1"/>
  <c r="Q93"/>
  <c r="E93" s="1"/>
  <c r="Q92"/>
  <c r="E92" s="1"/>
  <c r="Q91"/>
  <c r="E91" s="1"/>
  <c r="Q90"/>
  <c r="E90" s="1"/>
  <c r="Q89"/>
  <c r="E89" s="1"/>
  <c r="Q88"/>
  <c r="E88" s="1"/>
  <c r="Q87"/>
  <c r="E87" s="1"/>
  <c r="Q86"/>
  <c r="E86" s="1"/>
  <c r="Q85"/>
  <c r="E85" s="1"/>
  <c r="Q84"/>
  <c r="E84" s="1"/>
  <c r="Q83"/>
  <c r="E83" s="1"/>
  <c r="Q82"/>
  <c r="E82" s="1"/>
  <c r="Q81"/>
  <c r="E81" s="1"/>
  <c r="Q80"/>
  <c r="E80" s="1"/>
  <c r="Q79"/>
  <c r="E79" s="1"/>
  <c r="Q78"/>
  <c r="E78" s="1"/>
  <c r="Q77"/>
  <c r="E77" s="1"/>
  <c r="Q76"/>
  <c r="E76" s="1"/>
  <c r="Q75"/>
  <c r="E75" s="1"/>
  <c r="Q74"/>
  <c r="E74" s="1"/>
  <c r="Q73"/>
  <c r="E73" s="1"/>
  <c r="Q72"/>
  <c r="E72" s="1"/>
  <c r="Q71"/>
  <c r="E71" s="1"/>
  <c r="Q70"/>
  <c r="E70" s="1"/>
  <c r="Q69"/>
  <c r="E69" s="1"/>
  <c r="Q68"/>
  <c r="E68" s="1"/>
  <c r="Q67"/>
  <c r="E67" s="1"/>
  <c r="Q66"/>
  <c r="E66" s="1"/>
  <c r="Q65"/>
  <c r="E65" s="1"/>
  <c r="Q64"/>
  <c r="E64" s="1"/>
  <c r="Q63"/>
  <c r="E63" s="1"/>
  <c r="Q62"/>
  <c r="E62" s="1"/>
  <c r="Q61"/>
  <c r="E61" s="1"/>
  <c r="Q59"/>
  <c r="E59" s="1"/>
  <c r="Q58"/>
  <c r="E58" s="1"/>
  <c r="Q57"/>
  <c r="E57" s="1"/>
  <c r="Q56"/>
  <c r="E56" s="1"/>
  <c r="Q55"/>
  <c r="E55" s="1"/>
  <c r="Q54"/>
  <c r="E54" s="1"/>
  <c r="Q53"/>
  <c r="E53" s="1"/>
  <c r="Q52"/>
  <c r="E52" s="1"/>
  <c r="Q51"/>
  <c r="E51" s="1"/>
  <c r="Q50"/>
  <c r="E50" s="1"/>
  <c r="Q49"/>
  <c r="E49" s="1"/>
  <c r="Q48"/>
  <c r="E48" s="1"/>
  <c r="Q47"/>
  <c r="E47" s="1"/>
  <c r="Q46"/>
  <c r="E46" s="1"/>
  <c r="Q45"/>
  <c r="E45" s="1"/>
  <c r="Q44"/>
  <c r="E44" s="1"/>
  <c r="Q43"/>
  <c r="E43" s="1"/>
  <c r="Q42"/>
  <c r="E42" s="1"/>
  <c r="Q41"/>
  <c r="E41" s="1"/>
  <c r="Q40"/>
  <c r="E40" s="1"/>
  <c r="Q39"/>
  <c r="E39" s="1"/>
  <c r="Q38"/>
  <c r="E38" s="1"/>
  <c r="Q37"/>
  <c r="E37" s="1"/>
  <c r="Q36"/>
  <c r="E36" s="1"/>
  <c r="Q35"/>
  <c r="E35" s="1"/>
  <c r="Q34"/>
  <c r="E34" s="1"/>
  <c r="Q33"/>
  <c r="E33" s="1"/>
  <c r="Q32"/>
  <c r="E32" s="1"/>
  <c r="Q31"/>
  <c r="E31" s="1"/>
  <c r="Q30"/>
  <c r="E30" s="1"/>
  <c r="Q29"/>
  <c r="E29" s="1"/>
  <c r="Q28"/>
  <c r="E28" s="1"/>
  <c r="Q27"/>
  <c r="E27" s="1"/>
  <c r="Q26"/>
  <c r="E26" s="1"/>
  <c r="Q25"/>
  <c r="E25" s="1"/>
  <c r="Q24"/>
  <c r="E24" s="1"/>
  <c r="Q23"/>
  <c r="E23" s="1"/>
  <c r="Q22"/>
  <c r="E22" s="1"/>
  <c r="Q21"/>
  <c r="E21" s="1"/>
  <c r="Q20"/>
  <c r="E20" s="1"/>
  <c r="Q19"/>
  <c r="E19" s="1"/>
  <c r="Q18"/>
  <c r="E18" s="1"/>
  <c r="Q17"/>
  <c r="E17" s="1"/>
  <c r="Q16"/>
  <c r="E16" s="1"/>
  <c r="Q15"/>
  <c r="E15" s="1"/>
  <c r="Q14"/>
  <c r="E14" s="1"/>
  <c r="Q13"/>
  <c r="E13" s="1"/>
  <c r="Q12"/>
  <c r="E12" s="1"/>
  <c r="Q11"/>
  <c r="E11" s="1"/>
  <c r="Q10"/>
  <c r="E10" s="1"/>
  <c r="M9"/>
  <c r="N9"/>
  <c r="O9"/>
  <c r="AC125"/>
  <c r="AB125"/>
  <c r="AA125"/>
  <c r="Z125"/>
  <c r="Y125"/>
  <c r="X125"/>
  <c r="W125"/>
  <c r="V125"/>
  <c r="U125"/>
  <c r="T125"/>
  <c r="S125"/>
  <c r="R125"/>
  <c r="P125"/>
  <c r="O125"/>
  <c r="N125"/>
  <c r="M125"/>
  <c r="L125"/>
  <c r="K125"/>
  <c r="J125"/>
  <c r="I125"/>
  <c r="G125"/>
  <c r="F125"/>
  <c r="H125"/>
  <c r="E124" l="1"/>
  <c r="Q125"/>
  <c r="V14" i="65"/>
  <c r="V18"/>
  <c r="V37"/>
  <c r="V70"/>
  <c r="U70"/>
  <c r="U31"/>
  <c r="U14"/>
  <c r="U18"/>
  <c r="T37"/>
  <c r="T18"/>
  <c r="T14"/>
  <c r="T31"/>
  <c r="T70"/>
  <c r="AI70"/>
  <c r="AI18"/>
  <c r="AI37"/>
  <c r="AI31"/>
  <c r="AI14"/>
  <c r="AG37"/>
  <c r="AG18"/>
  <c r="AG14"/>
  <c r="AF18"/>
  <c r="AE66"/>
  <c r="AD37"/>
  <c r="R71"/>
  <c r="R70"/>
  <c r="R68"/>
  <c r="R65"/>
  <c r="R37"/>
  <c r="R34"/>
  <c r="R32"/>
  <c r="R31"/>
  <c r="R29"/>
  <c r="R28"/>
  <c r="R27"/>
  <c r="E27" s="1"/>
  <c r="R26"/>
  <c r="R23"/>
  <c r="R18"/>
  <c r="R15"/>
  <c r="R14"/>
  <c r="R12"/>
  <c r="W27"/>
  <c r="W28"/>
  <c r="W70"/>
  <c r="V68"/>
  <c r="V27"/>
  <c r="U30"/>
  <c r="U27"/>
  <c r="U68"/>
  <c r="U65"/>
  <c r="T62"/>
  <c r="T27"/>
  <c r="T30"/>
  <c r="AI27"/>
  <c r="AI62"/>
  <c r="AI68"/>
  <c r="AI65"/>
  <c r="AH31"/>
  <c r="AH37"/>
  <c r="AH27"/>
  <c r="AH18"/>
  <c r="AH62"/>
  <c r="AH70"/>
  <c r="AH66"/>
  <c r="AG70"/>
  <c r="AG27"/>
  <c r="AF14"/>
  <c r="AF37"/>
  <c r="AD68"/>
  <c r="AD62"/>
  <c r="AD18"/>
  <c r="AD70"/>
  <c r="AD27"/>
  <c r="R59"/>
  <c r="R53"/>
  <c r="R47"/>
  <c r="R33"/>
  <c r="R17"/>
  <c r="AF62"/>
  <c r="AE27"/>
  <c r="S27" s="1"/>
  <c r="AE26"/>
  <c r="AD26"/>
  <c r="AE65"/>
  <c r="AD65"/>
  <c r="AD28"/>
  <c r="AF65"/>
  <c r="AF27"/>
  <c r="AE62"/>
  <c r="AE18"/>
  <c r="AE29"/>
  <c r="AE15"/>
  <c r="AE23"/>
  <c r="AD15"/>
  <c r="AD23"/>
  <c r="F76"/>
  <c r="G76"/>
  <c r="H76"/>
  <c r="I76"/>
  <c r="J76"/>
  <c r="L76"/>
  <c r="M76"/>
  <c r="N76"/>
  <c r="O76"/>
  <c r="P76"/>
  <c r="Q76"/>
  <c r="K76"/>
  <c r="S18"/>
  <c r="E18"/>
  <c r="S26"/>
  <c r="E26" s="1"/>
  <c r="AA76"/>
  <c r="AA75"/>
  <c r="AA77"/>
  <c r="AB76"/>
  <c r="AB75"/>
  <c r="AB77" s="1"/>
  <c r="S71"/>
  <c r="S72"/>
  <c r="S73"/>
  <c r="S74"/>
  <c r="S68"/>
  <c r="S69"/>
  <c r="S70"/>
  <c r="Y75"/>
  <c r="Z75"/>
  <c r="Z77" s="1"/>
  <c r="AC75"/>
  <c r="AC77" s="1"/>
  <c r="Y78"/>
  <c r="Z78"/>
  <c r="AA78"/>
  <c r="AB78"/>
  <c r="AC78"/>
  <c r="AD78"/>
  <c r="AE78"/>
  <c r="AF78"/>
  <c r="AG78"/>
  <c r="AH78"/>
  <c r="Y76"/>
  <c r="Y77"/>
  <c r="Z76"/>
  <c r="AC76"/>
  <c r="AD76"/>
  <c r="AD75"/>
  <c r="AD77"/>
  <c r="AE76"/>
  <c r="AE75"/>
  <c r="AE77" s="1"/>
  <c r="AF75"/>
  <c r="AF77" s="1"/>
  <c r="AF76"/>
  <c r="AG76"/>
  <c r="AG75"/>
  <c r="AG77" s="1"/>
  <c r="AH75"/>
  <c r="AH76"/>
  <c r="AH77"/>
  <c r="Y7"/>
  <c r="Z7"/>
  <c r="AA7"/>
  <c r="AB7"/>
  <c r="AC7"/>
  <c r="AD7"/>
  <c r="Y6"/>
  <c r="Z6"/>
  <c r="AA6"/>
  <c r="AB6"/>
  <c r="AC6"/>
  <c r="AD6"/>
  <c r="Y5"/>
  <c r="Z5"/>
  <c r="AA5"/>
  <c r="AB5"/>
  <c r="AC5"/>
  <c r="AD5"/>
  <c r="AE5"/>
  <c r="C13" i="2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AI75" i="65"/>
  <c r="AI77" s="1"/>
  <c r="T75"/>
  <c r="T77" s="1"/>
  <c r="G40" i="2" s="1"/>
  <c r="U75" i="65"/>
  <c r="V75"/>
  <c r="T76"/>
  <c r="V76"/>
  <c r="AI76"/>
  <c r="U76"/>
  <c r="G39" i="2"/>
  <c r="V77" i="65"/>
  <c r="U77"/>
  <c r="G6" i="2"/>
  <c r="C6"/>
  <c r="C7"/>
  <c r="C8"/>
  <c r="C9"/>
  <c r="C10"/>
  <c r="C11"/>
  <c r="C12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F78" i="65"/>
  <c r="F5"/>
  <c r="F79" s="1"/>
  <c r="G78"/>
  <c r="G5"/>
  <c r="G79"/>
  <c r="H78"/>
  <c r="H5"/>
  <c r="H79" s="1"/>
  <c r="H80" s="1"/>
  <c r="I78"/>
  <c r="I5"/>
  <c r="I79" s="1"/>
  <c r="I80" s="1"/>
  <c r="J78"/>
  <c r="J80" s="1"/>
  <c r="J5"/>
  <c r="J79" s="1"/>
  <c r="K5"/>
  <c r="K79" s="1"/>
  <c r="K80" s="1"/>
  <c r="F75"/>
  <c r="F77" s="1"/>
  <c r="G75"/>
  <c r="G77" s="1"/>
  <c r="H75"/>
  <c r="H77" s="1"/>
  <c r="I75"/>
  <c r="I77" s="1"/>
  <c r="J75"/>
  <c r="J77" s="1"/>
  <c r="F7"/>
  <c r="G7"/>
  <c r="H7"/>
  <c r="I7"/>
  <c r="J7"/>
  <c r="K7"/>
  <c r="F6"/>
  <c r="G6"/>
  <c r="H6"/>
  <c r="I6"/>
  <c r="J6"/>
  <c r="K6"/>
  <c r="X78"/>
  <c r="X76"/>
  <c r="X75"/>
  <c r="X77" s="1"/>
  <c r="X5"/>
  <c r="AF5"/>
  <c r="AG5"/>
  <c r="AH5"/>
  <c r="X7"/>
  <c r="AE7"/>
  <c r="AF7"/>
  <c r="AG7"/>
  <c r="AH7"/>
  <c r="X6"/>
  <c r="AE6"/>
  <c r="AF6"/>
  <c r="AG6"/>
  <c r="AH6"/>
  <c r="S40"/>
  <c r="W75"/>
  <c r="W76"/>
  <c r="W77" s="1"/>
  <c r="E7" i="2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F6"/>
  <c r="E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A22"/>
  <c r="B22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B6"/>
  <c r="A6"/>
  <c r="I2" i="65"/>
  <c r="I1" s="1"/>
  <c r="J2"/>
  <c r="J1" s="1"/>
  <c r="K2"/>
  <c r="K1" s="1"/>
  <c r="N5"/>
  <c r="N79" s="1"/>
  <c r="N2"/>
  <c r="N1" s="1"/>
  <c r="O5"/>
  <c r="O2"/>
  <c r="O1"/>
  <c r="P5"/>
  <c r="P2"/>
  <c r="Q5"/>
  <c r="Q2"/>
  <c r="Q1" s="1"/>
  <c r="S66"/>
  <c r="E66" s="1"/>
  <c r="S28"/>
  <c r="E28" s="1"/>
  <c r="S59"/>
  <c r="E59" s="1"/>
  <c r="S65"/>
  <c r="E65" s="1"/>
  <c r="S25"/>
  <c r="E25" s="1"/>
  <c r="S62"/>
  <c r="E62" s="1"/>
  <c r="S53"/>
  <c r="E53" s="1"/>
  <c r="S23"/>
  <c r="E23" s="1"/>
  <c r="S17"/>
  <c r="E17" s="1"/>
  <c r="S10"/>
  <c r="S11"/>
  <c r="E11"/>
  <c r="S12"/>
  <c r="E12"/>
  <c r="S13"/>
  <c r="E13"/>
  <c r="S14"/>
  <c r="E14"/>
  <c r="S15"/>
  <c r="E15"/>
  <c r="S16"/>
  <c r="S19"/>
  <c r="E19" s="1"/>
  <c r="S20"/>
  <c r="E20" s="1"/>
  <c r="S21"/>
  <c r="E21" s="1"/>
  <c r="S22"/>
  <c r="E22" s="1"/>
  <c r="S24"/>
  <c r="E24" s="1"/>
  <c r="S29"/>
  <c r="E29" s="1"/>
  <c r="S30"/>
  <c r="E30" s="1"/>
  <c r="S31"/>
  <c r="E31" s="1"/>
  <c r="S32"/>
  <c r="E32" s="1"/>
  <c r="S33"/>
  <c r="E33" s="1"/>
  <c r="S34"/>
  <c r="E34" s="1"/>
  <c r="S35"/>
  <c r="E35" s="1"/>
  <c r="S36"/>
  <c r="E36" s="1"/>
  <c r="S37"/>
  <c r="E37" s="1"/>
  <c r="S38"/>
  <c r="E38" s="1"/>
  <c r="S39"/>
  <c r="E39" s="1"/>
  <c r="E40"/>
  <c r="S41"/>
  <c r="E41"/>
  <c r="S42"/>
  <c r="E42"/>
  <c r="S43"/>
  <c r="E43"/>
  <c r="S44"/>
  <c r="E44"/>
  <c r="S45"/>
  <c r="E45"/>
  <c r="S46"/>
  <c r="E46"/>
  <c r="S47"/>
  <c r="E47"/>
  <c r="S48"/>
  <c r="E48"/>
  <c r="S49"/>
  <c r="E49"/>
  <c r="S50"/>
  <c r="E50"/>
  <c r="S51"/>
  <c r="E51"/>
  <c r="S52"/>
  <c r="E52"/>
  <c r="S54"/>
  <c r="E54"/>
  <c r="S55"/>
  <c r="E55"/>
  <c r="S56"/>
  <c r="E56"/>
  <c r="S57"/>
  <c r="E57"/>
  <c r="S58"/>
  <c r="E58"/>
  <c r="S60"/>
  <c r="E60"/>
  <c r="S61"/>
  <c r="E61"/>
  <c r="S63"/>
  <c r="E63"/>
  <c r="S64"/>
  <c r="E64"/>
  <c r="S67"/>
  <c r="E67"/>
  <c r="E68"/>
  <c r="E69"/>
  <c r="E70"/>
  <c r="E71"/>
  <c r="E72"/>
  <c r="E73"/>
  <c r="E74"/>
  <c r="L5"/>
  <c r="M5"/>
  <c r="R5"/>
  <c r="T5"/>
  <c r="U5"/>
  <c r="V5"/>
  <c r="W5"/>
  <c r="AI5"/>
  <c r="L6"/>
  <c r="M6"/>
  <c r="N6"/>
  <c r="O6"/>
  <c r="P6"/>
  <c r="Q6"/>
  <c r="R6"/>
  <c r="V6"/>
  <c r="W6"/>
  <c r="T6"/>
  <c r="AI6"/>
  <c r="U6"/>
  <c r="L7"/>
  <c r="M7"/>
  <c r="N7"/>
  <c r="O7"/>
  <c r="P7"/>
  <c r="Q7"/>
  <c r="R7"/>
  <c r="V7"/>
  <c r="W7"/>
  <c r="T7"/>
  <c r="AI7"/>
  <c r="U7"/>
  <c r="S7" s="1"/>
  <c r="R9"/>
  <c r="K75"/>
  <c r="L75"/>
  <c r="L77"/>
  <c r="M75"/>
  <c r="N75"/>
  <c r="N77" s="1"/>
  <c r="O75"/>
  <c r="P75"/>
  <c r="P77"/>
  <c r="Q75"/>
  <c r="E75"/>
  <c r="R75"/>
  <c r="E76"/>
  <c r="R76"/>
  <c r="K77"/>
  <c r="M77"/>
  <c r="O77"/>
  <c r="Q77"/>
  <c r="R77"/>
  <c r="K78"/>
  <c r="L78"/>
  <c r="L80" s="1"/>
  <c r="M78"/>
  <c r="N78"/>
  <c r="N80" s="1"/>
  <c r="O78"/>
  <c r="O80" s="1"/>
  <c r="P78"/>
  <c r="Q78"/>
  <c r="Q80" s="1"/>
  <c r="R78"/>
  <c r="T78"/>
  <c r="U78"/>
  <c r="V78"/>
  <c r="W78"/>
  <c r="AI78"/>
  <c r="L79"/>
  <c r="M79"/>
  <c r="O79"/>
  <c r="Q79"/>
  <c r="M80"/>
  <c r="F2" i="11"/>
  <c r="F5"/>
  <c r="G2"/>
  <c r="G5"/>
  <c r="H2"/>
  <c r="H5"/>
  <c r="H1" s="1"/>
  <c r="I2"/>
  <c r="I5"/>
  <c r="I129" s="1"/>
  <c r="J2"/>
  <c r="J5"/>
  <c r="J1" s="1"/>
  <c r="K2"/>
  <c r="K5"/>
  <c r="K129" s="1"/>
  <c r="L2"/>
  <c r="L5"/>
  <c r="L1" s="1"/>
  <c r="M2"/>
  <c r="M5"/>
  <c r="M129" s="1"/>
  <c r="N2"/>
  <c r="N5"/>
  <c r="N129" s="1"/>
  <c r="O2"/>
  <c r="O5"/>
  <c r="O1" s="1"/>
  <c r="P128"/>
  <c r="R126"/>
  <c r="S126"/>
  <c r="T7"/>
  <c r="U6"/>
  <c r="V5"/>
  <c r="W5"/>
  <c r="X5"/>
  <c r="Y5"/>
  <c r="Z5"/>
  <c r="AA126"/>
  <c r="AB6"/>
  <c r="AB5"/>
  <c r="AC126"/>
  <c r="F6"/>
  <c r="G6"/>
  <c r="H6"/>
  <c r="I6"/>
  <c r="J6"/>
  <c r="K6"/>
  <c r="L6"/>
  <c r="M6"/>
  <c r="N6"/>
  <c r="O6"/>
  <c r="T6"/>
  <c r="V6"/>
  <c r="W6"/>
  <c r="X6"/>
  <c r="Y6"/>
  <c r="Z6"/>
  <c r="F7"/>
  <c r="G7"/>
  <c r="H7"/>
  <c r="I7"/>
  <c r="J7"/>
  <c r="K7"/>
  <c r="L7"/>
  <c r="M7"/>
  <c r="N7"/>
  <c r="O7"/>
  <c r="U7"/>
  <c r="V7"/>
  <c r="W7"/>
  <c r="X7"/>
  <c r="Y7"/>
  <c r="Z7"/>
  <c r="P9"/>
  <c r="E125"/>
  <c r="F126"/>
  <c r="G126"/>
  <c r="G127" s="1"/>
  <c r="H126"/>
  <c r="H127" s="1"/>
  <c r="I126"/>
  <c r="I127" s="1"/>
  <c r="J126"/>
  <c r="J127" s="1"/>
  <c r="K126"/>
  <c r="K127" s="1"/>
  <c r="L126"/>
  <c r="L127" s="1"/>
  <c r="M126"/>
  <c r="M127" s="1"/>
  <c r="N126"/>
  <c r="N127" s="1"/>
  <c r="O126"/>
  <c r="O127" s="1"/>
  <c r="P126"/>
  <c r="U126"/>
  <c r="V126"/>
  <c r="W126"/>
  <c r="X126"/>
  <c r="Y126"/>
  <c r="Z126"/>
  <c r="AB126"/>
  <c r="F127"/>
  <c r="F128"/>
  <c r="G128"/>
  <c r="H128"/>
  <c r="I128"/>
  <c r="J128"/>
  <c r="K128"/>
  <c r="L128"/>
  <c r="M128"/>
  <c r="N128"/>
  <c r="O128"/>
  <c r="T128"/>
  <c r="U128"/>
  <c r="V128"/>
  <c r="W128"/>
  <c r="X128"/>
  <c r="Y128"/>
  <c r="Z128"/>
  <c r="F129"/>
  <c r="AC7"/>
  <c r="AA6"/>
  <c r="AA128"/>
  <c r="AA5"/>
  <c r="AB128"/>
  <c r="R128"/>
  <c r="T126"/>
  <c r="U5"/>
  <c r="T5"/>
  <c r="E78" i="65"/>
  <c r="S75"/>
  <c r="P1"/>
  <c r="P79"/>
  <c r="P80" s="1"/>
  <c r="S6"/>
  <c r="G80"/>
  <c r="S128" i="11"/>
  <c r="S5"/>
  <c r="R7"/>
  <c r="P6"/>
  <c r="E16" i="65"/>
  <c r="S76"/>
  <c r="S7" i="11"/>
  <c r="R6"/>
  <c r="Q126"/>
  <c r="G129"/>
  <c r="G130" s="1"/>
  <c r="G1"/>
  <c r="AA7"/>
  <c r="P7"/>
  <c r="AC5"/>
  <c r="AC6"/>
  <c r="AC128"/>
  <c r="AB7"/>
  <c r="R5"/>
  <c r="P5"/>
  <c r="E10" i="65"/>
  <c r="G38" i="2"/>
  <c r="S6" i="11"/>
  <c r="Q128"/>
  <c r="Q5"/>
  <c r="S77" i="65"/>
  <c r="E6" i="11" l="1"/>
  <c r="S5" i="65"/>
  <c r="S78"/>
  <c r="E5"/>
  <c r="E77"/>
  <c r="F80"/>
  <c r="E80" s="1"/>
  <c r="E7"/>
  <c r="E79"/>
  <c r="E6"/>
  <c r="J129" i="11"/>
  <c r="J130" s="1"/>
  <c r="H129"/>
  <c r="H130" s="1"/>
  <c r="I1"/>
  <c r="K1"/>
  <c r="O129"/>
  <c r="O130" s="1"/>
  <c r="L129"/>
  <c r="L130" s="1"/>
  <c r="E126"/>
  <c r="F1"/>
  <c r="N130"/>
  <c r="F130"/>
  <c r="E128"/>
  <c r="E127"/>
  <c r="K130"/>
  <c r="I130"/>
  <c r="N1"/>
  <c r="M1"/>
  <c r="M130"/>
  <c r="AB127"/>
  <c r="W127"/>
  <c r="T127"/>
  <c r="AC127"/>
  <c r="Q127"/>
  <c r="AA127"/>
  <c r="X127"/>
  <c r="Z127"/>
  <c r="Y127"/>
  <c r="V127"/>
  <c r="U127"/>
  <c r="S127"/>
  <c r="R127"/>
  <c r="Q6"/>
  <c r="Q7"/>
  <c r="P127"/>
  <c r="E5"/>
  <c r="E7" l="1"/>
  <c r="E129"/>
  <c r="E130"/>
</calcChain>
</file>

<file path=xl/sharedStrings.xml><?xml version="1.0" encoding="utf-8"?>
<sst xmlns="http://schemas.openxmlformats.org/spreadsheetml/2006/main" count="1309" uniqueCount="377">
  <si>
    <t>物料编码</t>
    <phoneticPr fontId="1" type="noConversion"/>
  </si>
  <si>
    <t>胶料名称</t>
    <phoneticPr fontId="1" type="noConversion"/>
  </si>
  <si>
    <t>DJS702</t>
    <phoneticPr fontId="1" type="noConversion"/>
  </si>
  <si>
    <t>RCS80</t>
    <phoneticPr fontId="1" type="noConversion"/>
  </si>
  <si>
    <t>WIN75</t>
    <phoneticPr fontId="1" type="noConversion"/>
  </si>
  <si>
    <t>WIN60</t>
    <phoneticPr fontId="1" type="noConversion"/>
  </si>
  <si>
    <t>PKX6000</t>
    <phoneticPr fontId="1" type="noConversion"/>
  </si>
  <si>
    <t>WIN60(0)</t>
  </si>
  <si>
    <t>PKX6000(0)</t>
  </si>
  <si>
    <t>WIN75(0)</t>
  </si>
  <si>
    <t>RCS80(0)</t>
  </si>
  <si>
    <t>WIN80(0)</t>
  </si>
  <si>
    <t>LCS95B(0)</t>
  </si>
  <si>
    <t>CIS60B(0)</t>
  </si>
  <si>
    <t>DJS401(0)</t>
  </si>
  <si>
    <t>SCM60PY(0)</t>
  </si>
  <si>
    <t>总班次</t>
    <phoneticPr fontId="1" type="noConversion"/>
  </si>
  <si>
    <t>班次</t>
    <phoneticPr fontId="1" type="noConversion"/>
  </si>
  <si>
    <t>母胶</t>
    <phoneticPr fontId="1" type="noConversion"/>
  </si>
  <si>
    <t>生产班次</t>
    <phoneticPr fontId="1" type="noConversion"/>
  </si>
  <si>
    <t>车数</t>
    <phoneticPr fontId="1" type="noConversion"/>
  </si>
  <si>
    <t>重量</t>
    <phoneticPr fontId="1" type="noConversion"/>
  </si>
  <si>
    <t>物料编码</t>
    <phoneticPr fontId="1" type="noConversion"/>
  </si>
  <si>
    <t>胶料名称</t>
    <phoneticPr fontId="1" type="noConversion"/>
  </si>
  <si>
    <t>定额</t>
    <phoneticPr fontId="1" type="noConversion"/>
  </si>
  <si>
    <t>单重</t>
    <phoneticPr fontId="1" type="noConversion"/>
  </si>
  <si>
    <t>缺口</t>
    <phoneticPr fontId="1" type="noConversion"/>
  </si>
  <si>
    <t>海绵胶</t>
    <phoneticPr fontId="1" type="noConversion"/>
  </si>
  <si>
    <t>过滤实心胶</t>
    <phoneticPr fontId="1" type="noConversion"/>
  </si>
  <si>
    <t>过滤胶料合计</t>
    <phoneticPr fontId="1" type="noConversion"/>
  </si>
  <si>
    <t>终炼胶耗用大车架</t>
    <phoneticPr fontId="1" type="noConversion"/>
  </si>
  <si>
    <t>母炼胶耗用大车架</t>
    <phoneticPr fontId="1" type="noConversion"/>
  </si>
  <si>
    <t>大车架合计</t>
    <phoneticPr fontId="1" type="noConversion"/>
  </si>
  <si>
    <t>CES002</t>
  </si>
  <si>
    <t>CES003</t>
  </si>
  <si>
    <t>CES004</t>
  </si>
  <si>
    <t>需求</t>
    <phoneticPr fontId="1" type="noConversion"/>
  </si>
  <si>
    <t>SES404</t>
  </si>
  <si>
    <t>CES020</t>
  </si>
  <si>
    <t>CES023</t>
  </si>
  <si>
    <t>SES311(0)</t>
  </si>
  <si>
    <t>DEC802(0)</t>
  </si>
  <si>
    <t>生产班次</t>
    <phoneticPr fontId="1" type="noConversion"/>
  </si>
  <si>
    <t>重量</t>
    <phoneticPr fontId="1" type="noConversion"/>
  </si>
  <si>
    <t>SES404(0)</t>
    <phoneticPr fontId="1" type="noConversion"/>
  </si>
  <si>
    <t>WIN80A</t>
    <phoneticPr fontId="1" type="noConversion"/>
  </si>
  <si>
    <t>SP.MIX(0)</t>
    <phoneticPr fontId="1" type="noConversion"/>
  </si>
  <si>
    <t>SES381(0)</t>
    <phoneticPr fontId="1" type="noConversion"/>
  </si>
  <si>
    <t>WIN70</t>
    <phoneticPr fontId="1" type="noConversion"/>
  </si>
  <si>
    <t>SES322(0)</t>
    <phoneticPr fontId="1" type="noConversion"/>
  </si>
  <si>
    <t>SES401(0)</t>
    <phoneticPr fontId="1" type="noConversion"/>
  </si>
  <si>
    <t>DJS702/GP</t>
    <phoneticPr fontId="1" type="noConversion"/>
  </si>
  <si>
    <t>WIN85PY(0)</t>
    <phoneticPr fontId="1" type="noConversion"/>
  </si>
  <si>
    <t>DJS502</t>
    <phoneticPr fontId="1" type="noConversion"/>
  </si>
  <si>
    <t>UVH95(0)</t>
    <phoneticPr fontId="1" type="noConversion"/>
  </si>
  <si>
    <t>TOGO40</t>
    <phoneticPr fontId="1" type="noConversion"/>
  </si>
  <si>
    <t>BF95(0)</t>
    <phoneticPr fontId="1" type="noConversion"/>
  </si>
  <si>
    <t>SP.KY55</t>
    <phoneticPr fontId="1" type="noConversion"/>
  </si>
  <si>
    <t>WIN60薄片</t>
    <phoneticPr fontId="1" type="noConversion"/>
  </si>
  <si>
    <t>400KG</t>
    <phoneticPr fontId="1" type="noConversion"/>
  </si>
  <si>
    <t>DJS702(0)</t>
    <phoneticPr fontId="1" type="noConversion"/>
  </si>
  <si>
    <t>SP.KY55(0)</t>
    <phoneticPr fontId="1" type="noConversion"/>
  </si>
  <si>
    <t>SEC291(0)</t>
    <phoneticPr fontId="1" type="noConversion"/>
  </si>
  <si>
    <t>SP.SCM(0)</t>
    <phoneticPr fontId="1" type="noConversion"/>
  </si>
  <si>
    <t>CES300(0)</t>
    <phoneticPr fontId="1" type="noConversion"/>
  </si>
  <si>
    <t>物料编码</t>
    <phoneticPr fontId="1" type="noConversion"/>
  </si>
  <si>
    <t>胶料名称</t>
    <phoneticPr fontId="1" type="noConversion"/>
  </si>
  <si>
    <t>CES024</t>
  </si>
  <si>
    <t>总班次</t>
    <phoneticPr fontId="1" type="noConversion"/>
  </si>
  <si>
    <t>班次</t>
    <phoneticPr fontId="1" type="noConversion"/>
  </si>
  <si>
    <t>母胶</t>
    <phoneticPr fontId="1" type="noConversion"/>
  </si>
  <si>
    <t>生产班次</t>
    <phoneticPr fontId="1" type="noConversion"/>
  </si>
  <si>
    <t>车数</t>
    <phoneticPr fontId="1" type="noConversion"/>
  </si>
  <si>
    <t>重量</t>
    <phoneticPr fontId="1" type="noConversion"/>
  </si>
  <si>
    <t>物料编码</t>
    <phoneticPr fontId="1" type="noConversion"/>
  </si>
  <si>
    <t>胶料名称</t>
    <phoneticPr fontId="1" type="noConversion"/>
  </si>
  <si>
    <t>定额</t>
    <phoneticPr fontId="1" type="noConversion"/>
  </si>
  <si>
    <t>单重</t>
    <phoneticPr fontId="1" type="noConversion"/>
  </si>
  <si>
    <t>缺口</t>
    <phoneticPr fontId="1" type="noConversion"/>
  </si>
  <si>
    <t>库存</t>
    <phoneticPr fontId="1" type="noConversion"/>
  </si>
  <si>
    <t>需求</t>
    <phoneticPr fontId="1" type="noConversion"/>
  </si>
  <si>
    <t>LCS95B</t>
    <phoneticPr fontId="1" type="noConversion"/>
  </si>
  <si>
    <t>UVH95</t>
    <phoneticPr fontId="1" type="noConversion"/>
  </si>
  <si>
    <t>BF95</t>
    <phoneticPr fontId="1" type="noConversion"/>
  </si>
  <si>
    <t>MF85</t>
    <phoneticPr fontId="1" type="noConversion"/>
  </si>
  <si>
    <t>SUK85</t>
    <phoneticPr fontId="1" type="noConversion"/>
  </si>
  <si>
    <t>DES854</t>
    <phoneticPr fontId="1" type="noConversion"/>
  </si>
  <si>
    <t>cos80</t>
    <phoneticPr fontId="1" type="noConversion"/>
  </si>
  <si>
    <t>SCM80</t>
    <phoneticPr fontId="1" type="noConversion"/>
  </si>
  <si>
    <t>DEC803   苏州</t>
    <phoneticPr fontId="1" type="noConversion"/>
  </si>
  <si>
    <t>DEC803   无锡</t>
    <phoneticPr fontId="1" type="noConversion"/>
  </si>
  <si>
    <t>MKT80A</t>
    <phoneticPr fontId="1" type="noConversion"/>
  </si>
  <si>
    <t>MKT70b</t>
    <phoneticPr fontId="1" type="noConversion"/>
  </si>
  <si>
    <t>DEC702</t>
    <phoneticPr fontId="1" type="noConversion"/>
  </si>
  <si>
    <t>SCM70</t>
    <phoneticPr fontId="1" type="noConversion"/>
  </si>
  <si>
    <t>DEC703    过滤</t>
    <phoneticPr fontId="1" type="noConversion"/>
  </si>
  <si>
    <t>DEC703    苏州过滤</t>
    <phoneticPr fontId="1" type="noConversion"/>
  </si>
  <si>
    <t>DEC705</t>
    <phoneticPr fontId="1" type="noConversion"/>
  </si>
  <si>
    <t>DEC704</t>
    <phoneticPr fontId="1" type="noConversion"/>
  </si>
  <si>
    <t>WSL70A</t>
    <phoneticPr fontId="1" type="noConversion"/>
  </si>
  <si>
    <t>PROF60</t>
    <phoneticPr fontId="1" type="noConversion"/>
  </si>
  <si>
    <t>EMT65</t>
    <phoneticPr fontId="1" type="noConversion"/>
  </si>
  <si>
    <t>DES604</t>
    <phoneticPr fontId="1" type="noConversion"/>
  </si>
  <si>
    <t>DEM601</t>
    <phoneticPr fontId="1" type="noConversion"/>
  </si>
  <si>
    <t>DEM651</t>
    <phoneticPr fontId="1" type="noConversion"/>
  </si>
  <si>
    <t>SCM60</t>
    <phoneticPr fontId="1" type="noConversion"/>
  </si>
  <si>
    <t>DEC601</t>
    <phoneticPr fontId="1" type="noConversion"/>
  </si>
  <si>
    <t>ROM60</t>
    <phoneticPr fontId="1" type="noConversion"/>
  </si>
  <si>
    <t>CIS60B</t>
    <phoneticPr fontId="1" type="noConversion"/>
  </si>
  <si>
    <t>DES401</t>
    <phoneticPr fontId="1" type="noConversion"/>
  </si>
  <si>
    <t>DES501</t>
    <phoneticPr fontId="1" type="noConversion"/>
  </si>
  <si>
    <t>CES001</t>
    <phoneticPr fontId="1" type="noConversion"/>
  </si>
  <si>
    <t>CES009</t>
    <phoneticPr fontId="1" type="noConversion"/>
  </si>
  <si>
    <t>CES010</t>
    <phoneticPr fontId="1" type="noConversion"/>
  </si>
  <si>
    <t>CES011</t>
    <phoneticPr fontId="1" type="noConversion"/>
  </si>
  <si>
    <t>CES012</t>
    <phoneticPr fontId="1" type="noConversion"/>
  </si>
  <si>
    <t>CES013</t>
    <phoneticPr fontId="1" type="noConversion"/>
  </si>
  <si>
    <t>CES015</t>
    <phoneticPr fontId="1" type="noConversion"/>
  </si>
  <si>
    <t>CES017</t>
    <phoneticPr fontId="1" type="noConversion"/>
  </si>
  <si>
    <t>CES019</t>
    <phoneticPr fontId="1" type="noConversion"/>
  </si>
  <si>
    <t>CES021</t>
    <phoneticPr fontId="1" type="noConversion"/>
  </si>
  <si>
    <t>CES022</t>
    <phoneticPr fontId="1" type="noConversion"/>
  </si>
  <si>
    <t>SEC291</t>
    <phoneticPr fontId="1" type="noConversion"/>
  </si>
  <si>
    <t>SP.ALFA</t>
    <phoneticPr fontId="1" type="noConversion"/>
  </si>
  <si>
    <t>sp.camo</t>
    <phoneticPr fontId="1" type="noConversion"/>
  </si>
  <si>
    <t>SP.CHP</t>
    <phoneticPr fontId="1" type="noConversion"/>
  </si>
  <si>
    <t>sp.scm/do</t>
    <phoneticPr fontId="1" type="noConversion"/>
  </si>
  <si>
    <t>sp.scm/ts</t>
    <phoneticPr fontId="1" type="noConversion"/>
  </si>
  <si>
    <t>sp.open</t>
    <phoneticPr fontId="1" type="noConversion"/>
  </si>
  <si>
    <t>SES472</t>
    <phoneticPr fontId="1" type="noConversion"/>
  </si>
  <si>
    <t>SPT/03</t>
    <phoneticPr fontId="1" type="noConversion"/>
  </si>
  <si>
    <t>sp.hood</t>
    <phoneticPr fontId="1" type="noConversion"/>
  </si>
  <si>
    <t>SES401二段</t>
    <phoneticPr fontId="1" type="noConversion"/>
  </si>
  <si>
    <t>SES402</t>
    <phoneticPr fontId="1" type="noConversion"/>
  </si>
  <si>
    <t>SES403</t>
    <phoneticPr fontId="1" type="noConversion"/>
  </si>
  <si>
    <t>SES373</t>
    <phoneticPr fontId="1" type="noConversion"/>
  </si>
  <si>
    <t>海绵胶</t>
    <phoneticPr fontId="1" type="noConversion"/>
  </si>
  <si>
    <t>过滤实心胶</t>
    <phoneticPr fontId="1" type="noConversion"/>
  </si>
  <si>
    <t>过滤胶料合计</t>
    <phoneticPr fontId="1" type="noConversion"/>
  </si>
  <si>
    <t>终炼胶耗用大车架</t>
    <phoneticPr fontId="1" type="noConversion"/>
  </si>
  <si>
    <t>母炼胶耗用大车架</t>
    <phoneticPr fontId="1" type="noConversion"/>
  </si>
  <si>
    <t>大车架合计</t>
    <phoneticPr fontId="1" type="noConversion"/>
  </si>
  <si>
    <t>DES702</t>
    <phoneticPr fontId="1" type="noConversion"/>
  </si>
  <si>
    <t>DEC703   太仓</t>
    <phoneticPr fontId="1" type="noConversion"/>
  </si>
  <si>
    <t>DEC706   太仓</t>
    <phoneticPr fontId="1" type="noConversion"/>
  </si>
  <si>
    <t>DES701(0)</t>
  </si>
  <si>
    <t>DJS601(0)</t>
  </si>
  <si>
    <t>DJS751(0)</t>
  </si>
  <si>
    <t>DJS702(0)</t>
  </si>
  <si>
    <t>DJS801(0)</t>
  </si>
  <si>
    <t>DJS802(0)</t>
  </si>
  <si>
    <t>DJS805(0)</t>
  </si>
  <si>
    <t>DJS851(0)</t>
  </si>
  <si>
    <t>DJM601(0)</t>
  </si>
  <si>
    <t>SES401(0)</t>
  </si>
  <si>
    <t>SES404(0)</t>
  </si>
  <si>
    <t>SES431(0)</t>
  </si>
  <si>
    <t>SES381(0)</t>
  </si>
  <si>
    <t>SES371(0)</t>
  </si>
  <si>
    <t>SES322(0)</t>
  </si>
  <si>
    <t>DES603(0)</t>
  </si>
  <si>
    <t>DES951(0)</t>
  </si>
  <si>
    <t>DES952(0)</t>
  </si>
  <si>
    <t>DEC801(0)</t>
  </si>
  <si>
    <t>DEC852(0)</t>
  </si>
  <si>
    <t>DEC951(0)</t>
  </si>
  <si>
    <t>SEC291(0)</t>
  </si>
  <si>
    <t>SEC292(0)</t>
  </si>
  <si>
    <t>DJS502(1)</t>
    <phoneticPr fontId="1" type="noConversion"/>
  </si>
  <si>
    <t>DJS601(1)</t>
    <phoneticPr fontId="1" type="noConversion"/>
  </si>
  <si>
    <t>UVH95</t>
    <phoneticPr fontId="1" type="noConversion"/>
  </si>
  <si>
    <t>BF95</t>
    <phoneticPr fontId="1" type="noConversion"/>
  </si>
  <si>
    <t>MF85</t>
    <phoneticPr fontId="1" type="noConversion"/>
  </si>
  <si>
    <t>SUK85</t>
    <phoneticPr fontId="1" type="noConversion"/>
  </si>
  <si>
    <t>DES854</t>
    <phoneticPr fontId="1" type="noConversion"/>
  </si>
  <si>
    <t>cos80</t>
    <phoneticPr fontId="1" type="noConversion"/>
  </si>
  <si>
    <t>SCM80</t>
    <phoneticPr fontId="1" type="noConversion"/>
  </si>
  <si>
    <t>DEC852</t>
    <phoneticPr fontId="1" type="noConversion"/>
  </si>
  <si>
    <t>MKT70b</t>
    <phoneticPr fontId="1" type="noConversion"/>
  </si>
  <si>
    <t>DEC707</t>
    <phoneticPr fontId="1" type="noConversion"/>
  </si>
  <si>
    <t>SCM70</t>
    <phoneticPr fontId="1" type="noConversion"/>
  </si>
  <si>
    <t>DEC705</t>
    <phoneticPr fontId="1" type="noConversion"/>
  </si>
  <si>
    <t>DEC704</t>
    <phoneticPr fontId="1" type="noConversion"/>
  </si>
  <si>
    <t>WSL70A</t>
    <phoneticPr fontId="1" type="noConversion"/>
  </si>
  <si>
    <t>PROF60</t>
    <phoneticPr fontId="1" type="noConversion"/>
  </si>
  <si>
    <t>DES702</t>
    <phoneticPr fontId="1" type="noConversion"/>
  </si>
  <si>
    <t>EMT65</t>
    <phoneticPr fontId="1" type="noConversion"/>
  </si>
  <si>
    <t>DES604</t>
    <phoneticPr fontId="1" type="noConversion"/>
  </si>
  <si>
    <t>DEM601</t>
    <phoneticPr fontId="1" type="noConversion"/>
  </si>
  <si>
    <t>DEM651</t>
    <phoneticPr fontId="1" type="noConversion"/>
  </si>
  <si>
    <t>SCM60</t>
    <phoneticPr fontId="1" type="noConversion"/>
  </si>
  <si>
    <t>ROM60</t>
    <phoneticPr fontId="1" type="noConversion"/>
  </si>
  <si>
    <t>CIS60B</t>
    <phoneticPr fontId="1" type="noConversion"/>
  </si>
  <si>
    <t>DES401</t>
    <phoneticPr fontId="1" type="noConversion"/>
  </si>
  <si>
    <t>DES501</t>
    <phoneticPr fontId="1" type="noConversion"/>
  </si>
  <si>
    <t>CES001</t>
    <phoneticPr fontId="1" type="noConversion"/>
  </si>
  <si>
    <t>CES009</t>
    <phoneticPr fontId="1" type="noConversion"/>
  </si>
  <si>
    <t>CES010</t>
    <phoneticPr fontId="1" type="noConversion"/>
  </si>
  <si>
    <t>CES011</t>
    <phoneticPr fontId="1" type="noConversion"/>
  </si>
  <si>
    <t>CES012</t>
    <phoneticPr fontId="1" type="noConversion"/>
  </si>
  <si>
    <t>CES013</t>
    <phoneticPr fontId="1" type="noConversion"/>
  </si>
  <si>
    <t>CES015</t>
    <phoneticPr fontId="1" type="noConversion"/>
  </si>
  <si>
    <t>CES017</t>
    <phoneticPr fontId="1" type="noConversion"/>
  </si>
  <si>
    <t>CES019</t>
    <phoneticPr fontId="1" type="noConversion"/>
  </si>
  <si>
    <t>CES021</t>
    <phoneticPr fontId="1" type="noConversion"/>
  </si>
  <si>
    <t>CES022</t>
    <phoneticPr fontId="1" type="noConversion"/>
  </si>
  <si>
    <t>SEC291</t>
    <phoneticPr fontId="1" type="noConversion"/>
  </si>
  <si>
    <t>SP.ALFA</t>
    <phoneticPr fontId="1" type="noConversion"/>
  </si>
  <si>
    <t>sp.camo</t>
    <phoneticPr fontId="1" type="noConversion"/>
  </si>
  <si>
    <t>SP.CHP</t>
    <phoneticPr fontId="1" type="noConversion"/>
  </si>
  <si>
    <t>sp.scm/do</t>
    <phoneticPr fontId="1" type="noConversion"/>
  </si>
  <si>
    <t>sp.scm/ts</t>
    <phoneticPr fontId="1" type="noConversion"/>
  </si>
  <si>
    <t>sp.open</t>
    <phoneticPr fontId="1" type="noConversion"/>
  </si>
  <si>
    <t>SES472</t>
    <phoneticPr fontId="1" type="noConversion"/>
  </si>
  <si>
    <t>SPT/03</t>
    <phoneticPr fontId="1" type="noConversion"/>
  </si>
  <si>
    <t>sp.hood</t>
    <phoneticPr fontId="1" type="noConversion"/>
  </si>
  <si>
    <t>SES401二段</t>
    <phoneticPr fontId="1" type="noConversion"/>
  </si>
  <si>
    <t>SES402</t>
    <phoneticPr fontId="1" type="noConversion"/>
  </si>
  <si>
    <t>SES403</t>
    <phoneticPr fontId="1" type="noConversion"/>
  </si>
  <si>
    <t>SES373</t>
    <phoneticPr fontId="1" type="noConversion"/>
  </si>
  <si>
    <t>LCS95B</t>
    <phoneticPr fontId="1" type="noConversion"/>
  </si>
  <si>
    <t>DEC806太仓</t>
    <phoneticPr fontId="1" type="noConversion"/>
  </si>
  <si>
    <t>DEC803 苏州</t>
    <phoneticPr fontId="1" type="noConversion"/>
  </si>
  <si>
    <t>DEC706 太仓</t>
    <phoneticPr fontId="1" type="noConversion"/>
  </si>
  <si>
    <t>DEC703太仓</t>
    <phoneticPr fontId="1" type="noConversion"/>
  </si>
  <si>
    <t>DEC703 苏州</t>
    <phoneticPr fontId="1" type="noConversion"/>
  </si>
  <si>
    <t xml:space="preserve">DEC606太仓
</t>
    <phoneticPr fontId="1" type="noConversion"/>
  </si>
  <si>
    <t xml:space="preserve">DEC601不过滤
</t>
    <phoneticPr fontId="1" type="noConversion"/>
  </si>
  <si>
    <t>9201库存</t>
    <phoneticPr fontId="1" type="noConversion"/>
  </si>
  <si>
    <t>9202库存</t>
    <phoneticPr fontId="1" type="noConversion"/>
  </si>
  <si>
    <t>9203库存</t>
    <phoneticPr fontId="1" type="noConversion"/>
  </si>
  <si>
    <t>9204库存</t>
    <phoneticPr fontId="1" type="noConversion"/>
  </si>
  <si>
    <t>胶料编码</t>
  </si>
  <si>
    <t>胶料名称</t>
  </si>
  <si>
    <t>生产线</t>
  </si>
  <si>
    <t>挤出断面</t>
  </si>
  <si>
    <t>挤出名称</t>
  </si>
  <si>
    <t>挤出班次</t>
  </si>
  <si>
    <t>数量</t>
  </si>
  <si>
    <t>折合车数</t>
  </si>
  <si>
    <t>DEC706S(1)</t>
  </si>
  <si>
    <t>EX13</t>
  </si>
  <si>
    <t>SGM618/308门框</t>
  </si>
  <si>
    <t>DEC806S(1)</t>
  </si>
  <si>
    <t>EX08</t>
  </si>
  <si>
    <t>NEW LAVIDA导槽A条</t>
  </si>
  <si>
    <t>NEW LAVIDA导槽C条</t>
  </si>
  <si>
    <t>NEW LAVIDA导槽B条</t>
  </si>
  <si>
    <t>DEC606T(1)</t>
  </si>
  <si>
    <t>EX10</t>
  </si>
  <si>
    <t>Octavia NF门框条</t>
  </si>
  <si>
    <t>YETI门框</t>
  </si>
  <si>
    <t>DEC852</t>
  </si>
  <si>
    <t>EX14</t>
  </si>
  <si>
    <t>C346导槽E条</t>
  </si>
  <si>
    <t>DES702(1)</t>
  </si>
  <si>
    <t>EX06</t>
  </si>
  <si>
    <t>941L门框</t>
  </si>
  <si>
    <t>DEC806T(1)</t>
  </si>
  <si>
    <t>EX12</t>
  </si>
  <si>
    <t>A10导槽A条</t>
  </si>
  <si>
    <t>A10导槽B条</t>
  </si>
  <si>
    <t>DEC706T(1)</t>
  </si>
  <si>
    <t>EX07</t>
  </si>
  <si>
    <t>LAVIDA derivat头道G条</t>
  </si>
  <si>
    <t>A10内水切</t>
  </si>
  <si>
    <t>EX16</t>
  </si>
  <si>
    <t>D2XX门框</t>
  </si>
  <si>
    <t>D2UB行李箱</t>
  </si>
  <si>
    <t>DEM651(1)</t>
  </si>
  <si>
    <t>EX01</t>
  </si>
  <si>
    <t>M-K导槽F条</t>
  </si>
  <si>
    <t>EX02</t>
  </si>
  <si>
    <t>M-K非光亮导槽A条</t>
  </si>
  <si>
    <t>Whitford 2020/D7621</t>
  </si>
  <si>
    <t>M-Z门框</t>
  </si>
  <si>
    <t>CES024(1)</t>
  </si>
  <si>
    <t>withford D2020/D7612</t>
  </si>
  <si>
    <t>EX04</t>
  </si>
  <si>
    <t>M-K导槽D条</t>
  </si>
  <si>
    <t>EX05</t>
  </si>
  <si>
    <t>M-Z导槽E条/NEW LAVIDA头道F条</t>
  </si>
  <si>
    <t>EX03</t>
  </si>
  <si>
    <t>SIPIOL WL-1100-22P</t>
  </si>
  <si>
    <t>EX11</t>
  </si>
  <si>
    <t>YETI头道</t>
  </si>
  <si>
    <t>Emralon TW-520</t>
  </si>
  <si>
    <t>STAHL 91-023</t>
  </si>
  <si>
    <t>A PLUS导槽光亮E条</t>
  </si>
  <si>
    <t>NEW LAVIDA头道A条</t>
  </si>
  <si>
    <t>M-Y门框</t>
  </si>
  <si>
    <t>M-F门框</t>
  </si>
  <si>
    <t>NEW LAVIDA头道E条</t>
  </si>
  <si>
    <t>NEW LAVIDA头道C条</t>
  </si>
  <si>
    <t>EX15</t>
  </si>
  <si>
    <t>NEW LAVIDA头道D条</t>
  </si>
  <si>
    <t>EMT 65(1)</t>
  </si>
  <si>
    <t>V212导槽E条</t>
  </si>
  <si>
    <t>WSC 4029</t>
  </si>
  <si>
    <t>Octavia NF前盖条</t>
  </si>
  <si>
    <t>SES404(1)</t>
  </si>
  <si>
    <t>W204/V212/X204/X156头道</t>
  </si>
  <si>
    <t>DEC704(1)</t>
  </si>
  <si>
    <t>V212导槽A条</t>
  </si>
  <si>
    <t>C346导槽A2条</t>
  </si>
  <si>
    <t>C346导槽C条</t>
  </si>
  <si>
    <t>C346导槽D条</t>
  </si>
  <si>
    <t>DES854(1)</t>
  </si>
  <si>
    <t>DES604(1)</t>
  </si>
  <si>
    <t>DEC705(1)</t>
  </si>
  <si>
    <t>M-K光亮导槽A条</t>
  </si>
  <si>
    <t>M-K导槽B条</t>
  </si>
  <si>
    <t>M-K导槽C条</t>
  </si>
  <si>
    <t>M-K导槽E条</t>
  </si>
  <si>
    <t>SES401</t>
  </si>
  <si>
    <t>M-S门框</t>
  </si>
  <si>
    <t>SGM201门窗（米色）</t>
  </si>
  <si>
    <t>NEW LAVIDA行李箱</t>
  </si>
  <si>
    <t>M-K行李箱</t>
  </si>
  <si>
    <t>DERIVAT行李箱</t>
  </si>
  <si>
    <t>M-H/Z行李箱</t>
  </si>
  <si>
    <t>M-K盖条</t>
  </si>
  <si>
    <t>CC头道</t>
  </si>
  <si>
    <t>M-S头道</t>
  </si>
  <si>
    <t>TOURAN头道</t>
  </si>
  <si>
    <t>SES402(1)</t>
  </si>
  <si>
    <t>SGM60头道B条</t>
  </si>
  <si>
    <t>DES603(1)</t>
  </si>
  <si>
    <t>OCTAVIA头道E条</t>
  </si>
  <si>
    <t>D2XX头道</t>
  </si>
  <si>
    <t>8370 (挤出用)</t>
  </si>
  <si>
    <t>SGM60下侧条</t>
  </si>
  <si>
    <t>SGM60/SGM811导槽A条</t>
  </si>
  <si>
    <t>SGM60导槽C条</t>
  </si>
  <si>
    <t>SGM60/SGM811导槽B条</t>
  </si>
  <si>
    <t>SGM811导槽C2条</t>
  </si>
  <si>
    <t>SGM60上部条A条</t>
  </si>
  <si>
    <t>WSC 4009（低配）</t>
  </si>
  <si>
    <t>OCTAVIA头道C条</t>
  </si>
  <si>
    <t>OCTAVIA头道D条</t>
  </si>
  <si>
    <t>OCTAVIA头道B条</t>
  </si>
  <si>
    <t>CES009(1)</t>
  </si>
  <si>
    <t>SES381(1)</t>
  </si>
  <si>
    <t>Octavia NF导槽E条</t>
  </si>
  <si>
    <t>SES371(1)</t>
  </si>
  <si>
    <t>SES372(1)</t>
  </si>
  <si>
    <t>D2SB/D2UB门槛</t>
  </si>
  <si>
    <t>D2SB/D2UB盖前</t>
  </si>
  <si>
    <t>D2UB尾门辅助</t>
  </si>
  <si>
    <t>SES311(1)</t>
  </si>
  <si>
    <t>SES471(1)</t>
  </si>
  <si>
    <t>E15内侧条</t>
  </si>
  <si>
    <t>SES322(1)</t>
  </si>
  <si>
    <t>DES951(1)</t>
  </si>
  <si>
    <t>DES851(1)</t>
  </si>
  <si>
    <t>C346非光亮外侧条</t>
  </si>
  <si>
    <t>M-H导槽A条</t>
  </si>
  <si>
    <t>M-H导槽C条</t>
  </si>
  <si>
    <t>M-H导槽D条</t>
  </si>
  <si>
    <t>DES801(1)</t>
  </si>
  <si>
    <t>DEC801(1)</t>
  </si>
  <si>
    <t>EPSILON外侧条</t>
  </si>
  <si>
    <t>SGM201导槽</t>
  </si>
  <si>
    <t>IP2X导槽B条</t>
  </si>
  <si>
    <t>M-Z导槽B条</t>
  </si>
  <si>
    <t>M-Z导槽C条</t>
  </si>
  <si>
    <t>M-Z导槽F条</t>
  </si>
  <si>
    <t>A PLUS导槽A条</t>
  </si>
  <si>
    <t>A PLUS导槽C条</t>
  </si>
  <si>
    <t>M-Z光亮导槽A条</t>
  </si>
  <si>
    <t>DES701(1)</t>
  </si>
  <si>
    <t>TOURAN导槽H925</t>
  </si>
  <si>
    <t>DEC701(1)</t>
  </si>
  <si>
    <t>M16外侧条</t>
  </si>
  <si>
    <t>DEC601(1)</t>
  </si>
  <si>
    <t>DES601(1)</t>
  </si>
  <si>
    <t>A PLUS导槽F条</t>
  </si>
</sst>
</file>

<file path=xl/styles.xml><?xml version="1.0" encoding="utf-8"?>
<styleSheet xmlns="http://schemas.openxmlformats.org/spreadsheetml/2006/main">
  <numFmts count="6">
    <numFmt numFmtId="176" formatCode="0.0"/>
    <numFmt numFmtId="177" formatCode="0.0000"/>
    <numFmt numFmtId="178" formatCode="m/d"/>
    <numFmt numFmtId="179" formatCode="0.0_ "/>
    <numFmt numFmtId="180" formatCode="0_ "/>
    <numFmt numFmtId="181" formatCode="0.000"/>
  </numFmts>
  <fonts count="9">
    <font>
      <sz val="12"/>
      <name val="宋体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b/>
      <sz val="11"/>
      <color indexed="12"/>
      <name val="宋体"/>
      <family val="3"/>
      <charset val="134"/>
    </font>
    <font>
      <b/>
      <sz val="11"/>
      <color indexed="10"/>
      <name val="宋体"/>
      <family val="3"/>
      <charset val="134"/>
    </font>
    <font>
      <sz val="11"/>
      <color indexed="12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2"/>
      <name val="宋体"/>
      <family val="3"/>
      <charset val="134"/>
    </font>
    <font>
      <b/>
      <sz val="1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/>
      <right style="thin">
        <color indexed="64"/>
      </right>
      <top style="medium">
        <color rgb="FFFF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177" fontId="2" fillId="0" borderId="1" xfId="0" applyNumberFormat="1" applyFont="1" applyBorder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1" fontId="2" fillId="0" borderId="3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58" fontId="2" fillId="0" borderId="3" xfId="0" applyNumberFormat="1" applyFont="1" applyBorder="1" applyAlignment="1">
      <alignment horizontal="center" vertical="center"/>
    </xf>
    <xf numFmtId="0" fontId="2" fillId="0" borderId="5" xfId="0" applyNumberFormat="1" applyFont="1" applyBorder="1" applyAlignment="1">
      <alignment horizontal="center" vertical="center"/>
    </xf>
    <xf numFmtId="178" fontId="3" fillId="0" borderId="5" xfId="0" applyNumberFormat="1" applyFont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1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2" fontId="2" fillId="0" borderId="7" xfId="0" applyNumberFormat="1" applyFont="1" applyBorder="1" applyAlignment="1">
      <alignment horizontal="center" vertical="center"/>
    </xf>
    <xf numFmtId="2" fontId="3" fillId="0" borderId="7" xfId="0" applyNumberFormat="1" applyFont="1" applyBorder="1" applyAlignment="1">
      <alignment horizontal="center" vertical="center"/>
    </xf>
    <xf numFmtId="2" fontId="4" fillId="0" borderId="7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vertical="center"/>
    </xf>
    <xf numFmtId="0" fontId="2" fillId="0" borderId="5" xfId="0" applyNumberFormat="1" applyFont="1" applyFill="1" applyBorder="1" applyAlignment="1">
      <alignment horizontal="center" vertical="center"/>
    </xf>
    <xf numFmtId="0" fontId="5" fillId="0" borderId="9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" fontId="6" fillId="0" borderId="5" xfId="0" applyNumberFormat="1" applyFont="1" applyFill="1" applyBorder="1" applyAlignment="1">
      <alignment horizontal="center" vertical="center"/>
    </xf>
    <xf numFmtId="176" fontId="6" fillId="0" borderId="5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176" fontId="6" fillId="0" borderId="12" xfId="0" applyNumberFormat="1" applyFont="1" applyFill="1" applyBorder="1" applyAlignment="1">
      <alignment horizontal="center" vertical="center"/>
    </xf>
    <xf numFmtId="176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Fill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76" fontId="6" fillId="2" borderId="5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vertical="center" wrapText="1"/>
    </xf>
    <xf numFmtId="0" fontId="6" fillId="0" borderId="0" xfId="0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58" fontId="2" fillId="0" borderId="3" xfId="0" applyNumberFormat="1" applyFont="1" applyFill="1" applyBorder="1" applyAlignment="1">
      <alignment horizontal="center" vertical="center"/>
    </xf>
    <xf numFmtId="181" fontId="2" fillId="0" borderId="7" xfId="0" applyNumberFormat="1" applyFont="1" applyBorder="1" applyAlignment="1">
      <alignment horizontal="center" vertical="center"/>
    </xf>
    <xf numFmtId="181" fontId="2" fillId="0" borderId="8" xfId="0" applyNumberFormat="1" applyFont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0" xfId="0" applyFont="1" applyFill="1" applyAlignment="1">
      <alignment horizontal="center" vertical="center"/>
    </xf>
    <xf numFmtId="0" fontId="7" fillId="0" borderId="5" xfId="0" applyNumberFormat="1" applyFont="1" applyFill="1" applyBorder="1" applyAlignment="1">
      <alignment horizontal="center" vertical="center"/>
    </xf>
    <xf numFmtId="0" fontId="7" fillId="0" borderId="0" xfId="0" applyNumberFormat="1" applyFont="1" applyFill="1" applyAlignment="1">
      <alignment horizontal="center" vertical="center"/>
    </xf>
    <xf numFmtId="1" fontId="7" fillId="0" borderId="5" xfId="0" applyNumberFormat="1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1" fontId="7" fillId="0" borderId="0" xfId="0" applyNumberFormat="1" applyFont="1" applyFill="1" applyBorder="1" applyAlignment="1">
      <alignment vertical="center"/>
    </xf>
    <xf numFmtId="176" fontId="5" fillId="0" borderId="5" xfId="0" applyNumberFormat="1" applyFont="1" applyFill="1" applyBorder="1" applyAlignment="1">
      <alignment horizontal="center" vertical="center"/>
    </xf>
    <xf numFmtId="179" fontId="6" fillId="0" borderId="6" xfId="0" applyNumberFormat="1" applyFont="1" applyBorder="1" applyAlignment="1">
      <alignment horizontal="center" vertical="center"/>
    </xf>
    <xf numFmtId="180" fontId="6" fillId="0" borderId="6" xfId="0" applyNumberFormat="1" applyFont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5" fillId="0" borderId="5" xfId="0" applyFont="1" applyFill="1" applyBorder="1" applyAlignment="1">
      <alignment vertical="center"/>
    </xf>
    <xf numFmtId="176" fontId="6" fillId="3" borderId="5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58" fontId="2" fillId="4" borderId="3" xfId="0" applyNumberFormat="1" applyFont="1" applyFill="1" applyBorder="1" applyAlignment="1">
      <alignment horizontal="center" vertical="center"/>
    </xf>
    <xf numFmtId="1" fontId="6" fillId="3" borderId="5" xfId="0" applyNumberFormat="1" applyFont="1" applyFill="1" applyBorder="1" applyAlignment="1">
      <alignment horizontal="center" vertical="center"/>
    </xf>
    <xf numFmtId="58" fontId="2" fillId="5" borderId="3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26" xfId="0" applyFont="1" applyBorder="1" applyAlignment="1">
      <alignment vertical="center"/>
    </xf>
    <xf numFmtId="0" fontId="6" fillId="0" borderId="27" xfId="0" applyFont="1" applyBorder="1" applyAlignment="1">
      <alignment vertical="center"/>
    </xf>
    <xf numFmtId="0" fontId="6" fillId="0" borderId="21" xfId="0" applyFont="1" applyBorder="1" applyAlignment="1">
      <alignment horizontal="center" vertical="center"/>
    </xf>
    <xf numFmtId="0" fontId="6" fillId="0" borderId="27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6" fillId="0" borderId="29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0" fontId="6" fillId="0" borderId="31" xfId="0" applyFont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8" fillId="0" borderId="5" xfId="0" applyFont="1" applyBorder="1" applyAlignment="1">
      <alignment vertical="center" wrapText="1"/>
    </xf>
    <xf numFmtId="0" fontId="6" fillId="6" borderId="5" xfId="0" applyFont="1" applyFill="1" applyBorder="1" applyAlignment="1">
      <alignment vertical="center"/>
    </xf>
    <xf numFmtId="58" fontId="8" fillId="5" borderId="3" xfId="0" applyNumberFormat="1" applyFont="1" applyFill="1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/>
    <xf numFmtId="2" fontId="2" fillId="0" borderId="27" xfId="0" applyNumberFormat="1" applyFont="1" applyBorder="1" applyAlignment="1">
      <alignment horizontal="center" vertical="center"/>
    </xf>
    <xf numFmtId="2" fontId="2" fillId="0" borderId="28" xfId="0" applyNumberFormat="1" applyFont="1" applyBorder="1" applyAlignment="1">
      <alignment horizontal="center" vertical="center"/>
    </xf>
    <xf numFmtId="58" fontId="2" fillId="5" borderId="5" xfId="0" applyNumberFormat="1" applyFont="1" applyFill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14" fontId="2" fillId="0" borderId="36" xfId="0" applyNumberFormat="1" applyFont="1" applyBorder="1" applyAlignment="1">
      <alignment horizontal="center" vertical="center"/>
    </xf>
    <xf numFmtId="0" fontId="5" fillId="0" borderId="36" xfId="0" applyFont="1" applyBorder="1" applyAlignment="1">
      <alignment vertical="center"/>
    </xf>
    <xf numFmtId="0" fontId="6" fillId="0" borderId="36" xfId="0" applyFont="1" applyBorder="1" applyAlignment="1">
      <alignment vertical="center"/>
    </xf>
    <xf numFmtId="0" fontId="6" fillId="0" borderId="37" xfId="0" applyFont="1" applyBorder="1" applyAlignment="1">
      <alignment vertical="center"/>
    </xf>
    <xf numFmtId="177" fontId="2" fillId="0" borderId="33" xfId="0" applyNumberFormat="1" applyFont="1" applyBorder="1" applyAlignment="1">
      <alignment horizontal="center" vertical="center"/>
    </xf>
    <xf numFmtId="1" fontId="2" fillId="0" borderId="34" xfId="0" applyNumberFormat="1" applyFont="1" applyBorder="1" applyAlignment="1">
      <alignment horizontal="center" vertical="center"/>
    </xf>
    <xf numFmtId="2" fontId="2" fillId="0" borderId="35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65535"/>
  <ax:ocxPr ax:name="Caption" ax:value="Get Stock/ShipPlan"/>
  <ax:ocxPr ax:name="Size" ax:value="4233;8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AZ135"/>
  <sheetViews>
    <sheetView showGridLines="0" showZeros="0" tabSelected="1" zoomScale="85" zoomScaleNormal="85" workbookViewId="0">
      <pane xSplit="5" ySplit="9" topLeftCell="F10" activePane="bottomRight" state="frozen"/>
      <selection activeCell="A5" sqref="A5"/>
      <selection pane="topRight" activeCell="F5" sqref="F5"/>
      <selection pane="bottomLeft" activeCell="A10" sqref="A10"/>
      <selection pane="bottomRight" activeCell="I17" sqref="I17"/>
    </sheetView>
  </sheetViews>
  <sheetFormatPr defaultColWidth="6" defaultRowHeight="13.5"/>
  <cols>
    <col min="1" max="1" width="9" style="3" customWidth="1"/>
    <col min="2" max="2" width="11.875" style="3" customWidth="1"/>
    <col min="3" max="3" width="4.875" style="8" bestFit="1" customWidth="1"/>
    <col min="4" max="4" width="6" style="8" customWidth="1"/>
    <col min="5" max="5" width="13" style="8" bestFit="1" customWidth="1"/>
    <col min="6" max="12" width="7" style="8" customWidth="1"/>
    <col min="13" max="13" width="10.375" style="8" bestFit="1" customWidth="1"/>
    <col min="14" max="14" width="9.25" style="8" customWidth="1"/>
    <col min="15" max="15" width="10.25" style="8" customWidth="1"/>
    <col min="16" max="16" width="11.875" style="8" customWidth="1"/>
    <col min="17" max="17" width="8.625" style="8" customWidth="1"/>
    <col min="18" max="18" width="10.75" style="8" bestFit="1" customWidth="1"/>
    <col min="19" max="19" width="8.625" style="8" customWidth="1"/>
    <col min="20" max="25" width="7" style="8" customWidth="1"/>
    <col min="26" max="26" width="7.125" style="8" customWidth="1"/>
    <col min="27" max="29" width="7" style="8" customWidth="1"/>
    <col min="30" max="30" width="7.625" style="3" customWidth="1"/>
    <col min="31" max="31" width="8.25" style="3" customWidth="1"/>
    <col min="32" max="32" width="9.125" style="3" customWidth="1"/>
    <col min="33" max="33" width="10" style="3" customWidth="1"/>
    <col min="34" max="16384" width="6" style="3"/>
  </cols>
  <sheetData>
    <row r="1" spans="1:52" hidden="1">
      <c r="A1" s="3" t="s">
        <v>16</v>
      </c>
      <c r="F1" s="37">
        <f t="shared" ref="F1:O1" si="0">F2+F5</f>
        <v>5.9782608695652176E-2</v>
      </c>
      <c r="G1" s="37">
        <f t="shared" si="0"/>
        <v>5.9782608695652176E-2</v>
      </c>
      <c r="H1" s="37">
        <f t="shared" si="0"/>
        <v>1.3510869565217392</v>
      </c>
      <c r="I1" s="37">
        <f t="shared" si="0"/>
        <v>1.2082608695652173</v>
      </c>
      <c r="J1" s="37">
        <f t="shared" si="0"/>
        <v>0.21630434782608698</v>
      </c>
      <c r="K1" s="37">
        <f t="shared" si="0"/>
        <v>5.9782608695652176E-2</v>
      </c>
      <c r="L1" s="37">
        <f t="shared" si="0"/>
        <v>5.9782608695652176E-2</v>
      </c>
      <c r="M1" s="37">
        <f t="shared" si="0"/>
        <v>1.0242391304347827</v>
      </c>
      <c r="N1" s="37">
        <f t="shared" si="0"/>
        <v>0.97213043478260874</v>
      </c>
      <c r="O1" s="37">
        <f t="shared" si="0"/>
        <v>1.850369565217391</v>
      </c>
    </row>
    <row r="2" spans="1:52" hidden="1">
      <c r="A2" s="3" t="s">
        <v>17</v>
      </c>
      <c r="F2" s="37">
        <f t="shared" ref="F2:O2" si="1">$C$3*F3/460</f>
        <v>5.9782608695652176E-2</v>
      </c>
      <c r="G2" s="37">
        <f t="shared" si="1"/>
        <v>5.9782608695652176E-2</v>
      </c>
      <c r="H2" s="37">
        <f t="shared" si="1"/>
        <v>5.9782608695652176E-2</v>
      </c>
      <c r="I2" s="37">
        <f t="shared" si="1"/>
        <v>5.9782608695652176E-2</v>
      </c>
      <c r="J2" s="37">
        <f t="shared" si="1"/>
        <v>5.9782608695652176E-2</v>
      </c>
      <c r="K2" s="37">
        <f t="shared" si="1"/>
        <v>5.9782608695652176E-2</v>
      </c>
      <c r="L2" s="37">
        <f t="shared" si="1"/>
        <v>5.9782608695652176E-2</v>
      </c>
      <c r="M2" s="37">
        <f t="shared" si="1"/>
        <v>5.9782608695652176E-2</v>
      </c>
      <c r="N2" s="37">
        <f t="shared" si="1"/>
        <v>5.9782608695652176E-2</v>
      </c>
      <c r="O2" s="37">
        <f t="shared" si="1"/>
        <v>5.9782608695652176E-2</v>
      </c>
    </row>
    <row r="3" spans="1:52" hidden="1">
      <c r="A3" s="3" t="s">
        <v>18</v>
      </c>
      <c r="C3" s="8">
        <v>5.5</v>
      </c>
      <c r="F3" s="8">
        <v>5</v>
      </c>
      <c r="G3" s="8">
        <v>5</v>
      </c>
      <c r="H3" s="8">
        <v>5</v>
      </c>
      <c r="I3" s="8">
        <v>5</v>
      </c>
      <c r="J3" s="8">
        <v>5</v>
      </c>
      <c r="K3" s="8">
        <v>5</v>
      </c>
      <c r="L3" s="8">
        <v>5</v>
      </c>
      <c r="M3" s="8">
        <v>5</v>
      </c>
      <c r="N3" s="8">
        <v>5</v>
      </c>
      <c r="O3" s="8">
        <v>5</v>
      </c>
    </row>
    <row r="4" spans="1:52" ht="23.25" customHeight="1" thickBot="1"/>
    <row r="5" spans="1:52" ht="18.75" customHeight="1" thickBot="1">
      <c r="A5" s="113" t="s">
        <v>19</v>
      </c>
      <c r="B5" s="114"/>
      <c r="C5" s="114"/>
      <c r="D5" s="115"/>
      <c r="E5" s="1">
        <f t="shared" ref="E5:AC5" ca="1" si="2">+SUMPRODUCT($C$10:$C$124,E10:E124)/460</f>
        <v>-44.935043478260866</v>
      </c>
      <c r="F5" s="1">
        <f t="shared" si="2"/>
        <v>0</v>
      </c>
      <c r="G5" s="1">
        <f t="shared" si="2"/>
        <v>0</v>
      </c>
      <c r="H5" s="1">
        <f t="shared" si="2"/>
        <v>1.2913043478260871</v>
      </c>
      <c r="I5" s="1">
        <f t="shared" si="2"/>
        <v>1.1484782608695652</v>
      </c>
      <c r="J5" s="1">
        <f t="shared" si="2"/>
        <v>0.15652173913043479</v>
      </c>
      <c r="K5" s="1">
        <f t="shared" si="2"/>
        <v>0</v>
      </c>
      <c r="L5" s="1">
        <f t="shared" si="2"/>
        <v>0</v>
      </c>
      <c r="M5" s="1">
        <f t="shared" si="2"/>
        <v>0.96445652173913043</v>
      </c>
      <c r="N5" s="1">
        <f t="shared" si="2"/>
        <v>0.91234782608695653</v>
      </c>
      <c r="O5" s="1">
        <f t="shared" si="2"/>
        <v>1.7905869565217389</v>
      </c>
      <c r="P5" s="1">
        <f t="shared" si="2"/>
        <v>0.76306521739130428</v>
      </c>
      <c r="Q5" s="1">
        <f t="shared" si="2"/>
        <v>51.805282608695641</v>
      </c>
      <c r="R5" s="1">
        <f t="shared" si="2"/>
        <v>13.558152173913046</v>
      </c>
      <c r="S5" s="1">
        <f t="shared" si="2"/>
        <v>11.917717391304347</v>
      </c>
      <c r="T5" s="1">
        <f t="shared" si="2"/>
        <v>13.896782608695654</v>
      </c>
      <c r="U5" s="1">
        <f t="shared" si="2"/>
        <v>12.432630434782606</v>
      </c>
      <c r="V5" s="1">
        <f t="shared" si="2"/>
        <v>11.524021739130434</v>
      </c>
      <c r="W5" s="1">
        <f t="shared" si="2"/>
        <v>14.639152173913043</v>
      </c>
      <c r="X5" s="1">
        <f t="shared" si="2"/>
        <v>13.592326086956522</v>
      </c>
      <c r="Y5" s="1">
        <f t="shared" si="2"/>
        <v>0</v>
      </c>
      <c r="Z5" s="1">
        <f t="shared" si="2"/>
        <v>0</v>
      </c>
      <c r="AA5" s="1">
        <f t="shared" si="2"/>
        <v>0</v>
      </c>
      <c r="AB5" s="1">
        <f t="shared" si="2"/>
        <v>0</v>
      </c>
      <c r="AC5" s="2">
        <f t="shared" si="2"/>
        <v>0</v>
      </c>
      <c r="AD5" s="110">
        <f t="shared" ref="AD5:AG5" si="3">+SUMPRODUCT($C$10:$C$124,AD10:AD124)/460</f>
        <v>1.9847826086956521E-2</v>
      </c>
      <c r="AE5" s="2">
        <f t="shared" si="3"/>
        <v>0</v>
      </c>
      <c r="AF5" s="2">
        <f t="shared" si="3"/>
        <v>0.59404347826086956</v>
      </c>
      <c r="AG5" s="2">
        <f t="shared" si="3"/>
        <v>0.67782608695652169</v>
      </c>
    </row>
    <row r="6" spans="1:52" ht="18.75" customHeight="1">
      <c r="A6" s="116" t="s">
        <v>20</v>
      </c>
      <c r="B6" s="117"/>
      <c r="C6" s="117"/>
      <c r="D6" s="118"/>
      <c r="E6" s="4">
        <f t="shared" ref="E6:P6" ca="1" si="4">SUM(E10:E124)</f>
        <v>-4112.5999999999985</v>
      </c>
      <c r="F6" s="4">
        <f t="shared" si="4"/>
        <v>0</v>
      </c>
      <c r="G6" s="4">
        <f t="shared" si="4"/>
        <v>0</v>
      </c>
      <c r="H6" s="4">
        <f t="shared" si="4"/>
        <v>144</v>
      </c>
      <c r="I6" s="4">
        <f t="shared" si="4"/>
        <v>128</v>
      </c>
      <c r="J6" s="4">
        <f t="shared" si="4"/>
        <v>18</v>
      </c>
      <c r="K6" s="4">
        <f t="shared" si="4"/>
        <v>0</v>
      </c>
      <c r="L6" s="4">
        <f t="shared" si="4"/>
        <v>0</v>
      </c>
      <c r="M6" s="4">
        <f t="shared" si="4"/>
        <v>86.600000000000023</v>
      </c>
      <c r="N6" s="4">
        <f t="shared" si="4"/>
        <v>73.399999999999991</v>
      </c>
      <c r="O6" s="4">
        <f t="shared" si="4"/>
        <v>249.90000000000003</v>
      </c>
      <c r="P6" s="5">
        <f t="shared" si="4"/>
        <v>46</v>
      </c>
      <c r="Q6" s="6">
        <f>+SUM(R6:AC6)</f>
        <v>8498</v>
      </c>
      <c r="R6" s="4">
        <f t="shared" ref="R6:AC6" si="5">SUM(R10:R124)</f>
        <v>1304.3</v>
      </c>
      <c r="S6" s="4">
        <f t="shared" si="5"/>
        <v>1125.4000000000001</v>
      </c>
      <c r="T6" s="4">
        <f t="shared" si="5"/>
        <v>1295</v>
      </c>
      <c r="U6" s="4">
        <f t="shared" si="5"/>
        <v>1115.7999999999997</v>
      </c>
      <c r="V6" s="4">
        <f t="shared" si="5"/>
        <v>1076.0000000000002</v>
      </c>
      <c r="W6" s="4">
        <f t="shared" si="5"/>
        <v>1330</v>
      </c>
      <c r="X6" s="4">
        <f t="shared" si="5"/>
        <v>1251.5</v>
      </c>
      <c r="Y6" s="4">
        <f t="shared" si="5"/>
        <v>0</v>
      </c>
      <c r="Z6" s="4">
        <f t="shared" si="5"/>
        <v>0</v>
      </c>
      <c r="AA6" s="4">
        <f t="shared" si="5"/>
        <v>0</v>
      </c>
      <c r="AB6" s="4">
        <f t="shared" si="5"/>
        <v>0</v>
      </c>
      <c r="AC6" s="7">
        <f t="shared" si="5"/>
        <v>0</v>
      </c>
      <c r="AD6" s="111">
        <f t="shared" ref="AD6:AG6" si="6">SUM(AD10:AD124)</f>
        <v>1.7000000000000002</v>
      </c>
      <c r="AE6" s="7">
        <f t="shared" si="6"/>
        <v>0</v>
      </c>
      <c r="AF6" s="7">
        <f t="shared" si="6"/>
        <v>51.6</v>
      </c>
      <c r="AG6" s="7">
        <f t="shared" si="6"/>
        <v>58.8</v>
      </c>
    </row>
    <row r="7" spans="1:52" ht="18.75" customHeight="1" thickBot="1">
      <c r="A7" s="119" t="s">
        <v>21</v>
      </c>
      <c r="B7" s="120"/>
      <c r="C7" s="120"/>
      <c r="D7" s="121"/>
      <c r="E7" s="25">
        <f t="shared" ref="E7:P7" ca="1" si="7">+SUMPRODUCT($D$10:$D$124,E10:E124)/1000</f>
        <v>-661.66578000000004</v>
      </c>
      <c r="F7" s="25">
        <f t="shared" si="7"/>
        <v>0</v>
      </c>
      <c r="G7" s="25">
        <f t="shared" si="7"/>
        <v>0</v>
      </c>
      <c r="H7" s="25">
        <f t="shared" si="7"/>
        <v>18.901799999999998</v>
      </c>
      <c r="I7" s="25">
        <f t="shared" si="7"/>
        <v>17.111999999999998</v>
      </c>
      <c r="J7" s="25">
        <f t="shared" si="7"/>
        <v>2.8260000000000001</v>
      </c>
      <c r="K7" s="25">
        <f t="shared" si="7"/>
        <v>0</v>
      </c>
      <c r="L7" s="25">
        <f t="shared" si="7"/>
        <v>0</v>
      </c>
      <c r="M7" s="25">
        <f t="shared" si="7"/>
        <v>13.580749999999998</v>
      </c>
      <c r="N7" s="25">
        <f t="shared" si="7"/>
        <v>11.11956</v>
      </c>
      <c r="O7" s="25">
        <f t="shared" si="7"/>
        <v>34.850839999999998</v>
      </c>
      <c r="P7" s="26">
        <f t="shared" si="7"/>
        <v>5.8402499999999993</v>
      </c>
      <c r="Q7" s="27">
        <f>+SUM(R7:AC7)</f>
        <v>1347.3763100000001</v>
      </c>
      <c r="R7" s="25">
        <f t="shared" ref="R7:AC7" si="8">+SUMPRODUCT($D$10:$D$124,R10:R124)/1000</f>
        <v>201.41984999999997</v>
      </c>
      <c r="S7" s="25">
        <f t="shared" si="8"/>
        <v>180.59945000000002</v>
      </c>
      <c r="T7" s="25">
        <f t="shared" si="8"/>
        <v>206.74682000000001</v>
      </c>
      <c r="U7" s="25">
        <f t="shared" si="8"/>
        <v>174.30486000000002</v>
      </c>
      <c r="V7" s="25">
        <f t="shared" si="8"/>
        <v>169.04661999999999</v>
      </c>
      <c r="W7" s="25">
        <f t="shared" si="8"/>
        <v>215.69354999999999</v>
      </c>
      <c r="X7" s="25">
        <f t="shared" si="8"/>
        <v>199.56516000000002</v>
      </c>
      <c r="Y7" s="25">
        <f t="shared" si="8"/>
        <v>0</v>
      </c>
      <c r="Z7" s="25">
        <f t="shared" si="8"/>
        <v>0</v>
      </c>
      <c r="AA7" s="25">
        <f t="shared" si="8"/>
        <v>0</v>
      </c>
      <c r="AB7" s="102">
        <f t="shared" si="8"/>
        <v>0</v>
      </c>
      <c r="AC7" s="103">
        <f t="shared" si="8"/>
        <v>0</v>
      </c>
      <c r="AD7" s="112">
        <f t="shared" ref="AD7:AG7" si="9">+SUMPRODUCT($D$10:$D$124,AD10:AD124)/1000</f>
        <v>0.26397999999999999</v>
      </c>
      <c r="AE7" s="28">
        <f t="shared" si="9"/>
        <v>0</v>
      </c>
      <c r="AF7" s="28">
        <f t="shared" si="9"/>
        <v>8.0635700000000003</v>
      </c>
      <c r="AG7" s="28">
        <f t="shared" si="9"/>
        <v>9.1915400000000016</v>
      </c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</row>
    <row r="8" spans="1:52" s="8" customFormat="1" ht="18.75" customHeight="1">
      <c r="A8" s="122" t="s">
        <v>22</v>
      </c>
      <c r="B8" s="124" t="s">
        <v>23</v>
      </c>
      <c r="C8" s="126" t="s">
        <v>24</v>
      </c>
      <c r="D8" s="126" t="s">
        <v>25</v>
      </c>
      <c r="E8" s="9" t="s">
        <v>26</v>
      </c>
      <c r="F8" s="10">
        <v>41755</v>
      </c>
      <c r="G8" s="10">
        <v>41756</v>
      </c>
      <c r="H8" s="10">
        <v>41750</v>
      </c>
      <c r="I8" s="10">
        <v>41751</v>
      </c>
      <c r="J8" s="10">
        <v>41752</v>
      </c>
      <c r="K8" s="10">
        <v>41753</v>
      </c>
      <c r="L8" s="10">
        <v>41754</v>
      </c>
      <c r="M8" s="97" t="s">
        <v>228</v>
      </c>
      <c r="N8" s="97" t="s">
        <v>229</v>
      </c>
      <c r="O8" s="97" t="s">
        <v>230</v>
      </c>
      <c r="P8" s="97" t="s">
        <v>231</v>
      </c>
      <c r="Q8" s="9" t="s">
        <v>36</v>
      </c>
      <c r="R8" s="80">
        <v>41981</v>
      </c>
      <c r="S8" s="80">
        <v>41982</v>
      </c>
      <c r="T8" s="80">
        <v>41983</v>
      </c>
      <c r="U8" s="80">
        <v>41984</v>
      </c>
      <c r="V8" s="80">
        <v>41985</v>
      </c>
      <c r="W8" s="80">
        <v>41986</v>
      </c>
      <c r="X8" s="80">
        <v>41987</v>
      </c>
      <c r="Y8" s="80">
        <v>41778</v>
      </c>
      <c r="Z8" s="80">
        <v>41779</v>
      </c>
      <c r="AA8" s="80">
        <v>41780</v>
      </c>
      <c r="AB8" s="104">
        <v>41781</v>
      </c>
      <c r="AC8" s="104">
        <v>41782</v>
      </c>
      <c r="AD8" s="104">
        <v>41783</v>
      </c>
      <c r="AE8" s="104">
        <v>41784</v>
      </c>
      <c r="AF8" s="104">
        <v>41785</v>
      </c>
      <c r="AG8" s="104">
        <v>41786</v>
      </c>
      <c r="AH8" s="81"/>
      <c r="AI8" s="81"/>
      <c r="AJ8" s="81"/>
      <c r="AK8" s="81"/>
      <c r="AL8" s="81"/>
      <c r="AM8" s="81"/>
      <c r="AN8" s="81"/>
      <c r="AO8" s="81"/>
    </row>
    <row r="9" spans="1:52" s="13" customFormat="1" ht="18.75" customHeight="1">
      <c r="A9" s="123"/>
      <c r="B9" s="125"/>
      <c r="C9" s="127"/>
      <c r="D9" s="127"/>
      <c r="E9" s="11">
        <v>0</v>
      </c>
      <c r="F9" s="30"/>
      <c r="G9" s="30"/>
      <c r="H9" s="30">
        <v>1</v>
      </c>
      <c r="I9" s="30">
        <v>1</v>
      </c>
      <c r="J9" s="30"/>
      <c r="K9" s="30"/>
      <c r="L9" s="30"/>
      <c r="M9" s="12">
        <f ca="1">+TODAY()-1</f>
        <v>41980</v>
      </c>
      <c r="N9" s="12">
        <f ca="1">+TODAY()-1</f>
        <v>41980</v>
      </c>
      <c r="O9" s="12">
        <f ca="1">+TODAY()-1</f>
        <v>41980</v>
      </c>
      <c r="P9" s="12">
        <f ca="1">+TODAY()-1</f>
        <v>41980</v>
      </c>
      <c r="Q9" s="11"/>
      <c r="R9" s="30">
        <v>1</v>
      </c>
      <c r="S9" s="30">
        <v>1</v>
      </c>
      <c r="T9" s="30">
        <v>1</v>
      </c>
      <c r="U9" s="30">
        <v>1</v>
      </c>
      <c r="V9" s="30"/>
      <c r="W9" s="30"/>
      <c r="X9" s="30"/>
      <c r="Y9" s="30"/>
      <c r="Z9" s="30"/>
      <c r="AA9" s="30"/>
      <c r="AB9" s="30"/>
      <c r="AC9" s="30"/>
      <c r="AD9" s="105"/>
      <c r="AE9" s="105"/>
      <c r="AF9" s="105"/>
      <c r="AG9" s="106"/>
      <c r="AH9" s="81"/>
      <c r="AI9" s="81"/>
      <c r="AJ9" s="81"/>
      <c r="AK9" s="81"/>
      <c r="AL9" s="81"/>
      <c r="AM9" s="81"/>
      <c r="AN9" s="81"/>
      <c r="AO9" s="81"/>
    </row>
    <row r="10" spans="1:52" s="16" customFormat="1" ht="20.100000000000001" customHeight="1">
      <c r="A10" s="31">
        <v>270031</v>
      </c>
      <c r="B10" s="23" t="s">
        <v>220</v>
      </c>
      <c r="C10" s="14">
        <v>5</v>
      </c>
      <c r="D10" s="14">
        <v>130</v>
      </c>
      <c r="E10" s="15">
        <f>+M10+N10+O10+P10-Q10+SUMPRODUCT($F$9:$L$9,F10:L10)</f>
        <v>9</v>
      </c>
      <c r="F10" s="38"/>
      <c r="G10" s="38"/>
      <c r="H10" s="38">
        <v>9</v>
      </c>
      <c r="I10" s="38"/>
      <c r="J10" s="38"/>
      <c r="K10" s="38"/>
      <c r="L10" s="38"/>
      <c r="M10" s="38">
        <v>0</v>
      </c>
      <c r="N10" s="38">
        <v>0</v>
      </c>
      <c r="O10" s="38">
        <v>0</v>
      </c>
      <c r="P10" s="15">
        <v>0</v>
      </c>
      <c r="Q10" s="15">
        <f>+SUMPRODUCT(R10:AC10,$R$9:$AC$9)</f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/>
      <c r="Z10" s="38"/>
      <c r="AA10" s="52"/>
      <c r="AB10" s="38"/>
      <c r="AC10" s="38"/>
      <c r="AD10" s="23">
        <v>0</v>
      </c>
      <c r="AE10" s="23">
        <v>0</v>
      </c>
      <c r="AF10" s="23">
        <v>0</v>
      </c>
      <c r="AG10" s="107">
        <v>0</v>
      </c>
    </row>
    <row r="11" spans="1:52" s="16" customFormat="1" ht="20.100000000000001" customHeight="1">
      <c r="A11" s="31">
        <v>270029</v>
      </c>
      <c r="B11" s="23" t="s">
        <v>170</v>
      </c>
      <c r="C11" s="14">
        <v>4</v>
      </c>
      <c r="D11" s="14">
        <v>130</v>
      </c>
      <c r="E11" s="15">
        <f t="shared" ref="E11:E74" si="10">+M11+N11+O11+P11-Q11+SUMPRODUCT($F$9:$L$9,F11:L11)</f>
        <v>0</v>
      </c>
      <c r="F11" s="38"/>
      <c r="G11" s="38"/>
      <c r="H11" s="38"/>
      <c r="I11" s="38"/>
      <c r="J11" s="38"/>
      <c r="K11" s="38"/>
      <c r="L11" s="38"/>
      <c r="M11" s="38">
        <v>0</v>
      </c>
      <c r="N11" s="38">
        <v>0</v>
      </c>
      <c r="O11" s="38">
        <v>0</v>
      </c>
      <c r="P11" s="15">
        <v>0</v>
      </c>
      <c r="Q11" s="15">
        <f t="shared" ref="Q11:Q74" si="11">+SUMPRODUCT(R11:AC11,$R$9:$AC$9)</f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/>
      <c r="Z11" s="38"/>
      <c r="AA11" s="38"/>
      <c r="AB11" s="38"/>
      <c r="AC11" s="38"/>
      <c r="AD11" s="23">
        <v>0</v>
      </c>
      <c r="AE11" s="23">
        <v>0</v>
      </c>
      <c r="AF11" s="23">
        <v>0</v>
      </c>
      <c r="AG11" s="107">
        <v>0</v>
      </c>
    </row>
    <row r="12" spans="1:52" s="16" customFormat="1" ht="20.100000000000001" customHeight="1">
      <c r="A12" s="31">
        <v>270030</v>
      </c>
      <c r="B12" s="23" t="s">
        <v>171</v>
      </c>
      <c r="C12" s="14">
        <v>4</v>
      </c>
      <c r="D12" s="14">
        <v>130</v>
      </c>
      <c r="E12" s="15">
        <f t="shared" si="10"/>
        <v>5.2999999999999972</v>
      </c>
      <c r="F12" s="38"/>
      <c r="G12" s="38"/>
      <c r="H12" s="38">
        <v>24</v>
      </c>
      <c r="I12" s="38">
        <v>12</v>
      </c>
      <c r="J12" s="38"/>
      <c r="K12" s="38"/>
      <c r="L12" s="38"/>
      <c r="M12" s="38">
        <v>0</v>
      </c>
      <c r="N12" s="38">
        <v>0</v>
      </c>
      <c r="O12" s="38">
        <v>0</v>
      </c>
      <c r="P12" s="15">
        <v>2.5</v>
      </c>
      <c r="Q12" s="15">
        <f t="shared" si="11"/>
        <v>33.200000000000003</v>
      </c>
      <c r="R12" s="38">
        <v>0</v>
      </c>
      <c r="S12" s="38">
        <v>0</v>
      </c>
      <c r="T12" s="38">
        <v>0</v>
      </c>
      <c r="U12" s="38">
        <v>33.200000000000003</v>
      </c>
      <c r="V12" s="38">
        <v>56.1</v>
      </c>
      <c r="W12" s="38">
        <v>0</v>
      </c>
      <c r="X12" s="38">
        <v>0</v>
      </c>
      <c r="Y12" s="38"/>
      <c r="Z12" s="38"/>
      <c r="AA12" s="52"/>
      <c r="AB12" s="38"/>
      <c r="AC12" s="38"/>
      <c r="AD12" s="23">
        <v>0</v>
      </c>
      <c r="AE12" s="23">
        <v>0</v>
      </c>
      <c r="AF12" s="23">
        <v>0</v>
      </c>
      <c r="AG12" s="107">
        <v>0</v>
      </c>
    </row>
    <row r="13" spans="1:52" s="19" customFormat="1" ht="20.100000000000001" customHeight="1">
      <c r="A13" s="32">
        <v>270027</v>
      </c>
      <c r="B13" s="24" t="s">
        <v>172</v>
      </c>
      <c r="C13" s="17">
        <v>5.3</v>
      </c>
      <c r="D13" s="17">
        <v>155</v>
      </c>
      <c r="E13" s="18">
        <f t="shared" si="10"/>
        <v>0</v>
      </c>
      <c r="F13" s="39"/>
      <c r="G13" s="39"/>
      <c r="H13" s="39"/>
      <c r="I13" s="39"/>
      <c r="J13" s="39"/>
      <c r="K13" s="39"/>
      <c r="L13" s="39"/>
      <c r="M13" s="39">
        <v>0</v>
      </c>
      <c r="N13" s="39">
        <v>0</v>
      </c>
      <c r="O13" s="39">
        <v>0</v>
      </c>
      <c r="P13" s="18">
        <v>0</v>
      </c>
      <c r="Q13" s="15">
        <f t="shared" si="11"/>
        <v>0</v>
      </c>
      <c r="R13" s="39">
        <v>0</v>
      </c>
      <c r="S13" s="39">
        <v>0</v>
      </c>
      <c r="T13" s="39">
        <v>0</v>
      </c>
      <c r="U13" s="39">
        <v>0</v>
      </c>
      <c r="V13" s="39">
        <v>0</v>
      </c>
      <c r="W13" s="39">
        <v>0</v>
      </c>
      <c r="X13" s="39">
        <v>0</v>
      </c>
      <c r="Y13" s="39"/>
      <c r="Z13" s="39"/>
      <c r="AA13" s="51"/>
      <c r="AB13" s="39"/>
      <c r="AC13" s="39"/>
      <c r="AD13" s="24">
        <v>0</v>
      </c>
      <c r="AE13" s="24">
        <v>0</v>
      </c>
      <c r="AF13" s="24">
        <v>0</v>
      </c>
      <c r="AG13" s="108">
        <v>0</v>
      </c>
    </row>
    <row r="14" spans="1:52" s="19" customFormat="1" ht="20.100000000000001" customHeight="1">
      <c r="A14" s="32">
        <v>270028</v>
      </c>
      <c r="B14" s="24" t="s">
        <v>173</v>
      </c>
      <c r="C14" s="17">
        <v>5.3</v>
      </c>
      <c r="D14" s="17">
        <v>155</v>
      </c>
      <c r="E14" s="18">
        <f t="shared" si="10"/>
        <v>-138.4</v>
      </c>
      <c r="F14" s="39"/>
      <c r="G14" s="39"/>
      <c r="H14" s="39"/>
      <c r="I14" s="39">
        <v>6</v>
      </c>
      <c r="J14" s="39"/>
      <c r="K14" s="39"/>
      <c r="L14" s="39"/>
      <c r="M14" s="39">
        <v>0</v>
      </c>
      <c r="N14" s="39">
        <v>0</v>
      </c>
      <c r="O14" s="39">
        <v>12</v>
      </c>
      <c r="P14" s="18">
        <v>4</v>
      </c>
      <c r="Q14" s="15">
        <f t="shared" si="11"/>
        <v>160.4</v>
      </c>
      <c r="R14" s="39">
        <v>29.8</v>
      </c>
      <c r="S14" s="39">
        <v>3</v>
      </c>
      <c r="T14" s="39">
        <v>29.1</v>
      </c>
      <c r="U14" s="39">
        <v>98.5</v>
      </c>
      <c r="V14" s="39">
        <v>2.8</v>
      </c>
      <c r="W14" s="39">
        <v>25.4</v>
      </c>
      <c r="X14" s="39">
        <v>66.599999999999994</v>
      </c>
      <c r="Y14" s="39"/>
      <c r="Z14" s="39"/>
      <c r="AA14" s="39"/>
      <c r="AB14" s="39"/>
      <c r="AC14" s="39"/>
      <c r="AD14" s="24">
        <v>1.1000000000000001</v>
      </c>
      <c r="AE14" s="24">
        <v>0</v>
      </c>
      <c r="AF14" s="24">
        <v>19.7</v>
      </c>
      <c r="AG14" s="108">
        <v>21</v>
      </c>
    </row>
    <row r="15" spans="1:52" s="19" customFormat="1" ht="20.100000000000001" customHeight="1">
      <c r="A15" s="32">
        <v>270294</v>
      </c>
      <c r="B15" s="24" t="s">
        <v>174</v>
      </c>
      <c r="C15" s="17">
        <v>5.3</v>
      </c>
      <c r="D15" s="17">
        <v>154</v>
      </c>
      <c r="E15" s="18">
        <f t="shared" si="10"/>
        <v>-47.2</v>
      </c>
      <c r="F15" s="39"/>
      <c r="G15" s="39"/>
      <c r="H15" s="39"/>
      <c r="I15" s="39"/>
      <c r="J15" s="39"/>
      <c r="K15" s="39"/>
      <c r="L15" s="39"/>
      <c r="M15" s="39">
        <v>0</v>
      </c>
      <c r="N15" s="55">
        <v>0</v>
      </c>
      <c r="O15" s="39">
        <v>2</v>
      </c>
      <c r="P15" s="18">
        <v>-0.2</v>
      </c>
      <c r="Q15" s="15">
        <f t="shared" si="11"/>
        <v>49</v>
      </c>
      <c r="R15" s="39">
        <v>0</v>
      </c>
      <c r="S15" s="39">
        <v>0</v>
      </c>
      <c r="T15" s="39">
        <v>49</v>
      </c>
      <c r="U15" s="39">
        <v>0</v>
      </c>
      <c r="V15" s="39">
        <v>20.100000000000001</v>
      </c>
      <c r="W15" s="39">
        <v>12.7</v>
      </c>
      <c r="X15" s="39">
        <v>0</v>
      </c>
      <c r="Y15" s="39"/>
      <c r="Z15" s="39"/>
      <c r="AA15" s="39"/>
      <c r="AB15" s="39"/>
      <c r="AC15" s="39"/>
      <c r="AD15" s="24">
        <v>0</v>
      </c>
      <c r="AE15" s="24">
        <v>0</v>
      </c>
      <c r="AF15" s="24">
        <v>0</v>
      </c>
      <c r="AG15" s="108">
        <v>0</v>
      </c>
    </row>
    <row r="16" spans="1:52" s="19" customFormat="1" ht="20.100000000000001" customHeight="1">
      <c r="A16" s="32">
        <v>270026</v>
      </c>
      <c r="B16" s="24" t="s">
        <v>175</v>
      </c>
      <c r="C16" s="17">
        <v>5.2</v>
      </c>
      <c r="D16" s="17">
        <v>155</v>
      </c>
      <c r="E16" s="18">
        <f t="shared" si="10"/>
        <v>51</v>
      </c>
      <c r="F16" s="39"/>
      <c r="G16" s="39"/>
      <c r="H16" s="39">
        <v>15</v>
      </c>
      <c r="I16" s="39">
        <v>30</v>
      </c>
      <c r="J16" s="39"/>
      <c r="K16" s="39"/>
      <c r="L16" s="39"/>
      <c r="M16" s="39">
        <v>0</v>
      </c>
      <c r="N16" s="39">
        <v>0</v>
      </c>
      <c r="O16" s="39">
        <v>3.2</v>
      </c>
      <c r="P16" s="18">
        <v>2.8</v>
      </c>
      <c r="Q16" s="15">
        <f t="shared" si="11"/>
        <v>0</v>
      </c>
      <c r="R16" s="39">
        <v>0</v>
      </c>
      <c r="S16" s="39">
        <v>0</v>
      </c>
      <c r="T16" s="39">
        <v>0</v>
      </c>
      <c r="U16" s="39">
        <v>0</v>
      </c>
      <c r="V16" s="39">
        <v>168.5</v>
      </c>
      <c r="W16" s="39">
        <v>29.5</v>
      </c>
      <c r="X16" s="39">
        <v>0</v>
      </c>
      <c r="Y16" s="39"/>
      <c r="Z16" s="39"/>
      <c r="AA16" s="39"/>
      <c r="AB16" s="39"/>
      <c r="AC16" s="39"/>
      <c r="AD16" s="24">
        <v>0</v>
      </c>
      <c r="AE16" s="24">
        <v>0</v>
      </c>
      <c r="AF16" s="24">
        <v>0</v>
      </c>
      <c r="AG16" s="108">
        <v>0</v>
      </c>
    </row>
    <row r="17" spans="1:33" s="19" customFormat="1" ht="20.100000000000001" customHeight="1">
      <c r="A17" s="32">
        <v>270024</v>
      </c>
      <c r="B17" s="24" t="s">
        <v>176</v>
      </c>
      <c r="C17" s="17">
        <v>5.5</v>
      </c>
      <c r="D17" s="17">
        <v>156</v>
      </c>
      <c r="E17" s="21">
        <f t="shared" si="10"/>
        <v>-529.70000000000005</v>
      </c>
      <c r="F17" s="40"/>
      <c r="G17" s="40"/>
      <c r="H17" s="40">
        <v>30</v>
      </c>
      <c r="I17" s="40"/>
      <c r="J17" s="40"/>
      <c r="K17" s="40"/>
      <c r="L17" s="40"/>
      <c r="M17" s="40">
        <v>0</v>
      </c>
      <c r="N17" s="40">
        <v>0</v>
      </c>
      <c r="O17" s="40">
        <v>0</v>
      </c>
      <c r="P17" s="18">
        <v>0</v>
      </c>
      <c r="Q17" s="15">
        <f t="shared" si="11"/>
        <v>559.70000000000005</v>
      </c>
      <c r="R17" s="39">
        <v>147.5</v>
      </c>
      <c r="S17" s="39">
        <v>191.7</v>
      </c>
      <c r="T17" s="39">
        <v>69.8</v>
      </c>
      <c r="U17" s="39">
        <v>150.69999999999999</v>
      </c>
      <c r="V17" s="39">
        <v>162.30000000000001</v>
      </c>
      <c r="W17" s="39">
        <v>300.8</v>
      </c>
      <c r="X17" s="39">
        <v>139.69999999999999</v>
      </c>
      <c r="Y17" s="39"/>
      <c r="Z17" s="39"/>
      <c r="AA17" s="51"/>
      <c r="AB17" s="39"/>
      <c r="AC17" s="39"/>
      <c r="AD17" s="24">
        <v>0</v>
      </c>
      <c r="AE17" s="24">
        <v>0</v>
      </c>
      <c r="AF17" s="24">
        <v>0</v>
      </c>
      <c r="AG17" s="108">
        <v>0</v>
      </c>
    </row>
    <row r="18" spans="1:33" s="19" customFormat="1" ht="20.100000000000001" customHeight="1">
      <c r="A18" s="32">
        <v>270188</v>
      </c>
      <c r="B18" s="54" t="s">
        <v>222</v>
      </c>
      <c r="C18" s="17"/>
      <c r="D18" s="17">
        <v>180</v>
      </c>
      <c r="E18" s="18">
        <f t="shared" si="10"/>
        <v>3.4</v>
      </c>
      <c r="F18" s="39"/>
      <c r="G18" s="39"/>
      <c r="H18" s="39"/>
      <c r="I18" s="39"/>
      <c r="J18" s="39"/>
      <c r="K18" s="39"/>
      <c r="L18" s="39"/>
      <c r="M18" s="39">
        <v>-1.1000000000000001</v>
      </c>
      <c r="N18" s="39">
        <v>0</v>
      </c>
      <c r="O18" s="39">
        <v>1.1000000000000001</v>
      </c>
      <c r="P18" s="18">
        <v>3.4</v>
      </c>
      <c r="Q18" s="15">
        <f t="shared" si="11"/>
        <v>0</v>
      </c>
      <c r="R18" s="39">
        <v>0</v>
      </c>
      <c r="S18" s="39">
        <v>0</v>
      </c>
      <c r="T18" s="39">
        <v>0</v>
      </c>
      <c r="U18" s="39">
        <v>0</v>
      </c>
      <c r="V18" s="39">
        <v>0</v>
      </c>
      <c r="W18" s="39">
        <v>0</v>
      </c>
      <c r="X18" s="39">
        <v>0</v>
      </c>
      <c r="Y18" s="39"/>
      <c r="Z18" s="39"/>
      <c r="AA18" s="39"/>
      <c r="AB18" s="39"/>
      <c r="AC18" s="39"/>
      <c r="AD18" s="24">
        <v>0</v>
      </c>
      <c r="AE18" s="24">
        <v>0</v>
      </c>
      <c r="AF18" s="24">
        <v>0</v>
      </c>
      <c r="AG18" s="108">
        <v>0</v>
      </c>
    </row>
    <row r="19" spans="1:33" s="19" customFormat="1" ht="20.100000000000001" customHeight="1">
      <c r="A19" s="32">
        <v>270543</v>
      </c>
      <c r="B19" s="95" t="s">
        <v>221</v>
      </c>
      <c r="C19" s="17"/>
      <c r="D19" s="17">
        <v>180</v>
      </c>
      <c r="E19" s="18">
        <f t="shared" si="10"/>
        <v>-74.5</v>
      </c>
      <c r="F19" s="39"/>
      <c r="G19" s="39"/>
      <c r="H19" s="39"/>
      <c r="I19" s="39"/>
      <c r="J19" s="39"/>
      <c r="K19" s="39"/>
      <c r="L19" s="39"/>
      <c r="M19" s="39">
        <v>0</v>
      </c>
      <c r="N19" s="39">
        <v>0</v>
      </c>
      <c r="O19" s="39">
        <v>20.7</v>
      </c>
      <c r="P19" s="18">
        <v>3.3</v>
      </c>
      <c r="Q19" s="15">
        <f t="shared" si="11"/>
        <v>98.5</v>
      </c>
      <c r="R19" s="39">
        <v>50.3</v>
      </c>
      <c r="S19" s="39">
        <v>22.5</v>
      </c>
      <c r="T19" s="39">
        <v>25.7</v>
      </c>
      <c r="U19" s="39">
        <v>0</v>
      </c>
      <c r="V19" s="39">
        <v>23.7</v>
      </c>
      <c r="W19" s="39">
        <v>45.4</v>
      </c>
      <c r="X19" s="39">
        <v>18.899999999999999</v>
      </c>
      <c r="Y19" s="39"/>
      <c r="Z19" s="39"/>
      <c r="AA19" s="39"/>
      <c r="AB19" s="39"/>
      <c r="AC19" s="39"/>
      <c r="AD19" s="24">
        <v>0</v>
      </c>
      <c r="AE19" s="24">
        <v>0</v>
      </c>
      <c r="AF19" s="24">
        <v>0</v>
      </c>
      <c r="AG19" s="108">
        <v>0</v>
      </c>
    </row>
    <row r="20" spans="1:33" s="19" customFormat="1" ht="20.100000000000001" customHeight="1">
      <c r="A20" s="32">
        <v>270518</v>
      </c>
      <c r="B20" s="24" t="s">
        <v>177</v>
      </c>
      <c r="C20" s="17">
        <v>5.5</v>
      </c>
      <c r="D20" s="18">
        <v>160</v>
      </c>
      <c r="E20" s="18">
        <f t="shared" si="10"/>
        <v>22.4</v>
      </c>
      <c r="F20" s="39"/>
      <c r="G20" s="39"/>
      <c r="H20" s="39"/>
      <c r="I20" s="39">
        <v>27</v>
      </c>
      <c r="J20" s="39"/>
      <c r="K20" s="39"/>
      <c r="L20" s="39"/>
      <c r="M20" s="39">
        <v>0</v>
      </c>
      <c r="N20" s="39">
        <v>0</v>
      </c>
      <c r="O20" s="39">
        <v>1.7</v>
      </c>
      <c r="P20" s="18">
        <v>-6.3</v>
      </c>
      <c r="Q20" s="15">
        <f t="shared" si="11"/>
        <v>0</v>
      </c>
      <c r="R20" s="39">
        <v>0</v>
      </c>
      <c r="S20" s="39">
        <v>0</v>
      </c>
      <c r="T20" s="39">
        <v>0</v>
      </c>
      <c r="U20" s="39">
        <v>0</v>
      </c>
      <c r="V20" s="39">
        <v>16.8</v>
      </c>
      <c r="W20" s="39">
        <v>44.6</v>
      </c>
      <c r="X20" s="39">
        <v>44.6</v>
      </c>
      <c r="Y20" s="39"/>
      <c r="Z20" s="39"/>
      <c r="AA20" s="39"/>
      <c r="AB20" s="39"/>
      <c r="AC20" s="39"/>
      <c r="AD20" s="24">
        <v>0</v>
      </c>
      <c r="AE20" s="24">
        <v>0</v>
      </c>
      <c r="AF20" s="24">
        <v>11.5</v>
      </c>
      <c r="AG20" s="108">
        <v>13.1</v>
      </c>
    </row>
    <row r="21" spans="1:33" s="19" customFormat="1" ht="20.100000000000001" customHeight="1">
      <c r="A21" s="32">
        <v>270021</v>
      </c>
      <c r="B21" s="24" t="s">
        <v>178</v>
      </c>
      <c r="C21" s="17">
        <v>5.3</v>
      </c>
      <c r="D21" s="72">
        <v>155.5</v>
      </c>
      <c r="E21" s="18">
        <f t="shared" si="10"/>
        <v>0.7</v>
      </c>
      <c r="F21" s="39"/>
      <c r="G21" s="39"/>
      <c r="H21" s="39"/>
      <c r="I21" s="39"/>
      <c r="J21" s="39"/>
      <c r="K21" s="39"/>
      <c r="L21" s="39"/>
      <c r="M21" s="39">
        <v>0</v>
      </c>
      <c r="N21" s="39">
        <v>0</v>
      </c>
      <c r="O21" s="39">
        <v>0.7</v>
      </c>
      <c r="P21" s="18">
        <v>0</v>
      </c>
      <c r="Q21" s="15">
        <f t="shared" si="11"/>
        <v>0</v>
      </c>
      <c r="R21" s="39">
        <v>0</v>
      </c>
      <c r="S21" s="39">
        <v>0</v>
      </c>
      <c r="T21" s="39">
        <v>0</v>
      </c>
      <c r="U21" s="39">
        <v>0</v>
      </c>
      <c r="V21" s="39">
        <v>0</v>
      </c>
      <c r="W21" s="39">
        <v>0</v>
      </c>
      <c r="X21" s="39">
        <v>0</v>
      </c>
      <c r="Y21" s="39"/>
      <c r="Z21" s="39"/>
      <c r="AA21" s="39"/>
      <c r="AB21" s="39"/>
      <c r="AC21" s="39"/>
      <c r="AD21" s="24">
        <v>0</v>
      </c>
      <c r="AE21" s="24">
        <v>0</v>
      </c>
      <c r="AF21" s="24">
        <v>0</v>
      </c>
      <c r="AG21" s="108">
        <v>0</v>
      </c>
    </row>
    <row r="22" spans="1:33" s="19" customFormat="1" ht="20.100000000000001" customHeight="1">
      <c r="A22" s="32"/>
      <c r="B22" s="96" t="s">
        <v>179</v>
      </c>
      <c r="C22" s="17"/>
      <c r="D22" s="17">
        <v>156</v>
      </c>
      <c r="E22" s="21">
        <f t="shared" si="10"/>
        <v>0</v>
      </c>
      <c r="F22" s="40"/>
      <c r="G22" s="40"/>
      <c r="H22" s="40"/>
      <c r="I22" s="40"/>
      <c r="J22" s="40"/>
      <c r="K22" s="40"/>
      <c r="L22" s="40"/>
      <c r="M22" s="40">
        <v>0</v>
      </c>
      <c r="N22" s="40">
        <v>0</v>
      </c>
      <c r="O22" s="40">
        <v>0</v>
      </c>
      <c r="P22" s="20">
        <v>0</v>
      </c>
      <c r="Q22" s="15">
        <f t="shared" si="11"/>
        <v>0</v>
      </c>
      <c r="R22" s="39">
        <v>0</v>
      </c>
      <c r="S22" s="39">
        <v>0</v>
      </c>
      <c r="T22" s="39">
        <v>0</v>
      </c>
      <c r="U22" s="39">
        <v>0</v>
      </c>
      <c r="V22" s="39">
        <v>0</v>
      </c>
      <c r="W22" s="39">
        <v>0</v>
      </c>
      <c r="X22" s="39">
        <v>0</v>
      </c>
      <c r="Y22" s="39"/>
      <c r="Z22" s="39"/>
      <c r="AA22" s="39"/>
      <c r="AB22" s="39"/>
      <c r="AC22" s="39"/>
      <c r="AD22" s="24">
        <v>0</v>
      </c>
      <c r="AE22" s="24">
        <v>0</v>
      </c>
      <c r="AF22" s="24">
        <v>0</v>
      </c>
      <c r="AG22" s="108">
        <v>0</v>
      </c>
    </row>
    <row r="23" spans="1:33" s="19" customFormat="1" ht="20.100000000000001" customHeight="1">
      <c r="A23" s="32">
        <v>270020</v>
      </c>
      <c r="B23" s="24" t="s">
        <v>180</v>
      </c>
      <c r="C23" s="17">
        <v>5.5</v>
      </c>
      <c r="D23" s="73">
        <v>156</v>
      </c>
      <c r="E23" s="21">
        <f t="shared" si="10"/>
        <v>-1240.6000000000001</v>
      </c>
      <c r="F23" s="40"/>
      <c r="G23" s="40"/>
      <c r="H23" s="40"/>
      <c r="I23" s="40"/>
      <c r="J23" s="40"/>
      <c r="K23" s="40"/>
      <c r="L23" s="40"/>
      <c r="M23" s="40">
        <v>16</v>
      </c>
      <c r="N23" s="40">
        <v>0</v>
      </c>
      <c r="O23" s="40">
        <v>6.6</v>
      </c>
      <c r="P23" s="40">
        <v>0</v>
      </c>
      <c r="Q23" s="15">
        <f t="shared" si="11"/>
        <v>1263.2</v>
      </c>
      <c r="R23" s="41">
        <v>291.8</v>
      </c>
      <c r="S23" s="41">
        <v>250.1</v>
      </c>
      <c r="T23" s="41">
        <v>419.6</v>
      </c>
      <c r="U23" s="41">
        <v>301.7</v>
      </c>
      <c r="V23" s="41">
        <v>259.89999999999998</v>
      </c>
      <c r="W23" s="41">
        <v>245</v>
      </c>
      <c r="X23" s="41">
        <v>268.10000000000002</v>
      </c>
      <c r="Y23" s="41"/>
      <c r="Z23" s="41"/>
      <c r="AA23" s="53"/>
      <c r="AB23" s="41"/>
      <c r="AC23" s="41"/>
      <c r="AD23" s="24">
        <v>0</v>
      </c>
      <c r="AE23" s="24">
        <v>0</v>
      </c>
      <c r="AF23" s="24">
        <v>4.2</v>
      </c>
      <c r="AG23" s="108">
        <v>9.1</v>
      </c>
    </row>
    <row r="24" spans="1:33" s="19" customFormat="1" ht="20.100000000000001" customHeight="1">
      <c r="A24" s="32"/>
      <c r="B24" s="54" t="s">
        <v>225</v>
      </c>
      <c r="C24" s="17"/>
      <c r="D24" s="17">
        <v>180</v>
      </c>
      <c r="E24" s="21">
        <f t="shared" si="10"/>
        <v>0</v>
      </c>
      <c r="F24" s="40"/>
      <c r="G24" s="40"/>
      <c r="H24" s="40"/>
      <c r="I24" s="40"/>
      <c r="J24" s="40"/>
      <c r="K24" s="40"/>
      <c r="L24" s="40"/>
      <c r="M24" s="40">
        <v>0</v>
      </c>
      <c r="N24" s="40">
        <v>0</v>
      </c>
      <c r="O24" s="40">
        <v>0</v>
      </c>
      <c r="P24" s="40">
        <v>0</v>
      </c>
      <c r="Q24" s="15">
        <f t="shared" si="11"/>
        <v>0</v>
      </c>
      <c r="R24" s="41">
        <v>0</v>
      </c>
      <c r="S24" s="41">
        <v>0</v>
      </c>
      <c r="T24" s="41">
        <v>0</v>
      </c>
      <c r="U24" s="41">
        <v>0</v>
      </c>
      <c r="V24" s="41">
        <v>0</v>
      </c>
      <c r="W24" s="41">
        <v>0</v>
      </c>
      <c r="X24" s="41">
        <v>0</v>
      </c>
      <c r="Y24" s="41"/>
      <c r="Z24" s="41"/>
      <c r="AA24" s="53"/>
      <c r="AB24" s="41"/>
      <c r="AC24" s="41"/>
      <c r="AD24" s="24">
        <v>0</v>
      </c>
      <c r="AE24" s="24">
        <v>0</v>
      </c>
      <c r="AF24" s="24">
        <v>0</v>
      </c>
      <c r="AG24" s="108">
        <v>0</v>
      </c>
    </row>
    <row r="25" spans="1:33" s="19" customFormat="1" ht="20.100000000000001" customHeight="1">
      <c r="A25" s="32">
        <v>270467</v>
      </c>
      <c r="B25" s="95" t="s">
        <v>223</v>
      </c>
      <c r="C25" s="17"/>
      <c r="D25" s="17">
        <v>180</v>
      </c>
      <c r="E25" s="21">
        <f t="shared" si="10"/>
        <v>-173.7</v>
      </c>
      <c r="F25" s="40"/>
      <c r="G25" s="39"/>
      <c r="H25" s="40"/>
      <c r="I25" s="40"/>
      <c r="J25" s="40"/>
      <c r="K25" s="40"/>
      <c r="L25" s="40"/>
      <c r="M25" s="40">
        <v>0</v>
      </c>
      <c r="N25" s="40">
        <v>0</v>
      </c>
      <c r="O25" s="40">
        <v>4.9000000000000004</v>
      </c>
      <c r="P25" s="20">
        <v>5.5</v>
      </c>
      <c r="Q25" s="15">
        <f t="shared" si="11"/>
        <v>184.1</v>
      </c>
      <c r="R25" s="41">
        <v>35.799999999999997</v>
      </c>
      <c r="S25" s="41">
        <v>67.8</v>
      </c>
      <c r="T25" s="41">
        <v>67.099999999999994</v>
      </c>
      <c r="U25" s="41">
        <v>13.4</v>
      </c>
      <c r="V25" s="41">
        <v>30.6</v>
      </c>
      <c r="W25" s="41">
        <v>0</v>
      </c>
      <c r="X25" s="41">
        <v>6.3</v>
      </c>
      <c r="Y25" s="41"/>
      <c r="Z25" s="41"/>
      <c r="AA25" s="53"/>
      <c r="AB25" s="41"/>
      <c r="AC25" s="41"/>
      <c r="AD25" s="24">
        <v>0</v>
      </c>
      <c r="AE25" s="24">
        <v>0</v>
      </c>
      <c r="AF25" s="24">
        <v>0</v>
      </c>
      <c r="AG25" s="108">
        <v>0</v>
      </c>
    </row>
    <row r="26" spans="1:33" s="19" customFormat="1" ht="20.100000000000001" customHeight="1">
      <c r="A26" s="32">
        <v>270393</v>
      </c>
      <c r="B26" s="54" t="s">
        <v>224</v>
      </c>
      <c r="C26" s="17"/>
      <c r="D26" s="17">
        <v>186</v>
      </c>
      <c r="E26" s="18">
        <f t="shared" si="10"/>
        <v>37.4</v>
      </c>
      <c r="F26" s="39"/>
      <c r="G26" s="55"/>
      <c r="H26" s="39"/>
      <c r="I26" s="39"/>
      <c r="J26" s="39"/>
      <c r="K26" s="39"/>
      <c r="L26" s="39"/>
      <c r="M26" s="39">
        <v>0</v>
      </c>
      <c r="N26" s="39">
        <v>0</v>
      </c>
      <c r="O26" s="39">
        <v>26.4</v>
      </c>
      <c r="P26" s="18">
        <v>11</v>
      </c>
      <c r="Q26" s="15">
        <f t="shared" si="11"/>
        <v>0</v>
      </c>
      <c r="R26" s="39">
        <v>0</v>
      </c>
      <c r="S26" s="39">
        <v>0</v>
      </c>
      <c r="T26" s="39">
        <v>0</v>
      </c>
      <c r="U26" s="39">
        <v>0</v>
      </c>
      <c r="V26" s="39">
        <v>0</v>
      </c>
      <c r="W26" s="39">
        <v>0</v>
      </c>
      <c r="X26" s="39">
        <v>0</v>
      </c>
      <c r="Y26" s="39"/>
      <c r="Z26" s="39"/>
      <c r="AA26" s="39"/>
      <c r="AB26" s="39"/>
      <c r="AC26" s="39"/>
      <c r="AD26" s="24">
        <v>0</v>
      </c>
      <c r="AE26" s="24">
        <v>0</v>
      </c>
      <c r="AF26" s="24">
        <v>0</v>
      </c>
      <c r="AG26" s="108">
        <v>0</v>
      </c>
    </row>
    <row r="27" spans="1:33" s="19" customFormat="1" ht="20.100000000000001" customHeight="1">
      <c r="A27" s="32">
        <v>270292</v>
      </c>
      <c r="B27" s="24" t="s">
        <v>181</v>
      </c>
      <c r="C27" s="17">
        <v>5.5</v>
      </c>
      <c r="D27" s="17">
        <v>156</v>
      </c>
      <c r="E27" s="18">
        <f t="shared" si="10"/>
        <v>-133.9</v>
      </c>
      <c r="F27" s="39"/>
      <c r="G27" s="39"/>
      <c r="H27" s="39"/>
      <c r="I27" s="39"/>
      <c r="J27" s="39"/>
      <c r="K27" s="39"/>
      <c r="L27" s="39"/>
      <c r="M27" s="39">
        <v>6</v>
      </c>
      <c r="N27" s="39">
        <v>0</v>
      </c>
      <c r="O27" s="39">
        <v>4.0999999999999996</v>
      </c>
      <c r="P27" s="18">
        <v>-12.1</v>
      </c>
      <c r="Q27" s="15">
        <f t="shared" si="11"/>
        <v>131.9</v>
      </c>
      <c r="R27" s="39">
        <v>52.4</v>
      </c>
      <c r="S27" s="39">
        <v>9.6</v>
      </c>
      <c r="T27" s="39">
        <v>53</v>
      </c>
      <c r="U27" s="39">
        <v>16.899999999999999</v>
      </c>
      <c r="V27" s="39">
        <v>31.7</v>
      </c>
      <c r="W27" s="39">
        <v>15.2</v>
      </c>
      <c r="X27" s="39">
        <v>0</v>
      </c>
      <c r="Y27" s="39"/>
      <c r="Z27" s="39"/>
      <c r="AA27" s="39"/>
      <c r="AB27" s="39"/>
      <c r="AC27" s="39"/>
      <c r="AD27" s="24">
        <v>0</v>
      </c>
      <c r="AE27" s="24">
        <v>0</v>
      </c>
      <c r="AF27" s="24">
        <v>0</v>
      </c>
      <c r="AG27" s="108">
        <v>0</v>
      </c>
    </row>
    <row r="28" spans="1:33" s="19" customFormat="1" ht="20.100000000000001" customHeight="1">
      <c r="A28" s="32">
        <v>270295</v>
      </c>
      <c r="B28" s="24" t="s">
        <v>182</v>
      </c>
      <c r="C28" s="17">
        <v>5.5</v>
      </c>
      <c r="D28" s="17">
        <v>155.80000000000001</v>
      </c>
      <c r="E28" s="18">
        <f t="shared" si="10"/>
        <v>-40.299999999999997</v>
      </c>
      <c r="F28" s="39"/>
      <c r="G28" s="39"/>
      <c r="H28" s="39">
        <v>6</v>
      </c>
      <c r="I28" s="39"/>
      <c r="J28" s="39"/>
      <c r="K28" s="39"/>
      <c r="L28" s="39"/>
      <c r="M28" s="39">
        <v>0</v>
      </c>
      <c r="N28" s="39">
        <v>0</v>
      </c>
      <c r="O28" s="39">
        <v>0.8</v>
      </c>
      <c r="P28" s="18">
        <v>0.5</v>
      </c>
      <c r="Q28" s="15">
        <f t="shared" si="11"/>
        <v>47.599999999999994</v>
      </c>
      <c r="R28" s="39">
        <v>0</v>
      </c>
      <c r="S28" s="39">
        <v>0</v>
      </c>
      <c r="T28" s="39">
        <v>16.399999999999999</v>
      </c>
      <c r="U28" s="39">
        <v>31.2</v>
      </c>
      <c r="V28" s="39">
        <v>3.9</v>
      </c>
      <c r="W28" s="39">
        <v>2.5</v>
      </c>
      <c r="X28" s="39">
        <v>17.7</v>
      </c>
      <c r="Y28" s="39"/>
      <c r="Z28" s="39"/>
      <c r="AA28" s="51"/>
      <c r="AB28" s="39"/>
      <c r="AC28" s="39"/>
      <c r="AD28" s="24">
        <v>0.6</v>
      </c>
      <c r="AE28" s="24">
        <v>0</v>
      </c>
      <c r="AF28" s="24">
        <v>8.4</v>
      </c>
      <c r="AG28" s="108">
        <v>6.8</v>
      </c>
    </row>
    <row r="29" spans="1:33" s="19" customFormat="1" ht="20.100000000000001" customHeight="1">
      <c r="A29" s="32">
        <v>270023</v>
      </c>
      <c r="B29" s="24" t="s">
        <v>183</v>
      </c>
      <c r="C29" s="17">
        <v>5.2</v>
      </c>
      <c r="D29" s="17">
        <v>160</v>
      </c>
      <c r="E29" s="18">
        <f t="shared" si="10"/>
        <v>1.3</v>
      </c>
      <c r="F29" s="39"/>
      <c r="G29" s="39"/>
      <c r="H29" s="39"/>
      <c r="I29" s="39"/>
      <c r="J29" s="39"/>
      <c r="K29" s="39"/>
      <c r="L29" s="39"/>
      <c r="M29" s="39">
        <v>0</v>
      </c>
      <c r="N29" s="39">
        <v>0</v>
      </c>
      <c r="O29" s="39">
        <v>1.3</v>
      </c>
      <c r="P29" s="39">
        <v>0</v>
      </c>
      <c r="Q29" s="15">
        <f t="shared" si="11"/>
        <v>0</v>
      </c>
      <c r="R29" s="39">
        <v>0</v>
      </c>
      <c r="S29" s="39">
        <v>0</v>
      </c>
      <c r="T29" s="39">
        <v>0</v>
      </c>
      <c r="U29" s="39">
        <v>0</v>
      </c>
      <c r="V29" s="39">
        <v>0</v>
      </c>
      <c r="W29" s="39">
        <v>0</v>
      </c>
      <c r="X29" s="39">
        <v>47.9</v>
      </c>
      <c r="Y29" s="39"/>
      <c r="Z29" s="39"/>
      <c r="AA29" s="51"/>
      <c r="AB29" s="39"/>
      <c r="AC29" s="39"/>
      <c r="AD29" s="24">
        <v>0</v>
      </c>
      <c r="AE29" s="24">
        <v>0</v>
      </c>
      <c r="AF29" s="24">
        <v>0</v>
      </c>
      <c r="AG29" s="108">
        <v>0</v>
      </c>
    </row>
    <row r="30" spans="1:33" s="19" customFormat="1" ht="20.100000000000001" customHeight="1">
      <c r="A30" s="32">
        <v>270530</v>
      </c>
      <c r="B30" s="95" t="s">
        <v>226</v>
      </c>
      <c r="C30" s="17"/>
      <c r="D30" s="17">
        <v>180</v>
      </c>
      <c r="E30" s="18">
        <f t="shared" si="10"/>
        <v>-47</v>
      </c>
      <c r="F30" s="39"/>
      <c r="G30" s="39"/>
      <c r="H30" s="39"/>
      <c r="I30" s="39"/>
      <c r="J30" s="39"/>
      <c r="K30" s="39"/>
      <c r="L30" s="39"/>
      <c r="M30" s="39">
        <v>0</v>
      </c>
      <c r="N30" s="39">
        <v>0</v>
      </c>
      <c r="O30" s="39">
        <v>0</v>
      </c>
      <c r="P30" s="18">
        <v>-42.5</v>
      </c>
      <c r="Q30" s="15">
        <f t="shared" si="11"/>
        <v>4.5</v>
      </c>
      <c r="R30" s="39">
        <v>4.5</v>
      </c>
      <c r="S30" s="39">
        <v>0</v>
      </c>
      <c r="T30" s="39">
        <v>0</v>
      </c>
      <c r="U30" s="39">
        <v>0</v>
      </c>
      <c r="V30" s="39">
        <v>10.3</v>
      </c>
      <c r="W30" s="39">
        <v>36.200000000000003</v>
      </c>
      <c r="X30" s="39">
        <v>36.200000000000003</v>
      </c>
      <c r="Y30" s="39"/>
      <c r="Z30" s="39"/>
      <c r="AA30" s="39"/>
      <c r="AB30" s="39"/>
      <c r="AC30" s="39"/>
      <c r="AD30" s="24">
        <v>0</v>
      </c>
      <c r="AE30" s="24">
        <v>0</v>
      </c>
      <c r="AF30" s="24">
        <v>0</v>
      </c>
      <c r="AG30" s="108">
        <v>0</v>
      </c>
    </row>
    <row r="31" spans="1:33" s="16" customFormat="1" ht="20.100000000000001" customHeight="1">
      <c r="A31" s="32">
        <v>270017</v>
      </c>
      <c r="B31" s="24" t="s">
        <v>184</v>
      </c>
      <c r="C31" s="17">
        <v>5</v>
      </c>
      <c r="D31" s="17">
        <v>160</v>
      </c>
      <c r="E31" s="47">
        <f t="shared" si="10"/>
        <v>-21.200000000000003</v>
      </c>
      <c r="F31" s="48"/>
      <c r="G31" s="39"/>
      <c r="H31" s="39"/>
      <c r="I31" s="48"/>
      <c r="J31" s="48"/>
      <c r="K31" s="48"/>
      <c r="L31" s="48"/>
      <c r="M31" s="48">
        <v>6</v>
      </c>
      <c r="N31" s="48">
        <v>0</v>
      </c>
      <c r="O31" s="48">
        <v>6</v>
      </c>
      <c r="P31" s="48">
        <v>-1.1000000000000001</v>
      </c>
      <c r="Q31" s="15">
        <f t="shared" si="11"/>
        <v>32.1</v>
      </c>
      <c r="R31" s="38">
        <v>0</v>
      </c>
      <c r="S31" s="38">
        <v>25.9</v>
      </c>
      <c r="T31" s="38">
        <v>6.2</v>
      </c>
      <c r="U31" s="38">
        <v>0</v>
      </c>
      <c r="V31" s="38">
        <v>26.7</v>
      </c>
      <c r="W31" s="38">
        <v>52.2</v>
      </c>
      <c r="X31" s="38">
        <v>38.4</v>
      </c>
      <c r="Y31" s="38"/>
      <c r="Z31" s="38"/>
      <c r="AA31" s="38"/>
      <c r="AB31" s="38"/>
      <c r="AC31" s="38"/>
      <c r="AD31" s="23">
        <v>0</v>
      </c>
      <c r="AE31" s="23">
        <v>0</v>
      </c>
      <c r="AF31" s="23">
        <v>5.0999999999999996</v>
      </c>
      <c r="AG31" s="107">
        <v>5.8</v>
      </c>
    </row>
    <row r="32" spans="1:33" s="19" customFormat="1" ht="20.100000000000001" customHeight="1">
      <c r="A32" s="32">
        <v>270478</v>
      </c>
      <c r="B32" s="24" t="s">
        <v>185</v>
      </c>
      <c r="C32" s="17">
        <v>6</v>
      </c>
      <c r="D32" s="17">
        <v>160</v>
      </c>
      <c r="E32" s="21">
        <f t="shared" si="10"/>
        <v>-2.2999999999999998</v>
      </c>
      <c r="F32" s="40"/>
      <c r="G32" s="39"/>
      <c r="H32" s="39"/>
      <c r="I32" s="40"/>
      <c r="J32" s="40"/>
      <c r="K32" s="40"/>
      <c r="L32" s="40"/>
      <c r="M32" s="40">
        <v>0</v>
      </c>
      <c r="N32" s="40">
        <v>0</v>
      </c>
      <c r="O32" s="40">
        <v>0.3</v>
      </c>
      <c r="P32" s="40">
        <v>0.4</v>
      </c>
      <c r="Q32" s="15">
        <f t="shared" si="11"/>
        <v>3</v>
      </c>
      <c r="R32" s="39">
        <v>2.4</v>
      </c>
      <c r="S32" s="39">
        <v>0.6</v>
      </c>
      <c r="T32" s="39">
        <v>0</v>
      </c>
      <c r="U32" s="39">
        <v>0</v>
      </c>
      <c r="V32" s="39">
        <v>0</v>
      </c>
      <c r="W32" s="39">
        <v>0</v>
      </c>
      <c r="X32" s="39">
        <v>0</v>
      </c>
      <c r="Y32" s="39"/>
      <c r="Z32" s="39"/>
      <c r="AA32" s="39"/>
      <c r="AB32" s="39"/>
      <c r="AC32" s="39"/>
      <c r="AD32" s="24">
        <v>0</v>
      </c>
      <c r="AE32" s="24">
        <v>0</v>
      </c>
      <c r="AF32" s="24">
        <v>0</v>
      </c>
      <c r="AG32" s="108">
        <v>0</v>
      </c>
    </row>
    <row r="33" spans="1:33" s="19" customFormat="1" ht="20.100000000000001" customHeight="1">
      <c r="A33" s="32">
        <v>270314</v>
      </c>
      <c r="B33" s="96" t="s">
        <v>186</v>
      </c>
      <c r="C33" s="17">
        <v>4</v>
      </c>
      <c r="D33" s="17">
        <v>157</v>
      </c>
      <c r="E33" s="21">
        <f t="shared" si="10"/>
        <v>57.7</v>
      </c>
      <c r="F33" s="40"/>
      <c r="G33" s="39"/>
      <c r="H33" s="56">
        <v>36</v>
      </c>
      <c r="I33" s="40">
        <v>36</v>
      </c>
      <c r="J33" s="40">
        <v>18</v>
      </c>
      <c r="K33" s="40"/>
      <c r="L33" s="40"/>
      <c r="M33" s="40">
        <v>0</v>
      </c>
      <c r="N33" s="40">
        <v>0</v>
      </c>
      <c r="O33" s="40">
        <v>0.4</v>
      </c>
      <c r="P33" s="40">
        <v>0.6</v>
      </c>
      <c r="Q33" s="15">
        <f t="shared" si="11"/>
        <v>15.3</v>
      </c>
      <c r="R33" s="39">
        <v>0</v>
      </c>
      <c r="S33" s="39">
        <v>0</v>
      </c>
      <c r="T33" s="39">
        <v>15.3</v>
      </c>
      <c r="U33" s="39">
        <v>0</v>
      </c>
      <c r="V33" s="39">
        <v>0</v>
      </c>
      <c r="W33" s="39">
        <v>0</v>
      </c>
      <c r="X33" s="39">
        <v>0</v>
      </c>
      <c r="Y33" s="39"/>
      <c r="Z33" s="39"/>
      <c r="AA33" s="51"/>
      <c r="AB33" s="39"/>
      <c r="AC33" s="39"/>
      <c r="AD33" s="24">
        <v>0</v>
      </c>
      <c r="AE33" s="24">
        <v>0</v>
      </c>
      <c r="AF33" s="24">
        <v>0</v>
      </c>
      <c r="AG33" s="108">
        <v>0</v>
      </c>
    </row>
    <row r="34" spans="1:33" s="19" customFormat="1" ht="20.100000000000001" customHeight="1">
      <c r="A34" s="32">
        <v>270293</v>
      </c>
      <c r="B34" s="24" t="s">
        <v>187</v>
      </c>
      <c r="C34" s="17">
        <v>5</v>
      </c>
      <c r="D34" s="17">
        <v>160</v>
      </c>
      <c r="E34" s="21">
        <f t="shared" si="10"/>
        <v>5.9</v>
      </c>
      <c r="F34" s="40"/>
      <c r="G34" s="39"/>
      <c r="H34" s="39"/>
      <c r="I34" s="40"/>
      <c r="J34" s="40"/>
      <c r="K34" s="40"/>
      <c r="L34" s="40"/>
      <c r="M34" s="40">
        <v>0</v>
      </c>
      <c r="N34" s="40">
        <v>0</v>
      </c>
      <c r="O34" s="40">
        <v>2</v>
      </c>
      <c r="P34" s="40">
        <v>3.9</v>
      </c>
      <c r="Q34" s="15">
        <f t="shared" si="11"/>
        <v>0</v>
      </c>
      <c r="R34" s="39">
        <v>0</v>
      </c>
      <c r="S34" s="39">
        <v>0</v>
      </c>
      <c r="T34" s="39">
        <v>0</v>
      </c>
      <c r="U34" s="39">
        <v>0</v>
      </c>
      <c r="V34" s="39">
        <v>0</v>
      </c>
      <c r="W34" s="39">
        <v>68.599999999999994</v>
      </c>
      <c r="X34" s="39">
        <v>87.4</v>
      </c>
      <c r="Y34" s="39"/>
      <c r="Z34" s="39"/>
      <c r="AA34" s="39"/>
      <c r="AB34" s="39"/>
      <c r="AC34" s="39"/>
      <c r="AD34" s="24">
        <v>0</v>
      </c>
      <c r="AE34" s="24">
        <v>0</v>
      </c>
      <c r="AF34" s="24">
        <v>0</v>
      </c>
      <c r="AG34" s="108">
        <v>0</v>
      </c>
    </row>
    <row r="35" spans="1:33" s="19" customFormat="1" ht="20.100000000000001" customHeight="1">
      <c r="A35" s="32">
        <v>270377</v>
      </c>
      <c r="B35" s="24" t="s">
        <v>188</v>
      </c>
      <c r="C35" s="17">
        <v>5.5</v>
      </c>
      <c r="D35" s="17">
        <v>160</v>
      </c>
      <c r="E35" s="18">
        <f t="shared" si="10"/>
        <v>0</v>
      </c>
      <c r="F35" s="39"/>
      <c r="G35" s="39"/>
      <c r="H35" s="39"/>
      <c r="I35" s="39"/>
      <c r="J35" s="39"/>
      <c r="K35" s="39"/>
      <c r="L35" s="39"/>
      <c r="M35" s="39">
        <v>0</v>
      </c>
      <c r="N35" s="39">
        <v>0</v>
      </c>
      <c r="O35" s="39">
        <v>0</v>
      </c>
      <c r="P35" s="18">
        <v>0</v>
      </c>
      <c r="Q35" s="15">
        <f t="shared" si="11"/>
        <v>0</v>
      </c>
      <c r="R35" s="39">
        <v>0</v>
      </c>
      <c r="S35" s="39">
        <v>0</v>
      </c>
      <c r="T35" s="39">
        <v>0</v>
      </c>
      <c r="U35" s="39">
        <v>0</v>
      </c>
      <c r="V35" s="39">
        <v>0</v>
      </c>
      <c r="W35" s="39">
        <v>0</v>
      </c>
      <c r="X35" s="39">
        <v>0</v>
      </c>
      <c r="Y35" s="39"/>
      <c r="Z35" s="39"/>
      <c r="AA35" s="39"/>
      <c r="AB35" s="39"/>
      <c r="AC35" s="39"/>
      <c r="AD35" s="24">
        <v>0</v>
      </c>
      <c r="AE35" s="24">
        <v>0</v>
      </c>
      <c r="AF35" s="24">
        <v>0</v>
      </c>
      <c r="AG35" s="108">
        <v>0</v>
      </c>
    </row>
    <row r="36" spans="1:33" s="16" customFormat="1" ht="20.100000000000001" customHeight="1">
      <c r="A36" s="32">
        <v>270437</v>
      </c>
      <c r="B36" s="24" t="s">
        <v>189</v>
      </c>
      <c r="C36" s="17">
        <v>5.5</v>
      </c>
      <c r="D36" s="17">
        <v>160</v>
      </c>
      <c r="E36" s="15">
        <f t="shared" si="10"/>
        <v>-26.999999999999996</v>
      </c>
      <c r="F36" s="38"/>
      <c r="G36" s="38"/>
      <c r="H36" s="38"/>
      <c r="I36" s="38"/>
      <c r="J36" s="38"/>
      <c r="K36" s="38"/>
      <c r="L36" s="38"/>
      <c r="M36" s="38">
        <v>0</v>
      </c>
      <c r="N36" s="38">
        <v>0</v>
      </c>
      <c r="O36" s="38">
        <v>2.5</v>
      </c>
      <c r="P36" s="15">
        <v>0.8</v>
      </c>
      <c r="Q36" s="15">
        <f t="shared" si="11"/>
        <v>30.299999999999997</v>
      </c>
      <c r="R36" s="38">
        <v>29.4</v>
      </c>
      <c r="S36" s="38">
        <v>0</v>
      </c>
      <c r="T36" s="38">
        <v>0</v>
      </c>
      <c r="U36" s="38">
        <v>0.9</v>
      </c>
      <c r="V36" s="38">
        <v>0</v>
      </c>
      <c r="W36" s="38">
        <v>0</v>
      </c>
      <c r="X36" s="38">
        <v>0</v>
      </c>
      <c r="Y36" s="38"/>
      <c r="Z36" s="38"/>
      <c r="AA36" s="52"/>
      <c r="AB36" s="38"/>
      <c r="AC36" s="38"/>
      <c r="AD36" s="23">
        <v>0</v>
      </c>
      <c r="AE36" s="23">
        <v>0</v>
      </c>
      <c r="AF36" s="23">
        <v>0</v>
      </c>
      <c r="AG36" s="107">
        <v>0</v>
      </c>
    </row>
    <row r="37" spans="1:33" s="19" customFormat="1" ht="20.100000000000001" customHeight="1">
      <c r="A37" s="32">
        <v>270018</v>
      </c>
      <c r="B37" s="24" t="s">
        <v>190</v>
      </c>
      <c r="C37" s="17">
        <v>5.2</v>
      </c>
      <c r="D37" s="17">
        <v>160</v>
      </c>
      <c r="E37" s="18">
        <f t="shared" si="10"/>
        <v>-529.1</v>
      </c>
      <c r="F37" s="39"/>
      <c r="G37" s="39"/>
      <c r="H37" s="39"/>
      <c r="I37" s="39"/>
      <c r="J37" s="39"/>
      <c r="K37" s="39"/>
      <c r="L37" s="39"/>
      <c r="M37" s="39">
        <v>42</v>
      </c>
      <c r="N37" s="39">
        <v>0</v>
      </c>
      <c r="O37" s="39">
        <v>5</v>
      </c>
      <c r="P37" s="18">
        <v>63.6</v>
      </c>
      <c r="Q37" s="15">
        <f t="shared" si="11"/>
        <v>639.70000000000005</v>
      </c>
      <c r="R37" s="39">
        <v>115.4</v>
      </c>
      <c r="S37" s="39">
        <v>163.6</v>
      </c>
      <c r="T37" s="39">
        <v>185.5</v>
      </c>
      <c r="U37" s="39">
        <v>175.2</v>
      </c>
      <c r="V37" s="39">
        <v>10.6</v>
      </c>
      <c r="W37" s="39">
        <v>0</v>
      </c>
      <c r="X37" s="39">
        <v>52.6</v>
      </c>
      <c r="Y37" s="39"/>
      <c r="Z37" s="39"/>
      <c r="AA37" s="39"/>
      <c r="AB37" s="39"/>
      <c r="AC37" s="39"/>
      <c r="AD37" s="24">
        <v>0</v>
      </c>
      <c r="AE37" s="24">
        <v>0</v>
      </c>
      <c r="AF37" s="24">
        <v>0</v>
      </c>
      <c r="AG37" s="108">
        <v>0</v>
      </c>
    </row>
    <row r="38" spans="1:33" s="19" customFormat="1" ht="20.100000000000001" customHeight="1">
      <c r="A38" s="32"/>
      <c r="B38" s="95" t="s">
        <v>227</v>
      </c>
      <c r="C38" s="17">
        <v>5.2</v>
      </c>
      <c r="D38" s="17">
        <v>160</v>
      </c>
      <c r="E38" s="18">
        <f t="shared" si="10"/>
        <v>0</v>
      </c>
      <c r="F38" s="39"/>
      <c r="G38" s="39"/>
      <c r="H38" s="39"/>
      <c r="I38" s="39"/>
      <c r="J38" s="39"/>
      <c r="K38" s="39"/>
      <c r="L38" s="39"/>
      <c r="M38" s="39">
        <v>0</v>
      </c>
      <c r="N38" s="39">
        <v>0</v>
      </c>
      <c r="O38" s="39">
        <v>0</v>
      </c>
      <c r="P38" s="18">
        <v>0</v>
      </c>
      <c r="Q38" s="15">
        <f t="shared" si="11"/>
        <v>0</v>
      </c>
      <c r="R38" s="39">
        <v>0</v>
      </c>
      <c r="S38" s="39">
        <v>0</v>
      </c>
      <c r="T38" s="39">
        <v>0</v>
      </c>
      <c r="U38" s="39">
        <v>0</v>
      </c>
      <c r="V38" s="39">
        <v>0</v>
      </c>
      <c r="W38" s="39">
        <v>0</v>
      </c>
      <c r="X38" s="39">
        <v>0</v>
      </c>
      <c r="Y38" s="39"/>
      <c r="Z38" s="39"/>
      <c r="AA38" s="51"/>
      <c r="AB38" s="39"/>
      <c r="AC38" s="39"/>
      <c r="AD38" s="24">
        <v>0</v>
      </c>
      <c r="AE38" s="24">
        <v>0</v>
      </c>
      <c r="AF38" s="24">
        <v>0</v>
      </c>
      <c r="AG38" s="108">
        <v>0</v>
      </c>
    </row>
    <row r="39" spans="1:33" s="16" customFormat="1" ht="20.100000000000001" customHeight="1">
      <c r="A39" s="32">
        <v>270082</v>
      </c>
      <c r="B39" s="24" t="s">
        <v>191</v>
      </c>
      <c r="C39" s="17">
        <v>5</v>
      </c>
      <c r="D39" s="17">
        <v>159</v>
      </c>
      <c r="E39" s="15">
        <f t="shared" si="10"/>
        <v>-234.10000000000002</v>
      </c>
      <c r="F39" s="38"/>
      <c r="G39" s="38"/>
      <c r="H39" s="38"/>
      <c r="I39" s="38"/>
      <c r="J39" s="38"/>
      <c r="K39" s="38"/>
      <c r="L39" s="38"/>
      <c r="M39" s="38">
        <v>0</v>
      </c>
      <c r="N39" s="38">
        <v>0</v>
      </c>
      <c r="O39" s="38">
        <v>0.7</v>
      </c>
      <c r="P39" s="15">
        <v>-13.2</v>
      </c>
      <c r="Q39" s="15">
        <f t="shared" si="11"/>
        <v>221.60000000000002</v>
      </c>
      <c r="R39" s="38">
        <v>92.3</v>
      </c>
      <c r="S39" s="38">
        <v>129.30000000000001</v>
      </c>
      <c r="T39" s="38">
        <v>0</v>
      </c>
      <c r="U39" s="38">
        <v>0</v>
      </c>
      <c r="V39" s="38">
        <v>0</v>
      </c>
      <c r="W39" s="38">
        <v>0</v>
      </c>
      <c r="X39" s="38">
        <v>0</v>
      </c>
      <c r="Y39" s="38"/>
      <c r="Z39" s="38"/>
      <c r="AA39" s="38"/>
      <c r="AB39" s="38"/>
      <c r="AC39" s="38"/>
      <c r="AD39" s="23">
        <v>0</v>
      </c>
      <c r="AE39" s="23">
        <v>0</v>
      </c>
      <c r="AF39" s="23">
        <v>0</v>
      </c>
      <c r="AG39" s="107">
        <v>0</v>
      </c>
    </row>
    <row r="40" spans="1:33" s="16" customFormat="1" ht="20.100000000000001" customHeight="1">
      <c r="A40" s="32">
        <v>270019</v>
      </c>
      <c r="B40" s="24" t="s">
        <v>192</v>
      </c>
      <c r="C40" s="17">
        <v>4.5</v>
      </c>
      <c r="D40" s="17">
        <v>140</v>
      </c>
      <c r="E40" s="15">
        <f t="shared" si="10"/>
        <v>-1.1000000000000001</v>
      </c>
      <c r="F40" s="38"/>
      <c r="G40" s="38"/>
      <c r="H40" s="38"/>
      <c r="I40" s="38"/>
      <c r="J40" s="38"/>
      <c r="K40" s="38"/>
      <c r="L40" s="38"/>
      <c r="M40" s="38">
        <v>0</v>
      </c>
      <c r="N40" s="38">
        <v>0</v>
      </c>
      <c r="O40" s="38">
        <v>0</v>
      </c>
      <c r="P40" s="15">
        <v>-1.1000000000000001</v>
      </c>
      <c r="Q40" s="15">
        <f t="shared" si="11"/>
        <v>0</v>
      </c>
      <c r="R40" s="38">
        <v>0</v>
      </c>
      <c r="S40" s="38">
        <v>0</v>
      </c>
      <c r="T40" s="38">
        <v>0</v>
      </c>
      <c r="U40" s="38">
        <v>0</v>
      </c>
      <c r="V40" s="38">
        <v>0</v>
      </c>
      <c r="W40" s="38">
        <v>0</v>
      </c>
      <c r="X40" s="38">
        <v>0</v>
      </c>
      <c r="Y40" s="38"/>
      <c r="Z40" s="38"/>
      <c r="AA40" s="38"/>
      <c r="AB40" s="38"/>
      <c r="AC40" s="38"/>
      <c r="AD40" s="23">
        <v>0</v>
      </c>
      <c r="AE40" s="23">
        <v>0</v>
      </c>
      <c r="AF40" s="23">
        <v>0</v>
      </c>
      <c r="AG40" s="107">
        <v>0</v>
      </c>
    </row>
    <row r="41" spans="1:33" s="16" customFormat="1" ht="20.100000000000001" customHeight="1">
      <c r="A41" s="32">
        <v>270130</v>
      </c>
      <c r="B41" s="24" t="s">
        <v>193</v>
      </c>
      <c r="C41" s="17">
        <v>5.5</v>
      </c>
      <c r="D41" s="72">
        <v>162.5</v>
      </c>
      <c r="E41" s="15">
        <f t="shared" si="10"/>
        <v>0</v>
      </c>
      <c r="F41" s="38"/>
      <c r="G41" s="38"/>
      <c r="H41" s="38"/>
      <c r="I41" s="38"/>
      <c r="J41" s="38"/>
      <c r="K41" s="38"/>
      <c r="L41" s="38"/>
      <c r="M41" s="38">
        <v>0</v>
      </c>
      <c r="N41" s="38">
        <v>0</v>
      </c>
      <c r="O41" s="38">
        <v>0</v>
      </c>
      <c r="P41" s="15">
        <v>0</v>
      </c>
      <c r="Q41" s="15">
        <f t="shared" si="11"/>
        <v>0</v>
      </c>
      <c r="R41" s="38">
        <v>0</v>
      </c>
      <c r="S41" s="38">
        <v>0</v>
      </c>
      <c r="T41" s="38">
        <v>0</v>
      </c>
      <c r="U41" s="38">
        <v>0</v>
      </c>
      <c r="V41" s="38">
        <v>0</v>
      </c>
      <c r="W41" s="38">
        <v>0</v>
      </c>
      <c r="X41" s="38">
        <v>0</v>
      </c>
      <c r="Y41" s="38"/>
      <c r="Z41" s="38"/>
      <c r="AA41" s="38"/>
      <c r="AB41" s="38"/>
      <c r="AC41" s="38"/>
      <c r="AD41" s="23">
        <v>0</v>
      </c>
      <c r="AE41" s="23">
        <v>0</v>
      </c>
      <c r="AF41" s="23">
        <v>0</v>
      </c>
      <c r="AG41" s="107">
        <v>0</v>
      </c>
    </row>
    <row r="42" spans="1:33" s="16" customFormat="1" ht="20.100000000000001" customHeight="1">
      <c r="A42" s="32">
        <v>270317</v>
      </c>
      <c r="B42" s="24" t="s">
        <v>194</v>
      </c>
      <c r="C42" s="17">
        <v>5.5</v>
      </c>
      <c r="D42" s="17">
        <v>163</v>
      </c>
      <c r="E42" s="15">
        <f t="shared" si="10"/>
        <v>0</v>
      </c>
      <c r="F42" s="38"/>
      <c r="G42" s="38"/>
      <c r="H42" s="38"/>
      <c r="I42" s="38"/>
      <c r="J42" s="38"/>
      <c r="K42" s="38"/>
      <c r="L42" s="38"/>
      <c r="M42" s="38">
        <v>0</v>
      </c>
      <c r="N42" s="38">
        <v>0</v>
      </c>
      <c r="O42" s="38">
        <v>0</v>
      </c>
      <c r="P42" s="15">
        <v>0</v>
      </c>
      <c r="Q42" s="15">
        <f t="shared" si="11"/>
        <v>0</v>
      </c>
      <c r="R42" s="38">
        <v>0</v>
      </c>
      <c r="S42" s="38">
        <v>0</v>
      </c>
      <c r="T42" s="38">
        <v>0</v>
      </c>
      <c r="U42" s="38">
        <v>0</v>
      </c>
      <c r="V42" s="38">
        <v>0</v>
      </c>
      <c r="W42" s="38">
        <v>0</v>
      </c>
      <c r="X42" s="38">
        <v>0</v>
      </c>
      <c r="Y42" s="38"/>
      <c r="Z42" s="38"/>
      <c r="AA42" s="38"/>
      <c r="AB42" s="38"/>
      <c r="AC42" s="38"/>
      <c r="AD42" s="23">
        <v>0</v>
      </c>
      <c r="AE42" s="23">
        <v>0</v>
      </c>
      <c r="AF42" s="23">
        <v>0</v>
      </c>
      <c r="AG42" s="107">
        <v>0</v>
      </c>
    </row>
    <row r="43" spans="1:33" s="16" customFormat="1" ht="20.100000000000001" customHeight="1">
      <c r="A43" s="31">
        <v>270049</v>
      </c>
      <c r="B43" s="23" t="s">
        <v>195</v>
      </c>
      <c r="C43" s="14"/>
      <c r="D43" s="14"/>
      <c r="E43" s="15">
        <f t="shared" si="10"/>
        <v>0</v>
      </c>
      <c r="F43" s="38"/>
      <c r="G43" s="38"/>
      <c r="H43" s="38"/>
      <c r="I43" s="38"/>
      <c r="J43" s="38"/>
      <c r="K43" s="38"/>
      <c r="L43" s="38"/>
      <c r="M43" s="38">
        <v>0</v>
      </c>
      <c r="N43" s="38">
        <v>0</v>
      </c>
      <c r="O43" s="38">
        <v>0</v>
      </c>
      <c r="P43" s="15">
        <v>0</v>
      </c>
      <c r="Q43" s="15">
        <f t="shared" si="11"/>
        <v>0</v>
      </c>
      <c r="R43" s="38">
        <v>0</v>
      </c>
      <c r="S43" s="38">
        <v>0</v>
      </c>
      <c r="T43" s="38">
        <v>0</v>
      </c>
      <c r="U43" s="38">
        <v>0</v>
      </c>
      <c r="V43" s="38">
        <v>0</v>
      </c>
      <c r="W43" s="38">
        <v>0</v>
      </c>
      <c r="X43" s="38">
        <v>0</v>
      </c>
      <c r="Y43" s="38"/>
      <c r="Z43" s="38"/>
      <c r="AA43" s="38"/>
      <c r="AB43" s="38"/>
      <c r="AC43" s="38"/>
      <c r="AD43" s="23">
        <v>0</v>
      </c>
      <c r="AE43" s="23">
        <v>0</v>
      </c>
      <c r="AF43" s="23">
        <v>0</v>
      </c>
      <c r="AG43" s="107">
        <v>0</v>
      </c>
    </row>
    <row r="44" spans="1:33" s="16" customFormat="1" ht="20.100000000000001" customHeight="1">
      <c r="A44" s="31">
        <v>270050</v>
      </c>
      <c r="B44" s="23" t="s">
        <v>33</v>
      </c>
      <c r="C44" s="14"/>
      <c r="D44" s="14"/>
      <c r="E44" s="15">
        <f t="shared" si="10"/>
        <v>0</v>
      </c>
      <c r="F44" s="38"/>
      <c r="G44" s="38"/>
      <c r="H44" s="38"/>
      <c r="I44" s="38"/>
      <c r="J44" s="38"/>
      <c r="K44" s="38"/>
      <c r="L44" s="38"/>
      <c r="M44" s="38">
        <v>0</v>
      </c>
      <c r="N44" s="38">
        <v>0</v>
      </c>
      <c r="O44" s="38">
        <v>0</v>
      </c>
      <c r="P44" s="15">
        <v>0</v>
      </c>
      <c r="Q44" s="15">
        <f t="shared" si="11"/>
        <v>0</v>
      </c>
      <c r="R44" s="38">
        <v>0</v>
      </c>
      <c r="S44" s="38">
        <v>0</v>
      </c>
      <c r="T44" s="38">
        <v>0</v>
      </c>
      <c r="U44" s="38">
        <v>0</v>
      </c>
      <c r="V44" s="38">
        <v>0</v>
      </c>
      <c r="W44" s="38">
        <v>0</v>
      </c>
      <c r="X44" s="38">
        <v>0</v>
      </c>
      <c r="Y44" s="38"/>
      <c r="Z44" s="38"/>
      <c r="AA44" s="38"/>
      <c r="AB44" s="38"/>
      <c r="AC44" s="38"/>
      <c r="AD44" s="23">
        <v>0</v>
      </c>
      <c r="AE44" s="23">
        <v>0</v>
      </c>
      <c r="AF44" s="23">
        <v>0</v>
      </c>
      <c r="AG44" s="107">
        <v>0</v>
      </c>
    </row>
    <row r="45" spans="1:33" s="16" customFormat="1" ht="20.100000000000001" customHeight="1">
      <c r="A45" s="31">
        <v>270051</v>
      </c>
      <c r="B45" s="23" t="s">
        <v>34</v>
      </c>
      <c r="C45" s="14"/>
      <c r="D45" s="14"/>
      <c r="E45" s="15">
        <f t="shared" si="10"/>
        <v>0</v>
      </c>
      <c r="F45" s="38"/>
      <c r="G45" s="38"/>
      <c r="H45" s="38"/>
      <c r="I45" s="38"/>
      <c r="J45" s="38"/>
      <c r="K45" s="38"/>
      <c r="L45" s="38"/>
      <c r="M45" s="38">
        <v>0</v>
      </c>
      <c r="N45" s="38">
        <v>0</v>
      </c>
      <c r="O45" s="38">
        <v>0</v>
      </c>
      <c r="P45" s="15">
        <v>0</v>
      </c>
      <c r="Q45" s="15">
        <f t="shared" si="11"/>
        <v>0</v>
      </c>
      <c r="R45" s="38">
        <v>0</v>
      </c>
      <c r="S45" s="38">
        <v>0</v>
      </c>
      <c r="T45" s="38">
        <v>0</v>
      </c>
      <c r="U45" s="38">
        <v>0</v>
      </c>
      <c r="V45" s="38">
        <v>0</v>
      </c>
      <c r="W45" s="38">
        <v>0</v>
      </c>
      <c r="X45" s="38">
        <v>0</v>
      </c>
      <c r="Y45" s="38"/>
      <c r="Z45" s="38"/>
      <c r="AA45" s="38"/>
      <c r="AB45" s="38"/>
      <c r="AC45" s="38"/>
      <c r="AD45" s="23">
        <v>0</v>
      </c>
      <c r="AE45" s="23">
        <v>0</v>
      </c>
      <c r="AF45" s="23">
        <v>0</v>
      </c>
      <c r="AG45" s="107">
        <v>0</v>
      </c>
    </row>
    <row r="46" spans="1:33" s="16" customFormat="1" ht="20.100000000000001" customHeight="1">
      <c r="A46" s="31">
        <v>270052</v>
      </c>
      <c r="B46" s="23" t="s">
        <v>35</v>
      </c>
      <c r="C46" s="14"/>
      <c r="D46" s="14"/>
      <c r="E46" s="15">
        <f t="shared" si="10"/>
        <v>0</v>
      </c>
      <c r="F46" s="38"/>
      <c r="G46" s="38"/>
      <c r="H46" s="38"/>
      <c r="I46" s="38"/>
      <c r="J46" s="38"/>
      <c r="K46" s="38"/>
      <c r="L46" s="38"/>
      <c r="M46" s="38">
        <v>0</v>
      </c>
      <c r="N46" s="38">
        <v>0</v>
      </c>
      <c r="O46" s="38">
        <v>0</v>
      </c>
      <c r="P46" s="15">
        <v>0</v>
      </c>
      <c r="Q46" s="15">
        <f t="shared" si="11"/>
        <v>0</v>
      </c>
      <c r="R46" s="38">
        <v>0</v>
      </c>
      <c r="S46" s="38">
        <v>0</v>
      </c>
      <c r="T46" s="38">
        <v>0</v>
      </c>
      <c r="U46" s="38">
        <v>0</v>
      </c>
      <c r="V46" s="38">
        <v>0</v>
      </c>
      <c r="W46" s="38">
        <v>0</v>
      </c>
      <c r="X46" s="38">
        <v>0</v>
      </c>
      <c r="Y46" s="38"/>
      <c r="Z46" s="38"/>
      <c r="AA46" s="38"/>
      <c r="AB46" s="38"/>
      <c r="AC46" s="38"/>
      <c r="AD46" s="23">
        <v>0</v>
      </c>
      <c r="AE46" s="23">
        <v>0</v>
      </c>
      <c r="AF46" s="23">
        <v>0</v>
      </c>
      <c r="AG46" s="107">
        <v>0</v>
      </c>
    </row>
    <row r="47" spans="1:33" s="16" customFormat="1" ht="20.100000000000001" customHeight="1">
      <c r="A47" s="31">
        <v>270057</v>
      </c>
      <c r="B47" s="23" t="s">
        <v>196</v>
      </c>
      <c r="C47" s="14"/>
      <c r="D47" s="14"/>
      <c r="E47" s="15">
        <f t="shared" si="10"/>
        <v>15</v>
      </c>
      <c r="F47" s="38"/>
      <c r="G47" s="38"/>
      <c r="H47" s="38"/>
      <c r="I47" s="38"/>
      <c r="J47" s="38"/>
      <c r="K47" s="38"/>
      <c r="L47" s="38"/>
      <c r="M47" s="38">
        <v>0</v>
      </c>
      <c r="N47" s="38">
        <v>0</v>
      </c>
      <c r="O47" s="38">
        <v>30</v>
      </c>
      <c r="P47" s="15">
        <v>18.3</v>
      </c>
      <c r="Q47" s="15">
        <f t="shared" si="11"/>
        <v>33.299999999999997</v>
      </c>
      <c r="R47" s="38">
        <v>33.299999999999997</v>
      </c>
      <c r="S47" s="38">
        <v>0</v>
      </c>
      <c r="T47" s="38">
        <v>0</v>
      </c>
      <c r="U47" s="38">
        <v>0</v>
      </c>
      <c r="V47" s="38">
        <v>0</v>
      </c>
      <c r="W47" s="38">
        <v>0</v>
      </c>
      <c r="X47" s="38">
        <v>23.6</v>
      </c>
      <c r="Y47" s="38"/>
      <c r="Z47" s="38"/>
      <c r="AA47" s="38"/>
      <c r="AB47" s="38"/>
      <c r="AC47" s="38"/>
      <c r="AD47" s="23">
        <v>0</v>
      </c>
      <c r="AE47" s="23">
        <v>0</v>
      </c>
      <c r="AF47" s="23">
        <v>0</v>
      </c>
      <c r="AG47" s="107">
        <v>0</v>
      </c>
    </row>
    <row r="48" spans="1:33" s="16" customFormat="1" ht="20.100000000000001" customHeight="1">
      <c r="A48" s="31">
        <v>270137</v>
      </c>
      <c r="B48" s="23" t="s">
        <v>197</v>
      </c>
      <c r="C48" s="14"/>
      <c r="D48" s="14"/>
      <c r="E48" s="15">
        <f t="shared" si="10"/>
        <v>0</v>
      </c>
      <c r="F48" s="38"/>
      <c r="G48" s="38"/>
      <c r="H48" s="38"/>
      <c r="I48" s="38"/>
      <c r="J48" s="38"/>
      <c r="K48" s="38"/>
      <c r="L48" s="38"/>
      <c r="M48" s="38">
        <v>0</v>
      </c>
      <c r="N48" s="38">
        <v>0</v>
      </c>
      <c r="O48" s="38">
        <v>0</v>
      </c>
      <c r="P48" s="15">
        <v>0</v>
      </c>
      <c r="Q48" s="15">
        <f t="shared" si="11"/>
        <v>0</v>
      </c>
      <c r="R48" s="38">
        <v>0</v>
      </c>
      <c r="S48" s="38">
        <v>0</v>
      </c>
      <c r="T48" s="38">
        <v>0</v>
      </c>
      <c r="U48" s="38">
        <v>0</v>
      </c>
      <c r="V48" s="38">
        <v>0</v>
      </c>
      <c r="W48" s="38">
        <v>0</v>
      </c>
      <c r="X48" s="38">
        <v>0</v>
      </c>
      <c r="Y48" s="38"/>
      <c r="Z48" s="38"/>
      <c r="AA48" s="38"/>
      <c r="AB48" s="38"/>
      <c r="AC48" s="38"/>
      <c r="AD48" s="23">
        <v>0</v>
      </c>
      <c r="AE48" s="23">
        <v>0</v>
      </c>
      <c r="AF48" s="23">
        <v>0</v>
      </c>
      <c r="AG48" s="107">
        <v>0</v>
      </c>
    </row>
    <row r="49" spans="1:33" s="16" customFormat="1" ht="20.100000000000001" customHeight="1">
      <c r="A49" s="31">
        <v>270144</v>
      </c>
      <c r="B49" s="23" t="s">
        <v>198</v>
      </c>
      <c r="C49" s="14"/>
      <c r="D49" s="14"/>
      <c r="E49" s="15">
        <f t="shared" si="10"/>
        <v>3</v>
      </c>
      <c r="F49" s="38"/>
      <c r="G49" s="38"/>
      <c r="H49" s="38"/>
      <c r="I49" s="38">
        <v>3</v>
      </c>
      <c r="J49" s="38"/>
      <c r="K49" s="38"/>
      <c r="L49" s="38"/>
      <c r="M49" s="38">
        <v>0</v>
      </c>
      <c r="N49" s="38">
        <v>0</v>
      </c>
      <c r="O49" s="38">
        <v>0</v>
      </c>
      <c r="P49" s="15">
        <v>0</v>
      </c>
      <c r="Q49" s="15">
        <f t="shared" si="11"/>
        <v>0</v>
      </c>
      <c r="R49" s="38">
        <v>0</v>
      </c>
      <c r="S49" s="38">
        <v>0</v>
      </c>
      <c r="T49" s="38">
        <v>0</v>
      </c>
      <c r="U49" s="38">
        <v>0</v>
      </c>
      <c r="V49" s="38">
        <v>0</v>
      </c>
      <c r="W49" s="38">
        <v>0</v>
      </c>
      <c r="X49" s="38">
        <v>0</v>
      </c>
      <c r="Y49" s="38"/>
      <c r="Z49" s="38"/>
      <c r="AA49" s="52"/>
      <c r="AB49" s="38"/>
      <c r="AC49" s="38"/>
      <c r="AD49" s="23">
        <v>0</v>
      </c>
      <c r="AE49" s="23">
        <v>0</v>
      </c>
      <c r="AF49" s="23">
        <v>0</v>
      </c>
      <c r="AG49" s="107">
        <v>0</v>
      </c>
    </row>
    <row r="50" spans="1:33" s="16" customFormat="1" ht="20.100000000000001" customHeight="1">
      <c r="A50" s="31">
        <v>270147</v>
      </c>
      <c r="B50" s="23" t="s">
        <v>199</v>
      </c>
      <c r="C50" s="14"/>
      <c r="D50" s="14"/>
      <c r="E50" s="15">
        <f t="shared" si="10"/>
        <v>2</v>
      </c>
      <c r="F50" s="38"/>
      <c r="G50" s="38"/>
      <c r="H50" s="38">
        <v>2</v>
      </c>
      <c r="I50" s="38"/>
      <c r="J50" s="38"/>
      <c r="K50" s="38"/>
      <c r="L50" s="38"/>
      <c r="M50" s="38">
        <v>0</v>
      </c>
      <c r="N50" s="38">
        <v>0</v>
      </c>
      <c r="O50" s="38">
        <v>0</v>
      </c>
      <c r="P50" s="15">
        <v>0</v>
      </c>
      <c r="Q50" s="15">
        <f t="shared" si="11"/>
        <v>0</v>
      </c>
      <c r="R50" s="38">
        <v>0</v>
      </c>
      <c r="S50" s="38">
        <v>0</v>
      </c>
      <c r="T50" s="38">
        <v>0</v>
      </c>
      <c r="U50" s="38">
        <v>0</v>
      </c>
      <c r="V50" s="38">
        <v>0</v>
      </c>
      <c r="W50" s="38">
        <v>0</v>
      </c>
      <c r="X50" s="38">
        <v>0</v>
      </c>
      <c r="Y50" s="38"/>
      <c r="Z50" s="38"/>
      <c r="AA50" s="52"/>
      <c r="AB50" s="38"/>
      <c r="AC50" s="38"/>
      <c r="AD50" s="23">
        <v>0</v>
      </c>
      <c r="AE50" s="23">
        <v>0</v>
      </c>
      <c r="AF50" s="23">
        <v>0</v>
      </c>
      <c r="AG50" s="107">
        <v>0</v>
      </c>
    </row>
    <row r="51" spans="1:33" s="16" customFormat="1" ht="20.100000000000001" customHeight="1">
      <c r="A51" s="31">
        <v>270157</v>
      </c>
      <c r="B51" s="23" t="s">
        <v>200</v>
      </c>
      <c r="C51" s="14"/>
      <c r="D51" s="14"/>
      <c r="E51" s="15">
        <f t="shared" si="10"/>
        <v>0</v>
      </c>
      <c r="F51" s="38"/>
      <c r="G51" s="38"/>
      <c r="H51" s="38"/>
      <c r="I51" s="38"/>
      <c r="J51" s="38"/>
      <c r="K51" s="38"/>
      <c r="L51" s="38"/>
      <c r="M51" s="38">
        <v>0</v>
      </c>
      <c r="N51" s="38">
        <v>0</v>
      </c>
      <c r="O51" s="38">
        <v>0</v>
      </c>
      <c r="P51" s="15">
        <v>0</v>
      </c>
      <c r="Q51" s="15">
        <f t="shared" si="11"/>
        <v>0</v>
      </c>
      <c r="R51" s="38">
        <v>0</v>
      </c>
      <c r="S51" s="38">
        <v>0</v>
      </c>
      <c r="T51" s="38">
        <v>0</v>
      </c>
      <c r="U51" s="38">
        <v>0</v>
      </c>
      <c r="V51" s="38">
        <v>0</v>
      </c>
      <c r="W51" s="38">
        <v>0</v>
      </c>
      <c r="X51" s="38">
        <v>0</v>
      </c>
      <c r="Y51" s="38"/>
      <c r="Z51" s="38"/>
      <c r="AA51" s="38"/>
      <c r="AB51" s="38"/>
      <c r="AC51" s="38"/>
      <c r="AD51" s="23">
        <v>0</v>
      </c>
      <c r="AE51" s="23">
        <v>0</v>
      </c>
      <c r="AF51" s="23">
        <v>0</v>
      </c>
      <c r="AG51" s="107">
        <v>0</v>
      </c>
    </row>
    <row r="52" spans="1:33" s="16" customFormat="1" ht="20.100000000000001" customHeight="1">
      <c r="A52" s="31">
        <v>270167</v>
      </c>
      <c r="B52" s="23" t="s">
        <v>201</v>
      </c>
      <c r="C52" s="14"/>
      <c r="D52" s="14"/>
      <c r="E52" s="15">
        <f t="shared" si="10"/>
        <v>0</v>
      </c>
      <c r="F52" s="38"/>
      <c r="G52" s="38"/>
      <c r="H52" s="38"/>
      <c r="I52" s="38"/>
      <c r="J52" s="38"/>
      <c r="K52" s="38"/>
      <c r="L52" s="38"/>
      <c r="M52" s="38">
        <v>0</v>
      </c>
      <c r="N52" s="38">
        <v>0</v>
      </c>
      <c r="O52" s="38">
        <v>0</v>
      </c>
      <c r="P52" s="15">
        <v>0</v>
      </c>
      <c r="Q52" s="15">
        <f t="shared" si="11"/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/>
      <c r="Z52" s="38"/>
      <c r="AA52" s="38"/>
      <c r="AB52" s="38"/>
      <c r="AC52" s="38"/>
      <c r="AD52" s="23">
        <v>0</v>
      </c>
      <c r="AE52" s="23">
        <v>0</v>
      </c>
      <c r="AF52" s="23">
        <v>0</v>
      </c>
      <c r="AG52" s="107">
        <v>0</v>
      </c>
    </row>
    <row r="53" spans="1:33" s="16" customFormat="1" ht="20.100000000000001" customHeight="1">
      <c r="A53" s="31">
        <v>270187</v>
      </c>
      <c r="B53" s="23" t="s">
        <v>202</v>
      </c>
      <c r="C53" s="14"/>
      <c r="D53" s="14"/>
      <c r="E53" s="15">
        <f t="shared" si="10"/>
        <v>0</v>
      </c>
      <c r="F53" s="38"/>
      <c r="G53" s="38"/>
      <c r="H53" s="38"/>
      <c r="I53" s="38"/>
      <c r="J53" s="38"/>
      <c r="K53" s="38"/>
      <c r="L53" s="38"/>
      <c r="M53" s="38">
        <v>0</v>
      </c>
      <c r="N53" s="38">
        <v>0</v>
      </c>
      <c r="O53" s="38">
        <v>0</v>
      </c>
      <c r="P53" s="15">
        <v>0</v>
      </c>
      <c r="Q53" s="15">
        <f t="shared" si="11"/>
        <v>0</v>
      </c>
      <c r="R53" s="38">
        <v>0</v>
      </c>
      <c r="S53" s="38">
        <v>0</v>
      </c>
      <c r="T53" s="38">
        <v>0</v>
      </c>
      <c r="U53" s="38">
        <v>0</v>
      </c>
      <c r="V53" s="38">
        <v>0</v>
      </c>
      <c r="W53" s="38">
        <v>0</v>
      </c>
      <c r="X53" s="38">
        <v>0</v>
      </c>
      <c r="Y53" s="38"/>
      <c r="Z53" s="38"/>
      <c r="AA53" s="38"/>
      <c r="AB53" s="38"/>
      <c r="AC53" s="38"/>
      <c r="AD53" s="23">
        <v>0</v>
      </c>
      <c r="AE53" s="23">
        <v>0</v>
      </c>
      <c r="AF53" s="23">
        <v>0</v>
      </c>
      <c r="AG53" s="107">
        <v>0</v>
      </c>
    </row>
    <row r="54" spans="1:33" s="16" customFormat="1" ht="20.100000000000001" customHeight="1">
      <c r="A54" s="31">
        <v>270277</v>
      </c>
      <c r="B54" s="23" t="s">
        <v>203</v>
      </c>
      <c r="C54" s="14"/>
      <c r="D54" s="14"/>
      <c r="E54" s="15">
        <f t="shared" si="10"/>
        <v>0</v>
      </c>
      <c r="F54" s="38"/>
      <c r="G54" s="38"/>
      <c r="H54" s="38"/>
      <c r="I54" s="38"/>
      <c r="J54" s="38"/>
      <c r="K54" s="38"/>
      <c r="L54" s="38"/>
      <c r="M54" s="38">
        <v>0</v>
      </c>
      <c r="N54" s="38">
        <v>0</v>
      </c>
      <c r="O54" s="38">
        <v>0</v>
      </c>
      <c r="P54" s="15">
        <v>0</v>
      </c>
      <c r="Q54" s="15">
        <f t="shared" si="11"/>
        <v>0</v>
      </c>
      <c r="R54" s="38">
        <v>0</v>
      </c>
      <c r="S54" s="38">
        <v>0</v>
      </c>
      <c r="T54" s="38">
        <v>0</v>
      </c>
      <c r="U54" s="38">
        <v>0</v>
      </c>
      <c r="V54" s="38">
        <v>0</v>
      </c>
      <c r="W54" s="38">
        <v>0</v>
      </c>
      <c r="X54" s="38">
        <v>0</v>
      </c>
      <c r="Y54" s="38"/>
      <c r="Z54" s="38"/>
      <c r="AA54" s="38"/>
      <c r="AB54" s="38"/>
      <c r="AC54" s="38"/>
      <c r="AD54" s="23">
        <v>0</v>
      </c>
      <c r="AE54" s="23">
        <v>0</v>
      </c>
      <c r="AF54" s="23">
        <v>0</v>
      </c>
      <c r="AG54" s="107">
        <v>0</v>
      </c>
    </row>
    <row r="55" spans="1:33" s="19" customFormat="1" ht="20.100000000000001" customHeight="1">
      <c r="A55" s="31">
        <v>270287</v>
      </c>
      <c r="B55" s="23" t="s">
        <v>38</v>
      </c>
      <c r="C55" s="14"/>
      <c r="D55" s="14"/>
      <c r="E55" s="39">
        <f t="shared" si="10"/>
        <v>4</v>
      </c>
      <c r="F55" s="39"/>
      <c r="G55" s="39"/>
      <c r="H55" s="39">
        <v>4</v>
      </c>
      <c r="I55" s="39"/>
      <c r="J55" s="39"/>
      <c r="K55" s="39"/>
      <c r="L55" s="39"/>
      <c r="M55" s="39">
        <v>0</v>
      </c>
      <c r="N55" s="39">
        <v>0</v>
      </c>
      <c r="O55" s="39">
        <v>0</v>
      </c>
      <c r="P55" s="18">
        <v>0</v>
      </c>
      <c r="Q55" s="15">
        <f t="shared" si="11"/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39">
        <v>0</v>
      </c>
      <c r="Y55" s="39"/>
      <c r="Z55" s="39"/>
      <c r="AA55" s="39"/>
      <c r="AB55" s="39"/>
      <c r="AC55" s="39"/>
      <c r="AD55" s="24">
        <v>0</v>
      </c>
      <c r="AE55" s="24">
        <v>0</v>
      </c>
      <c r="AF55" s="24">
        <v>0</v>
      </c>
      <c r="AG55" s="108">
        <v>0</v>
      </c>
    </row>
    <row r="56" spans="1:33" s="19" customFormat="1" ht="20.100000000000001" customHeight="1">
      <c r="A56" s="31">
        <v>270290</v>
      </c>
      <c r="B56" s="23" t="s">
        <v>204</v>
      </c>
      <c r="C56" s="14"/>
      <c r="D56" s="14"/>
      <c r="E56" s="39">
        <f t="shared" si="10"/>
        <v>0</v>
      </c>
      <c r="F56" s="39"/>
      <c r="G56" s="39"/>
      <c r="H56" s="39"/>
      <c r="I56" s="39"/>
      <c r="J56" s="39"/>
      <c r="K56" s="39"/>
      <c r="L56" s="39"/>
      <c r="M56" s="39">
        <v>0</v>
      </c>
      <c r="N56" s="39">
        <v>0</v>
      </c>
      <c r="O56" s="39">
        <v>0</v>
      </c>
      <c r="P56" s="18">
        <v>0</v>
      </c>
      <c r="Q56" s="15">
        <f t="shared" si="11"/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39">
        <v>0</v>
      </c>
      <c r="Y56" s="39"/>
      <c r="Z56" s="39"/>
      <c r="AA56" s="39"/>
      <c r="AB56" s="39"/>
      <c r="AC56" s="39"/>
      <c r="AD56" s="24">
        <v>0</v>
      </c>
      <c r="AE56" s="24">
        <v>0</v>
      </c>
      <c r="AF56" s="24">
        <v>0</v>
      </c>
      <c r="AG56" s="108">
        <v>0</v>
      </c>
    </row>
    <row r="57" spans="1:33" s="19" customFormat="1" ht="20.100000000000001" customHeight="1">
      <c r="A57" s="31">
        <v>270302</v>
      </c>
      <c r="B57" s="23" t="s">
        <v>205</v>
      </c>
      <c r="C57" s="14"/>
      <c r="D57" s="14"/>
      <c r="E57" s="39">
        <f t="shared" si="10"/>
        <v>16</v>
      </c>
      <c r="F57" s="39"/>
      <c r="G57" s="39"/>
      <c r="H57" s="39">
        <v>8</v>
      </c>
      <c r="I57" s="39">
        <v>8</v>
      </c>
      <c r="J57" s="39"/>
      <c r="K57" s="39"/>
      <c r="L57" s="39"/>
      <c r="M57" s="39">
        <v>0</v>
      </c>
      <c r="N57" s="39">
        <v>0</v>
      </c>
      <c r="O57" s="39">
        <v>0</v>
      </c>
      <c r="P57" s="18">
        <v>0</v>
      </c>
      <c r="Q57" s="15">
        <f t="shared" si="11"/>
        <v>0</v>
      </c>
      <c r="R57" s="56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/>
      <c r="Z57" s="39"/>
      <c r="AA57" s="56"/>
      <c r="AB57" s="56"/>
      <c r="AC57" s="56"/>
      <c r="AD57" s="24">
        <v>0</v>
      </c>
      <c r="AE57" s="24">
        <v>0</v>
      </c>
      <c r="AF57" s="24">
        <v>0</v>
      </c>
      <c r="AG57" s="108">
        <v>0</v>
      </c>
    </row>
    <row r="58" spans="1:33" s="19" customFormat="1" ht="20.100000000000001" customHeight="1">
      <c r="A58" s="31">
        <v>270315</v>
      </c>
      <c r="B58" s="23" t="s">
        <v>39</v>
      </c>
      <c r="C58" s="14"/>
      <c r="D58" s="14"/>
      <c r="E58" s="39">
        <f t="shared" si="10"/>
        <v>4</v>
      </c>
      <c r="F58" s="39"/>
      <c r="G58" s="39"/>
      <c r="H58" s="39">
        <v>4</v>
      </c>
      <c r="I58" s="39"/>
      <c r="J58" s="39"/>
      <c r="K58" s="39"/>
      <c r="L58" s="39"/>
      <c r="M58" s="39">
        <v>0</v>
      </c>
      <c r="N58" s="39">
        <v>0</v>
      </c>
      <c r="O58" s="39">
        <v>0</v>
      </c>
      <c r="P58" s="18">
        <v>0</v>
      </c>
      <c r="Q58" s="15">
        <f t="shared" si="11"/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39">
        <v>0</v>
      </c>
      <c r="Y58" s="39"/>
      <c r="Z58" s="39"/>
      <c r="AA58" s="51"/>
      <c r="AB58" s="39"/>
      <c r="AC58" s="39"/>
      <c r="AD58" s="24">
        <v>0</v>
      </c>
      <c r="AE58" s="24">
        <v>0</v>
      </c>
      <c r="AF58" s="24">
        <v>0</v>
      </c>
      <c r="AG58" s="108">
        <v>0</v>
      </c>
    </row>
    <row r="59" spans="1:33" s="19" customFormat="1" ht="20.100000000000001" customHeight="1">
      <c r="A59" s="31">
        <v>270389</v>
      </c>
      <c r="B59" s="23" t="s">
        <v>67</v>
      </c>
      <c r="C59" s="14"/>
      <c r="D59" s="14"/>
      <c r="E59" s="39">
        <f t="shared" si="10"/>
        <v>-12.100000000000001</v>
      </c>
      <c r="F59" s="39"/>
      <c r="G59" s="39"/>
      <c r="H59" s="39"/>
      <c r="I59" s="39"/>
      <c r="J59" s="39"/>
      <c r="K59" s="39"/>
      <c r="L59" s="39"/>
      <c r="M59" s="39">
        <v>0</v>
      </c>
      <c r="N59" s="39">
        <v>0</v>
      </c>
      <c r="O59" s="39">
        <v>14</v>
      </c>
      <c r="P59" s="39">
        <v>4.7</v>
      </c>
      <c r="Q59" s="15">
        <f t="shared" si="11"/>
        <v>30.8</v>
      </c>
      <c r="R59" s="39">
        <v>24.8</v>
      </c>
      <c r="S59" s="39">
        <v>6</v>
      </c>
      <c r="T59" s="39">
        <v>0</v>
      </c>
      <c r="U59" s="39">
        <v>0</v>
      </c>
      <c r="V59" s="39">
        <v>0</v>
      </c>
      <c r="W59" s="39">
        <v>0</v>
      </c>
      <c r="X59" s="39">
        <v>0</v>
      </c>
      <c r="Y59" s="39"/>
      <c r="Z59" s="39"/>
      <c r="AA59" s="51"/>
      <c r="AB59" s="39"/>
      <c r="AC59" s="39"/>
      <c r="AD59" s="24">
        <v>0</v>
      </c>
      <c r="AE59" s="24">
        <v>0</v>
      </c>
      <c r="AF59" s="24">
        <v>0</v>
      </c>
      <c r="AG59" s="108">
        <v>0</v>
      </c>
    </row>
    <row r="60" spans="1:33" s="19" customFormat="1" ht="20.100000000000001" customHeight="1">
      <c r="A60" s="32">
        <v>270139</v>
      </c>
      <c r="B60" s="24" t="s">
        <v>206</v>
      </c>
      <c r="C60" s="17"/>
      <c r="D60" s="17"/>
      <c r="E60" s="39">
        <f t="shared" si="10"/>
        <v>6</v>
      </c>
      <c r="F60" s="39"/>
      <c r="G60" s="39"/>
      <c r="H60" s="39"/>
      <c r="I60" s="39">
        <v>6</v>
      </c>
      <c r="J60" s="39"/>
      <c r="K60" s="39"/>
      <c r="L60" s="39"/>
      <c r="M60" s="39">
        <v>0</v>
      </c>
      <c r="N60" s="39">
        <v>0</v>
      </c>
      <c r="O60" s="39">
        <v>0</v>
      </c>
      <c r="P60" s="18">
        <v>0</v>
      </c>
      <c r="Q60" s="15">
        <f>+SUMPRODUCT(R60:AC60,$R$9:$AC$9)</f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/>
      <c r="Z60" s="39"/>
      <c r="AA60" s="51"/>
      <c r="AB60" s="39"/>
      <c r="AC60" s="39"/>
      <c r="AD60" s="24">
        <v>0</v>
      </c>
      <c r="AE60" s="24">
        <v>0</v>
      </c>
      <c r="AF60" s="24">
        <v>0</v>
      </c>
      <c r="AG60" s="108">
        <v>0</v>
      </c>
    </row>
    <row r="61" spans="1:33" s="19" customFormat="1" ht="20.100000000000001" customHeight="1">
      <c r="A61" s="32">
        <v>270040</v>
      </c>
      <c r="B61" s="24" t="s">
        <v>207</v>
      </c>
      <c r="C61" s="17">
        <v>6</v>
      </c>
      <c r="D61" s="17">
        <v>164.5</v>
      </c>
      <c r="E61" s="39">
        <f t="shared" si="10"/>
        <v>-21.1</v>
      </c>
      <c r="F61" s="39"/>
      <c r="G61" s="39"/>
      <c r="H61" s="39"/>
      <c r="I61" s="39"/>
      <c r="J61" s="39"/>
      <c r="K61" s="39"/>
      <c r="L61" s="39"/>
      <c r="M61" s="39">
        <v>0</v>
      </c>
      <c r="N61" s="39">
        <v>0</v>
      </c>
      <c r="O61" s="39">
        <v>0</v>
      </c>
      <c r="P61" s="18">
        <v>-21.1</v>
      </c>
      <c r="Q61" s="15">
        <f t="shared" si="11"/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/>
      <c r="Z61" s="39"/>
      <c r="AA61" s="51"/>
      <c r="AB61" s="39"/>
      <c r="AC61" s="39"/>
      <c r="AD61" s="24">
        <v>0</v>
      </c>
      <c r="AE61" s="24">
        <v>0</v>
      </c>
      <c r="AF61" s="24">
        <v>0</v>
      </c>
      <c r="AG61" s="108">
        <v>0</v>
      </c>
    </row>
    <row r="62" spans="1:33" s="19" customFormat="1" ht="20.100000000000001" customHeight="1">
      <c r="A62" s="32">
        <v>270036</v>
      </c>
      <c r="B62" s="24" t="s">
        <v>208</v>
      </c>
      <c r="C62" s="17">
        <v>6</v>
      </c>
      <c r="D62" s="17">
        <v>175.5</v>
      </c>
      <c r="E62" s="39">
        <f t="shared" si="10"/>
        <v>-99.7</v>
      </c>
      <c r="F62" s="39"/>
      <c r="G62" s="39"/>
      <c r="H62" s="39"/>
      <c r="I62" s="39"/>
      <c r="J62" s="39"/>
      <c r="K62" s="39"/>
      <c r="L62" s="39"/>
      <c r="M62" s="39">
        <v>0</v>
      </c>
      <c r="N62" s="39">
        <v>0</v>
      </c>
      <c r="O62" s="39">
        <v>22.5</v>
      </c>
      <c r="P62" s="18">
        <v>-11.5</v>
      </c>
      <c r="Q62" s="15">
        <f t="shared" si="11"/>
        <v>110.7</v>
      </c>
      <c r="R62" s="39">
        <v>11.5</v>
      </c>
      <c r="S62" s="39">
        <v>48.2</v>
      </c>
      <c r="T62" s="39">
        <v>25.5</v>
      </c>
      <c r="U62" s="39">
        <v>25.5</v>
      </c>
      <c r="V62" s="39">
        <v>28.1</v>
      </c>
      <c r="W62" s="39">
        <v>40.799999999999997</v>
      </c>
      <c r="X62" s="39">
        <v>50.9</v>
      </c>
      <c r="Y62" s="39"/>
      <c r="Z62" s="39"/>
      <c r="AA62" s="39"/>
      <c r="AB62" s="39"/>
      <c r="AC62" s="39"/>
      <c r="AD62" s="24">
        <v>0</v>
      </c>
      <c r="AE62" s="24">
        <v>0</v>
      </c>
      <c r="AF62" s="24">
        <v>0</v>
      </c>
      <c r="AG62" s="108">
        <v>0</v>
      </c>
    </row>
    <row r="63" spans="1:33" s="19" customFormat="1" ht="20.100000000000001" customHeight="1">
      <c r="A63" s="32">
        <v>270039</v>
      </c>
      <c r="B63" s="24" t="s">
        <v>209</v>
      </c>
      <c r="C63" s="17">
        <v>5.5</v>
      </c>
      <c r="D63" s="17">
        <v>170</v>
      </c>
      <c r="E63" s="39">
        <f t="shared" si="10"/>
        <v>-0.79999999999999982</v>
      </c>
      <c r="F63" s="39"/>
      <c r="G63" s="39"/>
      <c r="H63" s="56">
        <v>6</v>
      </c>
      <c r="I63" s="39"/>
      <c r="J63" s="39"/>
      <c r="K63" s="39"/>
      <c r="L63" s="39"/>
      <c r="M63" s="39">
        <v>0.9</v>
      </c>
      <c r="N63" s="39">
        <v>0</v>
      </c>
      <c r="O63" s="39">
        <v>1.9</v>
      </c>
      <c r="P63" s="39">
        <v>3.5</v>
      </c>
      <c r="Q63" s="15">
        <f t="shared" si="11"/>
        <v>13.1</v>
      </c>
      <c r="R63" s="56">
        <v>8.1999999999999993</v>
      </c>
      <c r="S63" s="39">
        <v>4.9000000000000004</v>
      </c>
      <c r="T63" s="39">
        <v>0</v>
      </c>
      <c r="U63" s="39">
        <v>0</v>
      </c>
      <c r="V63" s="39">
        <v>0</v>
      </c>
      <c r="W63" s="39">
        <v>0</v>
      </c>
      <c r="X63" s="39">
        <v>0</v>
      </c>
      <c r="Y63" s="39"/>
      <c r="Z63" s="39"/>
      <c r="AA63" s="39"/>
      <c r="AB63" s="39"/>
      <c r="AC63" s="56"/>
      <c r="AD63" s="24">
        <v>0</v>
      </c>
      <c r="AE63" s="24">
        <v>0</v>
      </c>
      <c r="AF63" s="24">
        <v>0</v>
      </c>
      <c r="AG63" s="108">
        <v>0</v>
      </c>
    </row>
    <row r="64" spans="1:33" s="19" customFormat="1" ht="20.100000000000001" customHeight="1">
      <c r="A64" s="32">
        <v>270038</v>
      </c>
      <c r="B64" s="24" t="s">
        <v>210</v>
      </c>
      <c r="C64" s="17">
        <v>5.7</v>
      </c>
      <c r="D64" s="17">
        <v>169</v>
      </c>
      <c r="E64" s="39">
        <f t="shared" si="10"/>
        <v>3.3</v>
      </c>
      <c r="F64" s="39"/>
      <c r="G64" s="39"/>
      <c r="H64" s="39"/>
      <c r="I64" s="39"/>
      <c r="J64" s="39"/>
      <c r="K64" s="39"/>
      <c r="L64" s="39"/>
      <c r="M64" s="39">
        <v>0</v>
      </c>
      <c r="N64" s="39">
        <v>0</v>
      </c>
      <c r="O64" s="39">
        <v>5</v>
      </c>
      <c r="P64" s="18">
        <v>-1.7</v>
      </c>
      <c r="Q64" s="15">
        <f t="shared" si="11"/>
        <v>0</v>
      </c>
      <c r="R64" s="39">
        <v>0</v>
      </c>
      <c r="S64" s="39">
        <v>0</v>
      </c>
      <c r="T64" s="39">
        <v>0</v>
      </c>
      <c r="U64" s="39">
        <v>0</v>
      </c>
      <c r="V64" s="39">
        <v>40</v>
      </c>
      <c r="W64" s="39">
        <v>93.6</v>
      </c>
      <c r="X64" s="39">
        <v>0</v>
      </c>
      <c r="Y64" s="39"/>
      <c r="Z64" s="39"/>
      <c r="AA64" s="39"/>
      <c r="AB64" s="39"/>
      <c r="AC64" s="39"/>
      <c r="AD64" s="24">
        <v>0</v>
      </c>
      <c r="AE64" s="24">
        <v>0</v>
      </c>
      <c r="AF64" s="24">
        <v>0</v>
      </c>
      <c r="AG64" s="108">
        <v>0</v>
      </c>
    </row>
    <row r="65" spans="1:33" s="19" customFormat="1" ht="20.100000000000001" customHeight="1">
      <c r="A65" s="32">
        <v>270037</v>
      </c>
      <c r="B65" s="24" t="s">
        <v>211</v>
      </c>
      <c r="C65" s="17">
        <v>5.7</v>
      </c>
      <c r="D65" s="17">
        <v>175.5</v>
      </c>
      <c r="E65" s="39">
        <f t="shared" si="10"/>
        <v>-119.69999999999999</v>
      </c>
      <c r="F65" s="39"/>
      <c r="G65" s="39"/>
      <c r="H65" s="39"/>
      <c r="I65" s="39"/>
      <c r="J65" s="39"/>
      <c r="K65" s="39"/>
      <c r="L65" s="39"/>
      <c r="M65" s="39">
        <v>4</v>
      </c>
      <c r="N65" s="39">
        <v>0</v>
      </c>
      <c r="O65" s="39">
        <v>38.799999999999997</v>
      </c>
      <c r="P65" s="18">
        <v>90.2</v>
      </c>
      <c r="Q65" s="15">
        <f t="shared" si="11"/>
        <v>252.7</v>
      </c>
      <c r="R65" s="39">
        <v>58.6</v>
      </c>
      <c r="S65" s="39">
        <v>114.4</v>
      </c>
      <c r="T65" s="39">
        <v>20.2</v>
      </c>
      <c r="U65" s="39">
        <v>59.5</v>
      </c>
      <c r="V65" s="39">
        <v>16.8</v>
      </c>
      <c r="W65" s="39">
        <v>11.3</v>
      </c>
      <c r="X65" s="39">
        <v>11.3</v>
      </c>
      <c r="Y65" s="39"/>
      <c r="Z65" s="39"/>
      <c r="AA65" s="39"/>
      <c r="AB65" s="39"/>
      <c r="AC65" s="39"/>
      <c r="AD65" s="24">
        <v>0</v>
      </c>
      <c r="AE65" s="24">
        <v>0</v>
      </c>
      <c r="AF65" s="24">
        <v>0</v>
      </c>
      <c r="AG65" s="108">
        <v>0</v>
      </c>
    </row>
    <row r="66" spans="1:33" s="19" customFormat="1" ht="20.100000000000001" customHeight="1">
      <c r="A66" s="32">
        <v>270033</v>
      </c>
      <c r="B66" s="24" t="s">
        <v>212</v>
      </c>
      <c r="C66" s="17">
        <v>5.7</v>
      </c>
      <c r="D66" s="17">
        <v>169</v>
      </c>
      <c r="E66" s="39">
        <f t="shared" si="10"/>
        <v>-289.70000000000005</v>
      </c>
      <c r="F66" s="39"/>
      <c r="G66" s="39"/>
      <c r="H66" s="39"/>
      <c r="I66" s="39"/>
      <c r="J66" s="39"/>
      <c r="K66" s="39"/>
      <c r="L66" s="39"/>
      <c r="M66" s="39">
        <v>0</v>
      </c>
      <c r="N66" s="39">
        <v>0</v>
      </c>
      <c r="O66" s="39">
        <v>6</v>
      </c>
      <c r="P66" s="18">
        <v>-0.3</v>
      </c>
      <c r="Q66" s="15">
        <f t="shared" si="11"/>
        <v>295.40000000000003</v>
      </c>
      <c r="R66" s="39">
        <v>145.80000000000001</v>
      </c>
      <c r="S66" s="39">
        <v>0</v>
      </c>
      <c r="T66" s="39">
        <v>122.5</v>
      </c>
      <c r="U66" s="39">
        <v>27.1</v>
      </c>
      <c r="V66" s="39">
        <v>0</v>
      </c>
      <c r="W66" s="39">
        <v>0</v>
      </c>
      <c r="X66" s="39">
        <v>12.9</v>
      </c>
      <c r="Y66" s="39"/>
      <c r="Z66" s="39"/>
      <c r="AA66" s="39"/>
      <c r="AB66" s="39"/>
      <c r="AC66" s="39"/>
      <c r="AD66" s="24">
        <v>0</v>
      </c>
      <c r="AE66" s="24">
        <v>0</v>
      </c>
      <c r="AF66" s="24">
        <v>0</v>
      </c>
      <c r="AG66" s="108">
        <v>0</v>
      </c>
    </row>
    <row r="67" spans="1:33" s="19" customFormat="1" ht="20.100000000000001" customHeight="1">
      <c r="A67" s="32">
        <v>270257</v>
      </c>
      <c r="B67" s="24" t="s">
        <v>213</v>
      </c>
      <c r="C67" s="17">
        <v>6</v>
      </c>
      <c r="D67" s="17">
        <v>163</v>
      </c>
      <c r="E67" s="39">
        <f t="shared" si="10"/>
        <v>0</v>
      </c>
      <c r="F67" s="39"/>
      <c r="G67" s="39"/>
      <c r="H67" s="39"/>
      <c r="I67" s="39"/>
      <c r="J67" s="39"/>
      <c r="K67" s="39"/>
      <c r="L67" s="39"/>
      <c r="M67" s="39">
        <v>0</v>
      </c>
      <c r="N67" s="39">
        <v>0</v>
      </c>
      <c r="O67" s="39">
        <v>0</v>
      </c>
      <c r="P67" s="18">
        <v>0</v>
      </c>
      <c r="Q67" s="15">
        <f t="shared" si="11"/>
        <v>0</v>
      </c>
      <c r="R67" s="39">
        <v>0</v>
      </c>
      <c r="S67" s="39">
        <v>0</v>
      </c>
      <c r="T67" s="39">
        <v>0</v>
      </c>
      <c r="U67" s="39">
        <v>0</v>
      </c>
      <c r="V67" s="39">
        <v>0</v>
      </c>
      <c r="W67" s="39">
        <v>0</v>
      </c>
      <c r="X67" s="39">
        <v>0</v>
      </c>
      <c r="Y67" s="39"/>
      <c r="Z67" s="39"/>
      <c r="AA67" s="39"/>
      <c r="AB67" s="39"/>
      <c r="AC67" s="39"/>
      <c r="AD67" s="24">
        <v>0</v>
      </c>
      <c r="AE67" s="24">
        <v>0</v>
      </c>
      <c r="AF67" s="24">
        <v>0</v>
      </c>
      <c r="AG67" s="108">
        <v>0</v>
      </c>
    </row>
    <row r="68" spans="1:33" s="19" customFormat="1" ht="20.100000000000001" customHeight="1">
      <c r="A68" s="32">
        <v>270035</v>
      </c>
      <c r="B68" s="24" t="s">
        <v>214</v>
      </c>
      <c r="C68" s="17">
        <v>6</v>
      </c>
      <c r="D68" s="17">
        <v>170</v>
      </c>
      <c r="E68" s="39">
        <f t="shared" si="10"/>
        <v>-100.89999999999999</v>
      </c>
      <c r="F68" s="39"/>
      <c r="G68" s="39"/>
      <c r="H68" s="39"/>
      <c r="I68" s="39"/>
      <c r="J68" s="39"/>
      <c r="K68" s="39"/>
      <c r="L68" s="39"/>
      <c r="M68" s="39">
        <v>0</v>
      </c>
      <c r="N68" s="39">
        <v>0</v>
      </c>
      <c r="O68" s="39">
        <v>8.3000000000000007</v>
      </c>
      <c r="P68" s="18">
        <v>3.6</v>
      </c>
      <c r="Q68" s="15">
        <f t="shared" si="11"/>
        <v>112.8</v>
      </c>
      <c r="R68" s="39">
        <v>24.7</v>
      </c>
      <c r="S68" s="39">
        <v>16.899999999999999</v>
      </c>
      <c r="T68" s="39">
        <v>60.8</v>
      </c>
      <c r="U68" s="39">
        <v>10.4</v>
      </c>
      <c r="V68" s="39">
        <v>41.8</v>
      </c>
      <c r="W68" s="39">
        <v>29.9</v>
      </c>
      <c r="X68" s="39">
        <v>51.3</v>
      </c>
      <c r="Y68" s="39"/>
      <c r="Z68" s="39"/>
      <c r="AA68" s="39"/>
      <c r="AB68" s="39"/>
      <c r="AC68" s="39"/>
      <c r="AD68" s="24">
        <v>0</v>
      </c>
      <c r="AE68" s="24">
        <v>0</v>
      </c>
      <c r="AF68" s="24">
        <v>0</v>
      </c>
      <c r="AG68" s="108">
        <v>0</v>
      </c>
    </row>
    <row r="69" spans="1:33" s="19" customFormat="1" ht="20.100000000000001" customHeight="1">
      <c r="A69" s="32">
        <v>270034</v>
      </c>
      <c r="B69" s="24" t="s">
        <v>215</v>
      </c>
      <c r="C69" s="17">
        <v>5.8</v>
      </c>
      <c r="D69" s="17">
        <v>169.5</v>
      </c>
      <c r="E69" s="39">
        <f t="shared" si="10"/>
        <v>0</v>
      </c>
      <c r="F69" s="39"/>
      <c r="G69" s="39"/>
      <c r="H69" s="39"/>
      <c r="I69" s="39"/>
      <c r="J69" s="39"/>
      <c r="K69" s="39"/>
      <c r="L69" s="39"/>
      <c r="M69" s="39">
        <v>0</v>
      </c>
      <c r="N69" s="39">
        <v>0</v>
      </c>
      <c r="O69" s="39">
        <v>0</v>
      </c>
      <c r="P69" s="18">
        <v>0</v>
      </c>
      <c r="Q69" s="15">
        <f t="shared" si="11"/>
        <v>0</v>
      </c>
      <c r="R69" s="39">
        <v>0</v>
      </c>
      <c r="S69" s="39">
        <v>0</v>
      </c>
      <c r="T69" s="39">
        <v>0</v>
      </c>
      <c r="U69" s="39">
        <v>0</v>
      </c>
      <c r="V69" s="39">
        <v>0</v>
      </c>
      <c r="W69" s="39">
        <v>0</v>
      </c>
      <c r="X69" s="39">
        <v>0</v>
      </c>
      <c r="Y69" s="39"/>
      <c r="Z69" s="39"/>
      <c r="AA69" s="39"/>
      <c r="AB69" s="39"/>
      <c r="AC69" s="39"/>
      <c r="AD69" s="24">
        <v>0</v>
      </c>
      <c r="AE69" s="24">
        <v>0</v>
      </c>
      <c r="AF69" s="24">
        <v>0</v>
      </c>
      <c r="AG69" s="108">
        <v>0</v>
      </c>
    </row>
    <row r="70" spans="1:33" s="19" customFormat="1" ht="20.100000000000001" customHeight="1">
      <c r="A70" s="32">
        <v>270232</v>
      </c>
      <c r="B70" s="24" t="s">
        <v>216</v>
      </c>
      <c r="C70" s="17">
        <v>4</v>
      </c>
      <c r="D70" s="17">
        <v>144.5</v>
      </c>
      <c r="E70" s="39">
        <f t="shared" si="10"/>
        <v>-492</v>
      </c>
      <c r="F70" s="39"/>
      <c r="G70" s="39"/>
      <c r="H70" s="39"/>
      <c r="I70" s="39"/>
      <c r="J70" s="39"/>
      <c r="K70" s="39"/>
      <c r="L70" s="39"/>
      <c r="M70" s="39">
        <v>15.5</v>
      </c>
      <c r="N70" s="39">
        <v>0</v>
      </c>
      <c r="O70" s="39">
        <v>21</v>
      </c>
      <c r="P70" s="18">
        <v>-74</v>
      </c>
      <c r="Q70" s="15">
        <f t="shared" si="11"/>
        <v>454.5</v>
      </c>
      <c r="R70" s="39">
        <v>82.7</v>
      </c>
      <c r="S70" s="39">
        <v>70.900000000000006</v>
      </c>
      <c r="T70" s="39">
        <v>129.30000000000001</v>
      </c>
      <c r="U70" s="39">
        <v>171.6</v>
      </c>
      <c r="V70" s="39">
        <v>107.4</v>
      </c>
      <c r="W70" s="39">
        <v>65.8</v>
      </c>
      <c r="X70" s="39">
        <v>50.4</v>
      </c>
      <c r="Y70" s="39"/>
      <c r="Z70" s="39"/>
      <c r="AA70" s="39"/>
      <c r="AB70" s="39"/>
      <c r="AC70" s="39"/>
      <c r="AD70" s="24">
        <v>0</v>
      </c>
      <c r="AE70" s="24">
        <v>0</v>
      </c>
      <c r="AF70" s="24">
        <v>2.7</v>
      </c>
      <c r="AG70" s="108">
        <v>3</v>
      </c>
    </row>
    <row r="71" spans="1:33" s="19" customFormat="1" ht="20.100000000000001" customHeight="1">
      <c r="A71" s="32">
        <v>270131</v>
      </c>
      <c r="B71" s="24" t="s">
        <v>217</v>
      </c>
      <c r="C71" s="17">
        <v>6</v>
      </c>
      <c r="D71" s="17">
        <v>175.5</v>
      </c>
      <c r="E71" s="39">
        <f t="shared" si="10"/>
        <v>-45.2</v>
      </c>
      <c r="F71" s="39"/>
      <c r="G71" s="39"/>
      <c r="H71" s="39"/>
      <c r="I71" s="39"/>
      <c r="J71" s="39"/>
      <c r="K71" s="39"/>
      <c r="L71" s="39"/>
      <c r="M71" s="39">
        <v>0</v>
      </c>
      <c r="N71" s="39">
        <v>0</v>
      </c>
      <c r="O71" s="39">
        <v>0</v>
      </c>
      <c r="P71" s="18">
        <v>17.899999999999999</v>
      </c>
      <c r="Q71" s="15">
        <f t="shared" si="11"/>
        <v>63.1</v>
      </c>
      <c r="R71" s="39">
        <v>63.1</v>
      </c>
      <c r="S71" s="39">
        <v>0</v>
      </c>
      <c r="T71" s="39">
        <v>0</v>
      </c>
      <c r="U71" s="39">
        <v>0</v>
      </c>
      <c r="V71" s="39">
        <v>17.899999999999999</v>
      </c>
      <c r="W71" s="39">
        <v>151.4</v>
      </c>
      <c r="X71" s="39">
        <v>151.4</v>
      </c>
      <c r="Y71" s="39"/>
      <c r="Z71" s="39"/>
      <c r="AA71" s="39"/>
      <c r="AB71" s="39"/>
      <c r="AC71" s="39"/>
      <c r="AD71" s="24">
        <v>0</v>
      </c>
      <c r="AE71" s="24">
        <v>0</v>
      </c>
      <c r="AF71" s="24">
        <v>0</v>
      </c>
      <c r="AG71" s="108">
        <v>0</v>
      </c>
    </row>
    <row r="72" spans="1:33" s="19" customFormat="1" ht="20.100000000000001" customHeight="1">
      <c r="A72" s="32">
        <v>270168</v>
      </c>
      <c r="B72" s="24" t="s">
        <v>218</v>
      </c>
      <c r="C72" s="17">
        <v>5.5</v>
      </c>
      <c r="D72" s="17">
        <v>174</v>
      </c>
      <c r="E72" s="39">
        <f t="shared" si="10"/>
        <v>0</v>
      </c>
      <c r="F72" s="39"/>
      <c r="G72" s="39"/>
      <c r="H72" s="39"/>
      <c r="I72" s="39"/>
      <c r="J72" s="39"/>
      <c r="K72" s="39"/>
      <c r="L72" s="39"/>
      <c r="M72" s="39">
        <v>0</v>
      </c>
      <c r="N72" s="39">
        <v>0</v>
      </c>
      <c r="O72" s="39">
        <v>0</v>
      </c>
      <c r="P72" s="18">
        <v>0</v>
      </c>
      <c r="Q72" s="15">
        <f t="shared" si="11"/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39">
        <v>0</v>
      </c>
      <c r="Y72" s="39"/>
      <c r="Z72" s="39"/>
      <c r="AA72" s="39"/>
      <c r="AB72" s="39"/>
      <c r="AC72" s="39"/>
      <c r="AD72" s="24">
        <v>0</v>
      </c>
      <c r="AE72" s="24">
        <v>0</v>
      </c>
      <c r="AF72" s="24">
        <v>0</v>
      </c>
      <c r="AG72" s="108">
        <v>0</v>
      </c>
    </row>
    <row r="73" spans="1:33" s="19" customFormat="1" ht="20.100000000000001" customHeight="1">
      <c r="A73" s="32">
        <v>270296</v>
      </c>
      <c r="B73" s="24" t="s">
        <v>37</v>
      </c>
      <c r="C73" s="17">
        <v>4</v>
      </c>
      <c r="D73" s="17">
        <v>170</v>
      </c>
      <c r="E73" s="39">
        <f t="shared" si="10"/>
        <v>-9.4</v>
      </c>
      <c r="F73" s="39"/>
      <c r="G73" s="39"/>
      <c r="H73" s="39"/>
      <c r="I73" s="39"/>
      <c r="J73" s="39"/>
      <c r="K73" s="39"/>
      <c r="L73" s="39"/>
      <c r="M73" s="39">
        <v>0</v>
      </c>
      <c r="N73" s="39">
        <v>0</v>
      </c>
      <c r="O73" s="39">
        <v>0</v>
      </c>
      <c r="P73" s="18">
        <v>-9.4</v>
      </c>
      <c r="Q73" s="15">
        <f t="shared" si="11"/>
        <v>0</v>
      </c>
      <c r="R73" s="39">
        <v>0</v>
      </c>
      <c r="S73" s="39">
        <v>0</v>
      </c>
      <c r="T73" s="39">
        <v>0</v>
      </c>
      <c r="U73" s="39">
        <v>0</v>
      </c>
      <c r="V73" s="39">
        <v>0</v>
      </c>
      <c r="W73" s="39">
        <v>59.1</v>
      </c>
      <c r="X73" s="39">
        <v>75.3</v>
      </c>
      <c r="Y73" s="39"/>
      <c r="Z73" s="39"/>
      <c r="AA73" s="51"/>
      <c r="AB73" s="39"/>
      <c r="AC73" s="39"/>
      <c r="AD73" s="24">
        <v>0</v>
      </c>
      <c r="AE73" s="24">
        <v>0</v>
      </c>
      <c r="AF73" s="24">
        <v>0</v>
      </c>
      <c r="AG73" s="108">
        <v>0</v>
      </c>
    </row>
    <row r="74" spans="1:33" s="19" customFormat="1" ht="20.100000000000001" customHeight="1" thickBot="1">
      <c r="A74" s="33">
        <v>270107</v>
      </c>
      <c r="B74" s="34" t="s">
        <v>219</v>
      </c>
      <c r="C74" s="35">
        <v>6.5</v>
      </c>
      <c r="D74" s="35">
        <v>169.5</v>
      </c>
      <c r="E74" s="39">
        <f t="shared" si="10"/>
        <v>0</v>
      </c>
      <c r="F74" s="39"/>
      <c r="G74" s="39"/>
      <c r="H74" s="39"/>
      <c r="I74" s="39"/>
      <c r="J74" s="39"/>
      <c r="K74" s="39"/>
      <c r="L74" s="39"/>
      <c r="M74" s="39">
        <v>0</v>
      </c>
      <c r="N74" s="39">
        <v>0</v>
      </c>
      <c r="O74" s="39">
        <v>0</v>
      </c>
      <c r="P74" s="18">
        <v>0</v>
      </c>
      <c r="Q74" s="15">
        <f t="shared" si="11"/>
        <v>0</v>
      </c>
      <c r="R74" s="39">
        <v>0</v>
      </c>
      <c r="S74" s="39">
        <v>0</v>
      </c>
      <c r="T74" s="39">
        <v>0</v>
      </c>
      <c r="U74" s="39">
        <v>0</v>
      </c>
      <c r="V74" s="39">
        <v>0</v>
      </c>
      <c r="W74" s="39">
        <v>0</v>
      </c>
      <c r="X74" s="39">
        <v>0</v>
      </c>
      <c r="Y74" s="39"/>
      <c r="Z74" s="39"/>
      <c r="AA74" s="39"/>
      <c r="AB74" s="39"/>
      <c r="AC74" s="39"/>
      <c r="AD74" s="24">
        <v>0</v>
      </c>
      <c r="AE74" s="24">
        <v>0</v>
      </c>
      <c r="AF74" s="24">
        <v>0</v>
      </c>
      <c r="AG74" s="108">
        <v>0</v>
      </c>
    </row>
    <row r="75" spans="1:33" s="19" customFormat="1" ht="20.100000000000001" customHeight="1">
      <c r="A75" s="89">
        <v>270011</v>
      </c>
      <c r="B75" s="90" t="s">
        <v>146</v>
      </c>
      <c r="C75" s="91">
        <v>5</v>
      </c>
      <c r="D75" s="91">
        <v>152</v>
      </c>
      <c r="E75" s="92">
        <f t="shared" ref="E75:E123" si="12">+M75+N75+O75+P75-Q75+SUMPRODUCT($F$9:$L$9,F75:L75)</f>
        <v>0.5</v>
      </c>
      <c r="F75" s="92"/>
      <c r="G75" s="92"/>
      <c r="H75" s="92"/>
      <c r="I75" s="92"/>
      <c r="J75" s="92"/>
      <c r="K75" s="92"/>
      <c r="L75" s="92"/>
      <c r="M75" s="92">
        <v>-0.3</v>
      </c>
      <c r="N75" s="92">
        <v>0.8</v>
      </c>
      <c r="O75" s="92">
        <v>0</v>
      </c>
      <c r="P75" s="93">
        <v>0</v>
      </c>
      <c r="Q75" s="94">
        <f t="shared" ref="Q75:Q124" si="13">+SUMPRODUCT(R75:AC75,$R$9:$AC$9)</f>
        <v>0</v>
      </c>
      <c r="R75" s="92">
        <v>0</v>
      </c>
      <c r="S75" s="92">
        <v>0</v>
      </c>
      <c r="T75" s="92">
        <v>0</v>
      </c>
      <c r="U75" s="92">
        <v>0</v>
      </c>
      <c r="V75" s="92">
        <v>0</v>
      </c>
      <c r="W75" s="92">
        <v>0</v>
      </c>
      <c r="X75" s="92">
        <v>0</v>
      </c>
      <c r="Y75" s="92"/>
      <c r="Z75" s="92"/>
      <c r="AA75" s="92"/>
      <c r="AB75" s="39"/>
      <c r="AC75" s="39"/>
      <c r="AD75" s="24">
        <v>0</v>
      </c>
      <c r="AE75" s="24">
        <v>0</v>
      </c>
      <c r="AF75" s="24">
        <v>0</v>
      </c>
      <c r="AG75" s="108">
        <v>0</v>
      </c>
    </row>
    <row r="76" spans="1:33" s="19" customFormat="1" ht="20.100000000000001" customHeight="1">
      <c r="A76" s="83">
        <v>270014</v>
      </c>
      <c r="B76" s="84" t="s">
        <v>147</v>
      </c>
      <c r="C76" s="85">
        <v>5.2</v>
      </c>
      <c r="D76" s="85">
        <v>158.5</v>
      </c>
      <c r="E76" s="86">
        <f t="shared" si="12"/>
        <v>0.9</v>
      </c>
      <c r="F76" s="86"/>
      <c r="G76" s="86"/>
      <c r="H76" s="86"/>
      <c r="I76" s="86"/>
      <c r="J76" s="86"/>
      <c r="K76" s="86"/>
      <c r="L76" s="86"/>
      <c r="M76" s="86">
        <v>0</v>
      </c>
      <c r="N76" s="86">
        <v>0.9</v>
      </c>
      <c r="O76" s="86">
        <v>0</v>
      </c>
      <c r="P76" s="87">
        <v>0</v>
      </c>
      <c r="Q76" s="88">
        <f t="shared" si="13"/>
        <v>0</v>
      </c>
      <c r="R76" s="86">
        <v>0</v>
      </c>
      <c r="S76" s="86">
        <v>0</v>
      </c>
      <c r="T76" s="86">
        <v>0</v>
      </c>
      <c r="U76" s="86">
        <v>0</v>
      </c>
      <c r="V76" s="86">
        <v>0</v>
      </c>
      <c r="W76" s="86">
        <v>0</v>
      </c>
      <c r="X76" s="86">
        <v>0</v>
      </c>
      <c r="Y76" s="86"/>
      <c r="Z76" s="86"/>
      <c r="AA76" s="86"/>
      <c r="AB76" s="39"/>
      <c r="AC76" s="39"/>
      <c r="AD76" s="24">
        <v>0</v>
      </c>
      <c r="AE76" s="24">
        <v>0</v>
      </c>
      <c r="AF76" s="24">
        <v>0</v>
      </c>
      <c r="AG76" s="108">
        <v>0</v>
      </c>
    </row>
    <row r="77" spans="1:33" s="19" customFormat="1" ht="20.100000000000001" customHeight="1">
      <c r="A77" s="83">
        <v>270128</v>
      </c>
      <c r="B77" s="84" t="s">
        <v>14</v>
      </c>
      <c r="C77" s="85">
        <v>5.6</v>
      </c>
      <c r="D77" s="85">
        <v>155</v>
      </c>
      <c r="E77" s="86">
        <f t="shared" si="12"/>
        <v>1.5</v>
      </c>
      <c r="F77" s="86"/>
      <c r="G77" s="86"/>
      <c r="H77" s="86"/>
      <c r="I77" s="86"/>
      <c r="J77" s="86"/>
      <c r="K77" s="86"/>
      <c r="L77" s="86"/>
      <c r="M77" s="86">
        <v>0</v>
      </c>
      <c r="N77" s="86">
        <v>1.5</v>
      </c>
      <c r="O77" s="86">
        <v>0</v>
      </c>
      <c r="P77" s="87">
        <v>0</v>
      </c>
      <c r="Q77" s="88">
        <f t="shared" si="13"/>
        <v>0</v>
      </c>
      <c r="R77" s="86">
        <v>0</v>
      </c>
      <c r="S77" s="86">
        <v>0</v>
      </c>
      <c r="T77" s="86">
        <v>0</v>
      </c>
      <c r="U77" s="86">
        <v>0</v>
      </c>
      <c r="V77" s="86">
        <v>0</v>
      </c>
      <c r="W77" s="86">
        <v>0</v>
      </c>
      <c r="X77" s="86">
        <v>0</v>
      </c>
      <c r="Y77" s="86"/>
      <c r="Z77" s="86"/>
      <c r="AA77" s="86"/>
      <c r="AB77" s="39"/>
      <c r="AC77" s="39"/>
      <c r="AD77" s="24">
        <v>0</v>
      </c>
      <c r="AE77" s="24">
        <v>0</v>
      </c>
      <c r="AF77" s="24">
        <v>0</v>
      </c>
      <c r="AG77" s="108">
        <v>0</v>
      </c>
    </row>
    <row r="78" spans="1:33" s="19" customFormat="1" ht="20.100000000000001" customHeight="1">
      <c r="A78" s="83">
        <v>270142</v>
      </c>
      <c r="B78" s="84" t="s">
        <v>148</v>
      </c>
      <c r="C78" s="85">
        <v>5.2</v>
      </c>
      <c r="D78" s="85">
        <v>152</v>
      </c>
      <c r="E78" s="86">
        <f t="shared" si="12"/>
        <v>12</v>
      </c>
      <c r="F78" s="86"/>
      <c r="G78" s="86"/>
      <c r="H78" s="86"/>
      <c r="I78" s="86"/>
      <c r="J78" s="86"/>
      <c r="K78" s="86"/>
      <c r="L78" s="86"/>
      <c r="M78" s="86">
        <v>-1.6</v>
      </c>
      <c r="N78" s="86">
        <v>13.6</v>
      </c>
      <c r="O78" s="86">
        <v>0</v>
      </c>
      <c r="P78" s="87">
        <v>0</v>
      </c>
      <c r="Q78" s="88">
        <f t="shared" si="13"/>
        <v>0</v>
      </c>
      <c r="R78" s="86">
        <v>0</v>
      </c>
      <c r="S78" s="86">
        <v>0</v>
      </c>
      <c r="T78" s="86">
        <v>0</v>
      </c>
      <c r="U78" s="86">
        <v>0</v>
      </c>
      <c r="V78" s="86">
        <v>0</v>
      </c>
      <c r="W78" s="86">
        <v>0</v>
      </c>
      <c r="X78" s="86">
        <v>0</v>
      </c>
      <c r="Y78" s="86"/>
      <c r="Z78" s="86"/>
      <c r="AA78" s="86"/>
      <c r="AB78" s="39"/>
      <c r="AC78" s="39"/>
      <c r="AD78" s="24">
        <v>0</v>
      </c>
      <c r="AE78" s="24">
        <v>0</v>
      </c>
      <c r="AF78" s="24">
        <v>0</v>
      </c>
      <c r="AG78" s="108">
        <v>0</v>
      </c>
    </row>
    <row r="79" spans="1:33" s="19" customFormat="1" ht="20.100000000000001" customHeight="1">
      <c r="A79" s="83">
        <v>270015</v>
      </c>
      <c r="B79" s="84" t="s">
        <v>149</v>
      </c>
      <c r="C79" s="85">
        <v>6.5</v>
      </c>
      <c r="D79" s="85">
        <v>152</v>
      </c>
      <c r="E79" s="86">
        <f t="shared" si="12"/>
        <v>1.9000000000000001</v>
      </c>
      <c r="F79" s="86"/>
      <c r="G79" s="86"/>
      <c r="H79" s="86"/>
      <c r="I79" s="86"/>
      <c r="J79" s="86"/>
      <c r="K79" s="86"/>
      <c r="L79" s="86"/>
      <c r="M79" s="86">
        <v>-0.2</v>
      </c>
      <c r="N79" s="86">
        <v>2.1</v>
      </c>
      <c r="O79" s="86">
        <v>0</v>
      </c>
      <c r="P79" s="87">
        <v>0</v>
      </c>
      <c r="Q79" s="88">
        <f t="shared" si="13"/>
        <v>0</v>
      </c>
      <c r="R79" s="86">
        <v>0</v>
      </c>
      <c r="S79" s="86">
        <v>0</v>
      </c>
      <c r="T79" s="86">
        <v>0</v>
      </c>
      <c r="U79" s="86">
        <v>0</v>
      </c>
      <c r="V79" s="86">
        <v>0</v>
      </c>
      <c r="W79" s="86">
        <v>0</v>
      </c>
      <c r="X79" s="86">
        <v>0</v>
      </c>
      <c r="Y79" s="86"/>
      <c r="Z79" s="86"/>
      <c r="AA79" s="86"/>
      <c r="AB79" s="39"/>
      <c r="AC79" s="39"/>
      <c r="AD79" s="24">
        <v>0</v>
      </c>
      <c r="AE79" s="24">
        <v>0</v>
      </c>
      <c r="AF79" s="24">
        <v>0</v>
      </c>
      <c r="AG79" s="108">
        <v>0</v>
      </c>
    </row>
    <row r="80" spans="1:33" s="19" customFormat="1" ht="20.100000000000001" customHeight="1">
      <c r="A80" s="83">
        <v>270016</v>
      </c>
      <c r="B80" s="84" t="s">
        <v>150</v>
      </c>
      <c r="C80" s="85">
        <v>5.2</v>
      </c>
      <c r="D80" s="85">
        <v>157.5</v>
      </c>
      <c r="E80" s="86">
        <f t="shared" si="12"/>
        <v>1.1000000000000001</v>
      </c>
      <c r="F80" s="86"/>
      <c r="G80" s="86"/>
      <c r="H80" s="86"/>
      <c r="I80" s="86"/>
      <c r="J80" s="86"/>
      <c r="K80" s="86"/>
      <c r="L80" s="86"/>
      <c r="M80" s="86">
        <v>0</v>
      </c>
      <c r="N80" s="86">
        <v>1.1000000000000001</v>
      </c>
      <c r="O80" s="86">
        <v>0</v>
      </c>
      <c r="P80" s="87">
        <v>0</v>
      </c>
      <c r="Q80" s="88">
        <f t="shared" si="13"/>
        <v>0</v>
      </c>
      <c r="R80" s="86">
        <v>0</v>
      </c>
      <c r="S80" s="86">
        <v>0</v>
      </c>
      <c r="T80" s="86">
        <v>0</v>
      </c>
      <c r="U80" s="86">
        <v>0</v>
      </c>
      <c r="V80" s="86">
        <v>0</v>
      </c>
      <c r="W80" s="86">
        <v>0</v>
      </c>
      <c r="X80" s="86">
        <v>0</v>
      </c>
      <c r="Y80" s="86"/>
      <c r="Z80" s="86"/>
      <c r="AA80" s="86"/>
      <c r="AB80" s="39"/>
      <c r="AC80" s="39"/>
      <c r="AD80" s="24">
        <v>0</v>
      </c>
      <c r="AE80" s="24">
        <v>0</v>
      </c>
      <c r="AF80" s="24">
        <v>0</v>
      </c>
      <c r="AG80" s="108">
        <v>0</v>
      </c>
    </row>
    <row r="81" spans="1:33" s="19" customFormat="1" ht="20.100000000000001" customHeight="1">
      <c r="A81" s="83">
        <v>270532</v>
      </c>
      <c r="B81" s="84" t="s">
        <v>151</v>
      </c>
      <c r="C81" s="85">
        <v>5.5</v>
      </c>
      <c r="D81" s="85">
        <v>158.80000000000001</v>
      </c>
      <c r="E81" s="86">
        <f t="shared" si="12"/>
        <v>1.9</v>
      </c>
      <c r="F81" s="86"/>
      <c r="G81" s="86"/>
      <c r="H81" s="86"/>
      <c r="I81" s="86"/>
      <c r="J81" s="86"/>
      <c r="K81" s="86"/>
      <c r="L81" s="86"/>
      <c r="M81" s="86">
        <v>0</v>
      </c>
      <c r="N81" s="86">
        <v>1.9</v>
      </c>
      <c r="O81" s="86">
        <v>0</v>
      </c>
      <c r="P81" s="87">
        <v>0</v>
      </c>
      <c r="Q81" s="88">
        <f t="shared" si="13"/>
        <v>0</v>
      </c>
      <c r="R81" s="86">
        <v>0</v>
      </c>
      <c r="S81" s="86">
        <v>0</v>
      </c>
      <c r="T81" s="86">
        <v>0</v>
      </c>
      <c r="U81" s="86">
        <v>0</v>
      </c>
      <c r="V81" s="86">
        <v>0</v>
      </c>
      <c r="W81" s="86">
        <v>0</v>
      </c>
      <c r="X81" s="86">
        <v>0</v>
      </c>
      <c r="Y81" s="86"/>
      <c r="Z81" s="86"/>
      <c r="AA81" s="86"/>
      <c r="AB81" s="39"/>
      <c r="AC81" s="39"/>
      <c r="AD81" s="24">
        <v>0</v>
      </c>
      <c r="AE81" s="24">
        <v>0</v>
      </c>
      <c r="AF81" s="24">
        <v>0</v>
      </c>
      <c r="AG81" s="108">
        <v>0</v>
      </c>
    </row>
    <row r="82" spans="1:33" s="19" customFormat="1" ht="20.100000000000001" customHeight="1">
      <c r="A82" s="83">
        <v>270065</v>
      </c>
      <c r="B82" s="84" t="s">
        <v>152</v>
      </c>
      <c r="C82" s="85">
        <v>5.6</v>
      </c>
      <c r="D82" s="85">
        <v>154.5</v>
      </c>
      <c r="E82" s="86">
        <f t="shared" si="12"/>
        <v>0</v>
      </c>
      <c r="F82" s="86"/>
      <c r="G82" s="86"/>
      <c r="H82" s="86"/>
      <c r="I82" s="86"/>
      <c r="J82" s="86"/>
      <c r="K82" s="86"/>
      <c r="L82" s="86"/>
      <c r="M82" s="86">
        <v>0</v>
      </c>
      <c r="N82" s="86">
        <v>0</v>
      </c>
      <c r="O82" s="86">
        <v>0</v>
      </c>
      <c r="P82" s="87">
        <v>0</v>
      </c>
      <c r="Q82" s="88">
        <f t="shared" si="13"/>
        <v>0</v>
      </c>
      <c r="R82" s="86">
        <v>0</v>
      </c>
      <c r="S82" s="86">
        <v>0</v>
      </c>
      <c r="T82" s="86">
        <v>0</v>
      </c>
      <c r="U82" s="86">
        <v>0</v>
      </c>
      <c r="V82" s="86">
        <v>0</v>
      </c>
      <c r="W82" s="86">
        <v>0</v>
      </c>
      <c r="X82" s="86">
        <v>0</v>
      </c>
      <c r="Y82" s="86"/>
      <c r="Z82" s="86"/>
      <c r="AA82" s="86"/>
      <c r="AB82" s="39"/>
      <c r="AC82" s="39"/>
      <c r="AD82" s="24">
        <v>0</v>
      </c>
      <c r="AE82" s="24">
        <v>0</v>
      </c>
      <c r="AF82" s="24">
        <v>0</v>
      </c>
      <c r="AG82" s="108">
        <v>0</v>
      </c>
    </row>
    <row r="83" spans="1:33" s="19" customFormat="1" ht="20.100000000000001" customHeight="1">
      <c r="A83" s="83">
        <v>270012</v>
      </c>
      <c r="B83" s="84" t="s">
        <v>153</v>
      </c>
      <c r="C83" s="85">
        <v>5.5</v>
      </c>
      <c r="D83" s="85">
        <v>157.5</v>
      </c>
      <c r="E83" s="86">
        <f t="shared" si="12"/>
        <v>0.8</v>
      </c>
      <c r="F83" s="86"/>
      <c r="G83" s="86"/>
      <c r="H83" s="86"/>
      <c r="I83" s="86"/>
      <c r="J83" s="86"/>
      <c r="K83" s="86"/>
      <c r="L83" s="86"/>
      <c r="M83" s="86">
        <v>0</v>
      </c>
      <c r="N83" s="86">
        <v>0.8</v>
      </c>
      <c r="O83" s="86">
        <v>0</v>
      </c>
      <c r="P83" s="87">
        <v>0</v>
      </c>
      <c r="Q83" s="88">
        <f t="shared" si="13"/>
        <v>0</v>
      </c>
      <c r="R83" s="86">
        <v>0</v>
      </c>
      <c r="S83" s="86">
        <v>0</v>
      </c>
      <c r="T83" s="86">
        <v>0</v>
      </c>
      <c r="U83" s="86">
        <v>0</v>
      </c>
      <c r="V83" s="86">
        <v>0</v>
      </c>
      <c r="W83" s="86">
        <v>0</v>
      </c>
      <c r="X83" s="86">
        <v>0</v>
      </c>
      <c r="Y83" s="86"/>
      <c r="Z83" s="86"/>
      <c r="AA83" s="86"/>
      <c r="AB83" s="39"/>
      <c r="AC83" s="39"/>
      <c r="AD83" s="24">
        <v>0</v>
      </c>
      <c r="AE83" s="24">
        <v>0</v>
      </c>
      <c r="AF83" s="24">
        <v>0</v>
      </c>
      <c r="AG83" s="108">
        <v>0</v>
      </c>
    </row>
    <row r="84" spans="1:33" s="19" customFormat="1" ht="20.100000000000001" customHeight="1">
      <c r="A84" s="83">
        <v>270278</v>
      </c>
      <c r="B84" s="84" t="s">
        <v>154</v>
      </c>
      <c r="C84" s="85">
        <v>6</v>
      </c>
      <c r="D84" s="85">
        <v>153</v>
      </c>
      <c r="E84" s="86">
        <f t="shared" si="12"/>
        <v>29.7</v>
      </c>
      <c r="F84" s="86"/>
      <c r="G84" s="86"/>
      <c r="H84" s="86"/>
      <c r="I84" s="86"/>
      <c r="J84" s="86"/>
      <c r="K84" s="86"/>
      <c r="L84" s="86"/>
      <c r="M84" s="86">
        <v>-0.3</v>
      </c>
      <c r="N84" s="86">
        <v>30</v>
      </c>
      <c r="O84" s="86">
        <v>0</v>
      </c>
      <c r="P84" s="87">
        <v>0</v>
      </c>
      <c r="Q84" s="88">
        <f t="shared" si="13"/>
        <v>0</v>
      </c>
      <c r="R84" s="86">
        <v>0</v>
      </c>
      <c r="S84" s="86">
        <v>0</v>
      </c>
      <c r="T84" s="86">
        <v>0</v>
      </c>
      <c r="U84" s="86">
        <v>0</v>
      </c>
      <c r="V84" s="86">
        <v>0</v>
      </c>
      <c r="W84" s="86">
        <v>0</v>
      </c>
      <c r="X84" s="86">
        <v>0</v>
      </c>
      <c r="Y84" s="86"/>
      <c r="Z84" s="86"/>
      <c r="AA84" s="86"/>
      <c r="AB84" s="39"/>
      <c r="AC84" s="39"/>
      <c r="AD84" s="24">
        <v>0</v>
      </c>
      <c r="AE84" s="24">
        <v>0</v>
      </c>
      <c r="AF84" s="24">
        <v>0</v>
      </c>
      <c r="AG84" s="108">
        <v>0</v>
      </c>
    </row>
    <row r="85" spans="1:33" s="19" customFormat="1" ht="20.100000000000001" customHeight="1">
      <c r="A85" s="83">
        <v>270309</v>
      </c>
      <c r="B85" s="84" t="s">
        <v>155</v>
      </c>
      <c r="C85" s="85">
        <v>5.4</v>
      </c>
      <c r="D85" s="85">
        <v>155</v>
      </c>
      <c r="E85" s="86">
        <f t="shared" si="12"/>
        <v>0</v>
      </c>
      <c r="F85" s="86"/>
      <c r="G85" s="86"/>
      <c r="H85" s="86"/>
      <c r="I85" s="86"/>
      <c r="J85" s="86"/>
      <c r="K85" s="86"/>
      <c r="L85" s="86"/>
      <c r="M85" s="86">
        <v>0</v>
      </c>
      <c r="N85" s="86">
        <v>0</v>
      </c>
      <c r="O85" s="86">
        <v>0</v>
      </c>
      <c r="P85" s="87">
        <v>0</v>
      </c>
      <c r="Q85" s="88">
        <f t="shared" si="13"/>
        <v>0</v>
      </c>
      <c r="R85" s="86">
        <v>0</v>
      </c>
      <c r="S85" s="86">
        <v>0</v>
      </c>
      <c r="T85" s="86">
        <v>0</v>
      </c>
      <c r="U85" s="86">
        <v>0</v>
      </c>
      <c r="V85" s="86">
        <v>0</v>
      </c>
      <c r="W85" s="86">
        <v>0</v>
      </c>
      <c r="X85" s="86">
        <v>0</v>
      </c>
      <c r="Y85" s="86"/>
      <c r="Z85" s="86"/>
      <c r="AA85" s="86"/>
      <c r="AB85" s="39"/>
      <c r="AC85" s="39"/>
      <c r="AD85" s="24">
        <v>0</v>
      </c>
      <c r="AE85" s="24">
        <v>0</v>
      </c>
      <c r="AF85" s="24">
        <v>0</v>
      </c>
      <c r="AG85" s="108">
        <v>0</v>
      </c>
    </row>
    <row r="86" spans="1:33" s="19" customFormat="1" ht="20.100000000000001" customHeight="1">
      <c r="A86" s="83">
        <v>270008</v>
      </c>
      <c r="B86" s="84" t="s">
        <v>156</v>
      </c>
      <c r="C86" s="85">
        <v>6</v>
      </c>
      <c r="D86" s="85">
        <v>154.5</v>
      </c>
      <c r="E86" s="86">
        <f t="shared" si="12"/>
        <v>7.3000000000000007</v>
      </c>
      <c r="F86" s="86"/>
      <c r="G86" s="86"/>
      <c r="H86" s="86"/>
      <c r="I86" s="86"/>
      <c r="J86" s="86"/>
      <c r="K86" s="86"/>
      <c r="L86" s="86"/>
      <c r="M86" s="86">
        <v>-1.6</v>
      </c>
      <c r="N86" s="86">
        <v>8.9</v>
      </c>
      <c r="O86" s="86">
        <v>0</v>
      </c>
      <c r="P86" s="87">
        <v>0</v>
      </c>
      <c r="Q86" s="88">
        <f t="shared" si="13"/>
        <v>0</v>
      </c>
      <c r="R86" s="86">
        <v>0</v>
      </c>
      <c r="S86" s="86">
        <v>0</v>
      </c>
      <c r="T86" s="86">
        <v>0</v>
      </c>
      <c r="U86" s="86">
        <v>0</v>
      </c>
      <c r="V86" s="86">
        <v>0</v>
      </c>
      <c r="W86" s="86">
        <v>0</v>
      </c>
      <c r="X86" s="86">
        <v>0</v>
      </c>
      <c r="Y86" s="86"/>
      <c r="Z86" s="86"/>
      <c r="AA86" s="86"/>
      <c r="AB86" s="39"/>
      <c r="AC86" s="39"/>
      <c r="AD86" s="24">
        <v>0</v>
      </c>
      <c r="AE86" s="24">
        <v>0</v>
      </c>
      <c r="AF86" s="24">
        <v>0</v>
      </c>
      <c r="AG86" s="108">
        <v>0</v>
      </c>
    </row>
    <row r="87" spans="1:33" s="19" customFormat="1" ht="20.100000000000001" customHeight="1">
      <c r="A87" s="83">
        <v>270005</v>
      </c>
      <c r="B87" s="84" t="s">
        <v>157</v>
      </c>
      <c r="C87" s="85">
        <v>5.5</v>
      </c>
      <c r="D87" s="85">
        <v>157</v>
      </c>
      <c r="E87" s="86">
        <f t="shared" si="12"/>
        <v>0</v>
      </c>
      <c r="F87" s="86"/>
      <c r="G87" s="86"/>
      <c r="H87" s="86"/>
      <c r="I87" s="86"/>
      <c r="J87" s="86"/>
      <c r="K87" s="86"/>
      <c r="L87" s="86"/>
      <c r="M87" s="86">
        <v>0</v>
      </c>
      <c r="N87" s="86">
        <v>0</v>
      </c>
      <c r="O87" s="86">
        <v>0</v>
      </c>
      <c r="P87" s="87">
        <v>0</v>
      </c>
      <c r="Q87" s="88">
        <f t="shared" si="13"/>
        <v>0</v>
      </c>
      <c r="R87" s="86">
        <v>0</v>
      </c>
      <c r="S87" s="86">
        <v>0</v>
      </c>
      <c r="T87" s="86">
        <v>0</v>
      </c>
      <c r="U87" s="86">
        <v>0</v>
      </c>
      <c r="V87" s="86">
        <v>0</v>
      </c>
      <c r="W87" s="86">
        <v>0</v>
      </c>
      <c r="X87" s="86">
        <v>0</v>
      </c>
      <c r="Y87" s="86"/>
      <c r="Z87" s="86"/>
      <c r="AA87" s="86"/>
      <c r="AB87" s="39"/>
      <c r="AC87" s="39"/>
      <c r="AD87" s="24">
        <v>0</v>
      </c>
      <c r="AE87" s="24">
        <v>0</v>
      </c>
      <c r="AF87" s="24">
        <v>0</v>
      </c>
      <c r="AG87" s="108">
        <v>0</v>
      </c>
    </row>
    <row r="88" spans="1:33" s="19" customFormat="1" ht="20.100000000000001" customHeight="1">
      <c r="A88" s="83">
        <v>270006</v>
      </c>
      <c r="B88" s="84" t="s">
        <v>158</v>
      </c>
      <c r="C88" s="85">
        <v>5.5</v>
      </c>
      <c r="D88" s="85">
        <v>154.5</v>
      </c>
      <c r="E88" s="86">
        <f t="shared" si="12"/>
        <v>0</v>
      </c>
      <c r="F88" s="86"/>
      <c r="G88" s="86"/>
      <c r="H88" s="86"/>
      <c r="I88" s="86"/>
      <c r="J88" s="86"/>
      <c r="K88" s="86"/>
      <c r="L88" s="86"/>
      <c r="M88" s="86">
        <v>0</v>
      </c>
      <c r="N88" s="86">
        <v>0</v>
      </c>
      <c r="O88" s="86">
        <v>0</v>
      </c>
      <c r="P88" s="87">
        <v>0</v>
      </c>
      <c r="Q88" s="88">
        <f t="shared" si="13"/>
        <v>0</v>
      </c>
      <c r="R88" s="86">
        <v>0</v>
      </c>
      <c r="S88" s="86">
        <v>0</v>
      </c>
      <c r="T88" s="86">
        <v>0</v>
      </c>
      <c r="U88" s="86">
        <v>0</v>
      </c>
      <c r="V88" s="86">
        <v>0</v>
      </c>
      <c r="W88" s="86">
        <v>0</v>
      </c>
      <c r="X88" s="86">
        <v>0</v>
      </c>
      <c r="Y88" s="86"/>
      <c r="Z88" s="86"/>
      <c r="AA88" s="86"/>
      <c r="AB88" s="39"/>
      <c r="AC88" s="39"/>
      <c r="AD88" s="24">
        <v>0</v>
      </c>
      <c r="AE88" s="24">
        <v>0</v>
      </c>
      <c r="AF88" s="24">
        <v>0</v>
      </c>
      <c r="AG88" s="108">
        <v>0</v>
      </c>
    </row>
    <row r="89" spans="1:33" s="19" customFormat="1" ht="20.100000000000001" customHeight="1">
      <c r="A89" s="83">
        <v>270141</v>
      </c>
      <c r="B89" s="84" t="s">
        <v>159</v>
      </c>
      <c r="C89" s="85">
        <v>5.5</v>
      </c>
      <c r="D89" s="85">
        <v>165</v>
      </c>
      <c r="E89" s="86">
        <f t="shared" si="12"/>
        <v>0</v>
      </c>
      <c r="F89" s="86"/>
      <c r="G89" s="86"/>
      <c r="H89" s="86"/>
      <c r="I89" s="86"/>
      <c r="J89" s="86"/>
      <c r="K89" s="86"/>
      <c r="L89" s="86"/>
      <c r="M89" s="86">
        <v>0</v>
      </c>
      <c r="N89" s="86">
        <v>0</v>
      </c>
      <c r="O89" s="86">
        <v>0</v>
      </c>
      <c r="P89" s="87">
        <v>0</v>
      </c>
      <c r="Q89" s="88">
        <f t="shared" si="13"/>
        <v>0</v>
      </c>
      <c r="R89" s="86">
        <v>0</v>
      </c>
      <c r="S89" s="86">
        <v>0</v>
      </c>
      <c r="T89" s="86">
        <v>0</v>
      </c>
      <c r="U89" s="86">
        <v>0</v>
      </c>
      <c r="V89" s="86">
        <v>0</v>
      </c>
      <c r="W89" s="86">
        <v>0</v>
      </c>
      <c r="X89" s="86">
        <v>0</v>
      </c>
      <c r="Y89" s="86"/>
      <c r="Z89" s="86"/>
      <c r="AA89" s="86"/>
      <c r="AB89" s="39"/>
      <c r="AC89" s="39"/>
      <c r="AD89" s="24">
        <v>0</v>
      </c>
      <c r="AE89" s="24">
        <v>0</v>
      </c>
      <c r="AF89" s="24">
        <v>0</v>
      </c>
      <c r="AG89" s="108">
        <v>0</v>
      </c>
    </row>
    <row r="90" spans="1:33" s="19" customFormat="1" ht="20.100000000000001" customHeight="1">
      <c r="A90" s="83">
        <v>270186</v>
      </c>
      <c r="B90" s="84" t="s">
        <v>160</v>
      </c>
      <c r="C90" s="85">
        <v>5</v>
      </c>
      <c r="D90" s="85">
        <v>161</v>
      </c>
      <c r="E90" s="86">
        <f t="shared" si="12"/>
        <v>0</v>
      </c>
      <c r="F90" s="86"/>
      <c r="G90" s="86"/>
      <c r="H90" s="86"/>
      <c r="I90" s="86"/>
      <c r="J90" s="86"/>
      <c r="K90" s="86"/>
      <c r="L90" s="86"/>
      <c r="M90" s="86">
        <v>0</v>
      </c>
      <c r="N90" s="86">
        <v>0</v>
      </c>
      <c r="O90" s="86">
        <v>0</v>
      </c>
      <c r="P90" s="87">
        <v>0</v>
      </c>
      <c r="Q90" s="88">
        <f t="shared" si="13"/>
        <v>0</v>
      </c>
      <c r="R90" s="86">
        <v>0</v>
      </c>
      <c r="S90" s="86">
        <v>0</v>
      </c>
      <c r="T90" s="86">
        <v>0</v>
      </c>
      <c r="U90" s="86">
        <v>0</v>
      </c>
      <c r="V90" s="86">
        <v>0</v>
      </c>
      <c r="W90" s="86">
        <v>0</v>
      </c>
      <c r="X90" s="86">
        <v>0</v>
      </c>
      <c r="Y90" s="86"/>
      <c r="Z90" s="86"/>
      <c r="AA90" s="86"/>
      <c r="AB90" s="39"/>
      <c r="AC90" s="39"/>
      <c r="AD90" s="24">
        <v>0</v>
      </c>
      <c r="AE90" s="24">
        <v>0</v>
      </c>
      <c r="AF90" s="24">
        <v>0</v>
      </c>
      <c r="AG90" s="108">
        <v>0</v>
      </c>
    </row>
    <row r="91" spans="1:33" s="19" customFormat="1" ht="20.100000000000001" customHeight="1">
      <c r="A91" s="83">
        <v>270067</v>
      </c>
      <c r="B91" s="84" t="s">
        <v>145</v>
      </c>
      <c r="C91" s="85">
        <v>5.3</v>
      </c>
      <c r="D91" s="85">
        <v>155</v>
      </c>
      <c r="E91" s="86">
        <f t="shared" si="12"/>
        <v>0</v>
      </c>
      <c r="F91" s="86"/>
      <c r="G91" s="86"/>
      <c r="H91" s="86"/>
      <c r="I91" s="86"/>
      <c r="J91" s="86"/>
      <c r="K91" s="86"/>
      <c r="L91" s="86"/>
      <c r="M91" s="86">
        <v>0</v>
      </c>
      <c r="N91" s="86">
        <v>0</v>
      </c>
      <c r="O91" s="86">
        <v>0</v>
      </c>
      <c r="P91" s="87">
        <v>0</v>
      </c>
      <c r="Q91" s="88">
        <f t="shared" si="13"/>
        <v>0</v>
      </c>
      <c r="R91" s="86">
        <v>0</v>
      </c>
      <c r="S91" s="86">
        <v>0</v>
      </c>
      <c r="T91" s="86">
        <v>0</v>
      </c>
      <c r="U91" s="86">
        <v>0</v>
      </c>
      <c r="V91" s="86">
        <v>0</v>
      </c>
      <c r="W91" s="86">
        <v>0</v>
      </c>
      <c r="X91" s="86">
        <v>0</v>
      </c>
      <c r="Y91" s="86"/>
      <c r="Z91" s="86"/>
      <c r="AA91" s="86"/>
      <c r="AB91" s="39"/>
      <c r="AC91" s="39"/>
      <c r="AD91" s="24">
        <v>0</v>
      </c>
      <c r="AE91" s="24">
        <v>0</v>
      </c>
      <c r="AF91" s="24">
        <v>0</v>
      </c>
      <c r="AG91" s="108">
        <v>0</v>
      </c>
    </row>
    <row r="92" spans="1:33" s="19" customFormat="1" ht="20.100000000000001" customHeight="1">
      <c r="A92" s="83">
        <v>270001</v>
      </c>
      <c r="B92" s="84" t="s">
        <v>161</v>
      </c>
      <c r="C92" s="85">
        <v>5.4</v>
      </c>
      <c r="D92" s="85">
        <v>139</v>
      </c>
      <c r="E92" s="86">
        <f t="shared" si="12"/>
        <v>6</v>
      </c>
      <c r="F92" s="86"/>
      <c r="G92" s="86"/>
      <c r="H92" s="86"/>
      <c r="I92" s="86"/>
      <c r="J92" s="86"/>
      <c r="K92" s="86"/>
      <c r="L92" s="86"/>
      <c r="M92" s="86">
        <v>0.1</v>
      </c>
      <c r="N92" s="86">
        <v>5.9</v>
      </c>
      <c r="O92" s="86">
        <v>0</v>
      </c>
      <c r="P92" s="87">
        <v>0</v>
      </c>
      <c r="Q92" s="88">
        <f t="shared" si="13"/>
        <v>0</v>
      </c>
      <c r="R92" s="86">
        <v>0</v>
      </c>
      <c r="S92" s="86">
        <v>0</v>
      </c>
      <c r="T92" s="86">
        <v>0</v>
      </c>
      <c r="U92" s="86">
        <v>0</v>
      </c>
      <c r="V92" s="86">
        <v>0</v>
      </c>
      <c r="W92" s="86">
        <v>0</v>
      </c>
      <c r="X92" s="86">
        <v>0</v>
      </c>
      <c r="Y92" s="86"/>
      <c r="Z92" s="86"/>
      <c r="AA92" s="86"/>
      <c r="AB92" s="39"/>
      <c r="AC92" s="39"/>
      <c r="AD92" s="24">
        <v>0</v>
      </c>
      <c r="AE92" s="24">
        <v>0</v>
      </c>
      <c r="AF92" s="24">
        <v>0</v>
      </c>
      <c r="AG92" s="108">
        <v>0</v>
      </c>
    </row>
    <row r="93" spans="1:33" s="19" customFormat="1" ht="20.100000000000001" customHeight="1">
      <c r="A93" s="83">
        <v>270002</v>
      </c>
      <c r="B93" s="84" t="s">
        <v>162</v>
      </c>
      <c r="C93" s="85">
        <v>5.4</v>
      </c>
      <c r="D93" s="85">
        <v>142</v>
      </c>
      <c r="E93" s="86">
        <f t="shared" si="12"/>
        <v>6.2</v>
      </c>
      <c r="F93" s="86"/>
      <c r="G93" s="86"/>
      <c r="H93" s="86"/>
      <c r="I93" s="86"/>
      <c r="J93" s="86"/>
      <c r="K93" s="86"/>
      <c r="L93" s="86"/>
      <c r="M93" s="86">
        <v>1.2</v>
      </c>
      <c r="N93" s="86">
        <v>5</v>
      </c>
      <c r="O93" s="86">
        <v>0</v>
      </c>
      <c r="P93" s="87">
        <v>0</v>
      </c>
      <c r="Q93" s="88">
        <f t="shared" si="13"/>
        <v>0</v>
      </c>
      <c r="R93" s="86">
        <v>0</v>
      </c>
      <c r="S93" s="86">
        <v>0</v>
      </c>
      <c r="T93" s="86">
        <v>0</v>
      </c>
      <c r="U93" s="86">
        <v>0</v>
      </c>
      <c r="V93" s="86">
        <v>0</v>
      </c>
      <c r="W93" s="86">
        <v>0</v>
      </c>
      <c r="X93" s="86">
        <v>0</v>
      </c>
      <c r="Y93" s="86"/>
      <c r="Z93" s="86"/>
      <c r="AA93" s="86"/>
      <c r="AB93" s="39"/>
      <c r="AC93" s="39"/>
      <c r="AD93" s="24">
        <v>0</v>
      </c>
      <c r="AE93" s="24">
        <v>0</v>
      </c>
      <c r="AF93" s="24">
        <v>0</v>
      </c>
      <c r="AG93" s="108">
        <v>0</v>
      </c>
    </row>
    <row r="94" spans="1:33" s="19" customFormat="1" ht="20.100000000000001" customHeight="1">
      <c r="A94" s="83">
        <v>270064</v>
      </c>
      <c r="B94" s="84" t="s">
        <v>163</v>
      </c>
      <c r="C94" s="85">
        <v>5.5</v>
      </c>
      <c r="D94" s="85">
        <v>150</v>
      </c>
      <c r="E94" s="86">
        <f t="shared" si="12"/>
        <v>0</v>
      </c>
      <c r="F94" s="86"/>
      <c r="G94" s="86"/>
      <c r="H94" s="86"/>
      <c r="I94" s="86"/>
      <c r="J94" s="86"/>
      <c r="K94" s="86"/>
      <c r="L94" s="86"/>
      <c r="M94" s="86">
        <v>0</v>
      </c>
      <c r="N94" s="86">
        <v>0</v>
      </c>
      <c r="O94" s="86">
        <v>0</v>
      </c>
      <c r="P94" s="87">
        <v>0</v>
      </c>
      <c r="Q94" s="88">
        <f t="shared" si="13"/>
        <v>0</v>
      </c>
      <c r="R94" s="86">
        <v>0</v>
      </c>
      <c r="S94" s="86">
        <v>0</v>
      </c>
      <c r="T94" s="86">
        <v>0</v>
      </c>
      <c r="U94" s="86">
        <v>0</v>
      </c>
      <c r="V94" s="86">
        <v>0</v>
      </c>
      <c r="W94" s="86">
        <v>0</v>
      </c>
      <c r="X94" s="86">
        <v>0</v>
      </c>
      <c r="Y94" s="86"/>
      <c r="Z94" s="86"/>
      <c r="AA94" s="86"/>
      <c r="AB94" s="39"/>
      <c r="AC94" s="39"/>
      <c r="AD94" s="24">
        <v>0</v>
      </c>
      <c r="AE94" s="24">
        <v>0</v>
      </c>
      <c r="AF94" s="24">
        <v>0</v>
      </c>
      <c r="AG94" s="108">
        <v>0</v>
      </c>
    </row>
    <row r="95" spans="1:33" s="19" customFormat="1" ht="20.100000000000001" customHeight="1">
      <c r="A95" s="83">
        <v>270517</v>
      </c>
      <c r="B95" s="84" t="s">
        <v>164</v>
      </c>
      <c r="C95" s="85">
        <v>5.5</v>
      </c>
      <c r="D95" s="85">
        <v>155.69999999999999</v>
      </c>
      <c r="E95" s="86">
        <f t="shared" si="12"/>
        <v>0</v>
      </c>
      <c r="F95" s="86"/>
      <c r="G95" s="86"/>
      <c r="H95" s="86"/>
      <c r="I95" s="86"/>
      <c r="J95" s="86"/>
      <c r="K95" s="86"/>
      <c r="L95" s="86"/>
      <c r="M95" s="86">
        <v>0</v>
      </c>
      <c r="N95" s="86">
        <v>0</v>
      </c>
      <c r="O95" s="86">
        <v>0</v>
      </c>
      <c r="P95" s="87">
        <v>0</v>
      </c>
      <c r="Q95" s="88">
        <f t="shared" si="13"/>
        <v>0</v>
      </c>
      <c r="R95" s="86">
        <v>0</v>
      </c>
      <c r="S95" s="86">
        <v>0</v>
      </c>
      <c r="T95" s="86">
        <v>0</v>
      </c>
      <c r="U95" s="86">
        <v>0</v>
      </c>
      <c r="V95" s="86">
        <v>0</v>
      </c>
      <c r="W95" s="86">
        <v>0</v>
      </c>
      <c r="X95" s="86">
        <v>0</v>
      </c>
      <c r="Y95" s="86"/>
      <c r="Z95" s="86"/>
      <c r="AA95" s="86"/>
      <c r="AB95" s="39"/>
      <c r="AC95" s="39"/>
      <c r="AD95" s="24">
        <v>0</v>
      </c>
      <c r="AE95" s="24">
        <v>0</v>
      </c>
      <c r="AF95" s="24">
        <v>0</v>
      </c>
      <c r="AG95" s="108">
        <v>0</v>
      </c>
    </row>
    <row r="96" spans="1:33" s="19" customFormat="1" ht="20.100000000000001" customHeight="1">
      <c r="A96" s="83">
        <v>270000</v>
      </c>
      <c r="B96" s="84" t="s">
        <v>165</v>
      </c>
      <c r="C96" s="85">
        <v>5.5</v>
      </c>
      <c r="D96" s="85">
        <v>135</v>
      </c>
      <c r="E96" s="86">
        <f t="shared" si="12"/>
        <v>0</v>
      </c>
      <c r="F96" s="86"/>
      <c r="G96" s="86"/>
      <c r="H96" s="86"/>
      <c r="I96" s="86"/>
      <c r="J96" s="86"/>
      <c r="K96" s="86"/>
      <c r="L96" s="86"/>
      <c r="M96" s="86">
        <v>0</v>
      </c>
      <c r="N96" s="86">
        <v>0</v>
      </c>
      <c r="O96" s="86">
        <v>0</v>
      </c>
      <c r="P96" s="87">
        <v>0</v>
      </c>
      <c r="Q96" s="88">
        <f t="shared" si="13"/>
        <v>0</v>
      </c>
      <c r="R96" s="86">
        <v>0</v>
      </c>
      <c r="S96" s="86">
        <v>0</v>
      </c>
      <c r="T96" s="86">
        <v>0</v>
      </c>
      <c r="U96" s="86">
        <v>0</v>
      </c>
      <c r="V96" s="86">
        <v>0</v>
      </c>
      <c r="W96" s="86">
        <v>0</v>
      </c>
      <c r="X96" s="86">
        <v>0</v>
      </c>
      <c r="Y96" s="86"/>
      <c r="Z96" s="86"/>
      <c r="AA96" s="86"/>
      <c r="AB96" s="39"/>
      <c r="AC96" s="39"/>
      <c r="AD96" s="24">
        <v>0</v>
      </c>
      <c r="AE96" s="24">
        <v>0</v>
      </c>
      <c r="AF96" s="24">
        <v>0</v>
      </c>
      <c r="AG96" s="108">
        <v>0</v>
      </c>
    </row>
    <row r="97" spans="1:33" s="19" customFormat="1" ht="20.100000000000001" customHeight="1">
      <c r="A97" s="83">
        <v>270138</v>
      </c>
      <c r="B97" s="84" t="s">
        <v>166</v>
      </c>
      <c r="C97" s="85">
        <v>6</v>
      </c>
      <c r="D97" s="85">
        <v>156</v>
      </c>
      <c r="E97" s="86">
        <f t="shared" si="12"/>
        <v>0.8</v>
      </c>
      <c r="F97" s="86"/>
      <c r="G97" s="86"/>
      <c r="H97" s="86"/>
      <c r="I97" s="86"/>
      <c r="J97" s="86"/>
      <c r="K97" s="86"/>
      <c r="L97" s="86"/>
      <c r="M97" s="86">
        <v>0</v>
      </c>
      <c r="N97" s="86">
        <v>0.8</v>
      </c>
      <c r="O97" s="86">
        <v>0</v>
      </c>
      <c r="P97" s="87">
        <v>0</v>
      </c>
      <c r="Q97" s="88">
        <f t="shared" si="13"/>
        <v>0</v>
      </c>
      <c r="R97" s="86">
        <v>0</v>
      </c>
      <c r="S97" s="86">
        <v>0</v>
      </c>
      <c r="T97" s="86">
        <v>0</v>
      </c>
      <c r="U97" s="86">
        <v>0</v>
      </c>
      <c r="V97" s="86">
        <v>0</v>
      </c>
      <c r="W97" s="86">
        <v>0</v>
      </c>
      <c r="X97" s="86">
        <v>0</v>
      </c>
      <c r="Y97" s="86"/>
      <c r="Z97" s="86"/>
      <c r="AA97" s="86"/>
      <c r="AB97" s="39"/>
      <c r="AC97" s="39"/>
      <c r="AD97" s="24">
        <v>0</v>
      </c>
      <c r="AE97" s="24">
        <v>0</v>
      </c>
      <c r="AF97" s="24">
        <v>0</v>
      </c>
      <c r="AG97" s="108">
        <v>0</v>
      </c>
    </row>
    <row r="98" spans="1:33" s="19" customFormat="1" ht="20.100000000000001" customHeight="1">
      <c r="A98" s="83">
        <v>270508</v>
      </c>
      <c r="B98" s="84" t="s">
        <v>167</v>
      </c>
      <c r="C98" s="85">
        <v>6</v>
      </c>
      <c r="D98" s="85">
        <v>154.9</v>
      </c>
      <c r="E98" s="86">
        <f t="shared" si="12"/>
        <v>0.1</v>
      </c>
      <c r="F98" s="86"/>
      <c r="G98" s="86"/>
      <c r="H98" s="86"/>
      <c r="I98" s="86"/>
      <c r="J98" s="86"/>
      <c r="K98" s="86"/>
      <c r="L98" s="86"/>
      <c r="M98" s="86">
        <v>0</v>
      </c>
      <c r="N98" s="86">
        <v>0.1</v>
      </c>
      <c r="O98" s="86">
        <v>0</v>
      </c>
      <c r="P98" s="87">
        <v>0</v>
      </c>
      <c r="Q98" s="88">
        <f t="shared" si="13"/>
        <v>0</v>
      </c>
      <c r="R98" s="86">
        <v>0</v>
      </c>
      <c r="S98" s="86">
        <v>0</v>
      </c>
      <c r="T98" s="86">
        <v>0</v>
      </c>
      <c r="U98" s="86">
        <v>0</v>
      </c>
      <c r="V98" s="86">
        <v>0</v>
      </c>
      <c r="W98" s="86">
        <v>0</v>
      </c>
      <c r="X98" s="86">
        <v>0</v>
      </c>
      <c r="Y98" s="86"/>
      <c r="Z98" s="86"/>
      <c r="AA98" s="86"/>
      <c r="AB98" s="39"/>
      <c r="AC98" s="39"/>
      <c r="AD98" s="24">
        <v>0</v>
      </c>
      <c r="AE98" s="24">
        <v>0</v>
      </c>
      <c r="AF98" s="24">
        <v>0</v>
      </c>
      <c r="AG98" s="108">
        <v>0</v>
      </c>
    </row>
    <row r="99" spans="1:33" s="19" customFormat="1" ht="20.100000000000001" customHeight="1">
      <c r="A99" s="83">
        <v>270148</v>
      </c>
      <c r="B99" s="84" t="s">
        <v>168</v>
      </c>
      <c r="C99" s="85">
        <v>5.5</v>
      </c>
      <c r="D99" s="85">
        <v>160</v>
      </c>
      <c r="E99" s="86">
        <f t="shared" si="12"/>
        <v>0</v>
      </c>
      <c r="F99" s="86"/>
      <c r="G99" s="86"/>
      <c r="H99" s="86"/>
      <c r="I99" s="86"/>
      <c r="J99" s="86"/>
      <c r="K99" s="86"/>
      <c r="L99" s="86"/>
      <c r="M99" s="86">
        <v>0</v>
      </c>
      <c r="N99" s="86">
        <v>0</v>
      </c>
      <c r="O99" s="86">
        <v>0</v>
      </c>
      <c r="P99" s="87">
        <v>0</v>
      </c>
      <c r="Q99" s="88">
        <f t="shared" si="13"/>
        <v>0</v>
      </c>
      <c r="R99" s="86">
        <v>0</v>
      </c>
      <c r="S99" s="86">
        <v>0</v>
      </c>
      <c r="T99" s="86">
        <v>0</v>
      </c>
      <c r="U99" s="86">
        <v>0</v>
      </c>
      <c r="V99" s="86">
        <v>0</v>
      </c>
      <c r="W99" s="86">
        <v>0</v>
      </c>
      <c r="X99" s="86">
        <v>0</v>
      </c>
      <c r="Y99" s="86"/>
      <c r="Z99" s="86"/>
      <c r="AA99" s="86"/>
      <c r="AB99" s="39"/>
      <c r="AC99" s="39"/>
      <c r="AD99" s="24">
        <v>0</v>
      </c>
      <c r="AE99" s="24">
        <v>0</v>
      </c>
      <c r="AF99" s="24">
        <v>0</v>
      </c>
      <c r="AG99" s="108">
        <v>0</v>
      </c>
    </row>
    <row r="100" spans="1:33" s="19" customFormat="1" ht="20.100000000000001" customHeight="1">
      <c r="A100" s="83">
        <v>270043</v>
      </c>
      <c r="B100" s="84" t="s">
        <v>169</v>
      </c>
      <c r="C100" s="85">
        <v>5.5</v>
      </c>
      <c r="D100" s="85">
        <v>172.5</v>
      </c>
      <c r="E100" s="86">
        <f t="shared" si="12"/>
        <v>0</v>
      </c>
      <c r="F100" s="86"/>
      <c r="G100" s="86"/>
      <c r="H100" s="86"/>
      <c r="I100" s="86"/>
      <c r="J100" s="86"/>
      <c r="K100" s="86"/>
      <c r="L100" s="86"/>
      <c r="M100" s="86">
        <v>0</v>
      </c>
      <c r="N100" s="86">
        <v>0</v>
      </c>
      <c r="O100" s="86">
        <v>0</v>
      </c>
      <c r="P100" s="87">
        <v>0</v>
      </c>
      <c r="Q100" s="88">
        <f t="shared" si="13"/>
        <v>0</v>
      </c>
      <c r="R100" s="86">
        <v>0</v>
      </c>
      <c r="S100" s="86">
        <v>0</v>
      </c>
      <c r="T100" s="86">
        <v>0</v>
      </c>
      <c r="U100" s="86">
        <v>0</v>
      </c>
      <c r="V100" s="86">
        <v>0</v>
      </c>
      <c r="W100" s="86">
        <v>0</v>
      </c>
      <c r="X100" s="86">
        <v>0</v>
      </c>
      <c r="Y100" s="86"/>
      <c r="Z100" s="86"/>
      <c r="AA100" s="86"/>
      <c r="AB100" s="39"/>
      <c r="AC100" s="39"/>
      <c r="AD100" s="24">
        <v>0</v>
      </c>
      <c r="AE100" s="24">
        <v>0</v>
      </c>
      <c r="AF100" s="24">
        <v>0</v>
      </c>
      <c r="AG100" s="108">
        <v>0</v>
      </c>
    </row>
    <row r="101" spans="1:33" s="19" customFormat="1" ht="20.100000000000001" customHeight="1">
      <c r="A101" s="83"/>
      <c r="B101" s="84"/>
      <c r="C101" s="85"/>
      <c r="D101" s="85"/>
      <c r="E101" s="86">
        <f t="shared" si="12"/>
        <v>0</v>
      </c>
      <c r="F101" s="86"/>
      <c r="G101" s="86"/>
      <c r="H101" s="86"/>
      <c r="I101" s="86"/>
      <c r="J101" s="86"/>
      <c r="K101" s="86"/>
      <c r="L101" s="86"/>
      <c r="M101" s="86">
        <v>0</v>
      </c>
      <c r="N101" s="86">
        <v>0</v>
      </c>
      <c r="O101" s="86">
        <v>0</v>
      </c>
      <c r="P101" s="87">
        <v>0</v>
      </c>
      <c r="Q101" s="88">
        <f t="shared" si="13"/>
        <v>0</v>
      </c>
      <c r="R101" s="86">
        <v>0</v>
      </c>
      <c r="S101" s="86">
        <v>0</v>
      </c>
      <c r="T101" s="86">
        <v>0</v>
      </c>
      <c r="U101" s="86">
        <v>0</v>
      </c>
      <c r="V101" s="86">
        <v>0</v>
      </c>
      <c r="W101" s="86">
        <v>0</v>
      </c>
      <c r="X101" s="86">
        <v>0</v>
      </c>
      <c r="Y101" s="86"/>
      <c r="Z101" s="86"/>
      <c r="AA101" s="86"/>
      <c r="AB101" s="39"/>
      <c r="AC101" s="39"/>
      <c r="AD101" s="24">
        <v>0</v>
      </c>
      <c r="AE101" s="24">
        <v>0</v>
      </c>
      <c r="AF101" s="24">
        <v>0</v>
      </c>
      <c r="AG101" s="108">
        <v>0</v>
      </c>
    </row>
    <row r="102" spans="1:33" s="19" customFormat="1" ht="20.100000000000001" customHeight="1">
      <c r="A102" s="83"/>
      <c r="B102" s="84"/>
      <c r="C102" s="85"/>
      <c r="D102" s="85"/>
      <c r="E102" s="86">
        <f t="shared" si="12"/>
        <v>0</v>
      </c>
      <c r="F102" s="86"/>
      <c r="G102" s="86"/>
      <c r="H102" s="86"/>
      <c r="I102" s="86"/>
      <c r="J102" s="86"/>
      <c r="K102" s="86"/>
      <c r="L102" s="86"/>
      <c r="M102" s="86">
        <v>0</v>
      </c>
      <c r="N102" s="86">
        <v>0</v>
      </c>
      <c r="O102" s="86">
        <v>0</v>
      </c>
      <c r="P102" s="87">
        <v>0</v>
      </c>
      <c r="Q102" s="88">
        <f t="shared" si="13"/>
        <v>0</v>
      </c>
      <c r="R102" s="86">
        <v>0</v>
      </c>
      <c r="S102" s="86">
        <v>0</v>
      </c>
      <c r="T102" s="86">
        <v>0</v>
      </c>
      <c r="U102" s="86">
        <v>0</v>
      </c>
      <c r="V102" s="86">
        <v>0</v>
      </c>
      <c r="W102" s="86">
        <v>0</v>
      </c>
      <c r="X102" s="86">
        <v>0</v>
      </c>
      <c r="Y102" s="86"/>
      <c r="Z102" s="86"/>
      <c r="AA102" s="86"/>
      <c r="AB102" s="39"/>
      <c r="AC102" s="39"/>
      <c r="AD102" s="24">
        <v>0</v>
      </c>
      <c r="AE102" s="24">
        <v>0</v>
      </c>
      <c r="AF102" s="24">
        <v>0</v>
      </c>
      <c r="AG102" s="108">
        <v>0</v>
      </c>
    </row>
    <row r="103" spans="1:33" s="19" customFormat="1" ht="20.100000000000001" customHeight="1">
      <c r="A103" s="83"/>
      <c r="B103" s="84"/>
      <c r="C103" s="85"/>
      <c r="D103" s="85"/>
      <c r="E103" s="86">
        <f t="shared" si="12"/>
        <v>0</v>
      </c>
      <c r="F103" s="86"/>
      <c r="G103" s="86"/>
      <c r="H103" s="86"/>
      <c r="I103" s="86"/>
      <c r="J103" s="86"/>
      <c r="K103" s="86"/>
      <c r="L103" s="86"/>
      <c r="M103" s="86">
        <v>0</v>
      </c>
      <c r="N103" s="86">
        <v>0</v>
      </c>
      <c r="O103" s="86">
        <v>0</v>
      </c>
      <c r="P103" s="87">
        <v>0</v>
      </c>
      <c r="Q103" s="88">
        <f t="shared" si="13"/>
        <v>0</v>
      </c>
      <c r="R103" s="86">
        <v>0</v>
      </c>
      <c r="S103" s="86">
        <v>0</v>
      </c>
      <c r="T103" s="86">
        <v>0</v>
      </c>
      <c r="U103" s="86">
        <v>0</v>
      </c>
      <c r="V103" s="86">
        <v>0</v>
      </c>
      <c r="W103" s="86">
        <v>0</v>
      </c>
      <c r="X103" s="86">
        <v>0</v>
      </c>
      <c r="Y103" s="86"/>
      <c r="Z103" s="86"/>
      <c r="AA103" s="86"/>
      <c r="AB103" s="39"/>
      <c r="AC103" s="39"/>
      <c r="AD103" s="24">
        <v>0</v>
      </c>
      <c r="AE103" s="24">
        <v>0</v>
      </c>
      <c r="AF103" s="24">
        <v>0</v>
      </c>
      <c r="AG103" s="108">
        <v>0</v>
      </c>
    </row>
    <row r="104" spans="1:33" s="19" customFormat="1" ht="20.100000000000001" customHeight="1">
      <c r="A104" s="83"/>
      <c r="B104" s="84"/>
      <c r="C104" s="85"/>
      <c r="D104" s="85"/>
      <c r="E104" s="86">
        <f t="shared" si="12"/>
        <v>0</v>
      </c>
      <c r="F104" s="86"/>
      <c r="G104" s="86"/>
      <c r="H104" s="86"/>
      <c r="I104" s="86"/>
      <c r="J104" s="86"/>
      <c r="K104" s="86"/>
      <c r="L104" s="86"/>
      <c r="M104" s="86">
        <v>0</v>
      </c>
      <c r="N104" s="86">
        <v>0</v>
      </c>
      <c r="O104" s="86">
        <v>0</v>
      </c>
      <c r="P104" s="87">
        <v>0</v>
      </c>
      <c r="Q104" s="88">
        <f t="shared" si="13"/>
        <v>0</v>
      </c>
      <c r="R104" s="86">
        <v>0</v>
      </c>
      <c r="S104" s="86">
        <v>0</v>
      </c>
      <c r="T104" s="86">
        <v>0</v>
      </c>
      <c r="U104" s="86">
        <v>0</v>
      </c>
      <c r="V104" s="86">
        <v>0</v>
      </c>
      <c r="W104" s="86">
        <v>0</v>
      </c>
      <c r="X104" s="86">
        <v>0</v>
      </c>
      <c r="Y104" s="86"/>
      <c r="Z104" s="86"/>
      <c r="AA104" s="86"/>
      <c r="AB104" s="39"/>
      <c r="AC104" s="39"/>
      <c r="AD104" s="24">
        <v>0</v>
      </c>
      <c r="AE104" s="24">
        <v>0</v>
      </c>
      <c r="AF104" s="24">
        <v>0</v>
      </c>
      <c r="AG104" s="108">
        <v>0</v>
      </c>
    </row>
    <row r="105" spans="1:33" s="19" customFormat="1" ht="20.100000000000001" customHeight="1">
      <c r="A105" s="83"/>
      <c r="B105" s="84"/>
      <c r="C105" s="85"/>
      <c r="D105" s="85"/>
      <c r="E105" s="86">
        <f t="shared" si="12"/>
        <v>0</v>
      </c>
      <c r="F105" s="86"/>
      <c r="G105" s="86"/>
      <c r="H105" s="86"/>
      <c r="I105" s="86"/>
      <c r="J105" s="86"/>
      <c r="K105" s="86"/>
      <c r="L105" s="86"/>
      <c r="M105" s="86">
        <v>0</v>
      </c>
      <c r="N105" s="86">
        <v>0</v>
      </c>
      <c r="O105" s="86">
        <v>0</v>
      </c>
      <c r="P105" s="87">
        <v>0</v>
      </c>
      <c r="Q105" s="88">
        <f t="shared" si="13"/>
        <v>0</v>
      </c>
      <c r="R105" s="86">
        <v>0</v>
      </c>
      <c r="S105" s="86">
        <v>0</v>
      </c>
      <c r="T105" s="86">
        <v>0</v>
      </c>
      <c r="U105" s="86">
        <v>0</v>
      </c>
      <c r="V105" s="86">
        <v>0</v>
      </c>
      <c r="W105" s="86">
        <v>0</v>
      </c>
      <c r="X105" s="86">
        <v>0</v>
      </c>
      <c r="Y105" s="86"/>
      <c r="Z105" s="86"/>
      <c r="AA105" s="86"/>
      <c r="AB105" s="39"/>
      <c r="AC105" s="39"/>
      <c r="AD105" s="24">
        <v>0</v>
      </c>
      <c r="AE105" s="24">
        <v>0</v>
      </c>
      <c r="AF105" s="24">
        <v>0</v>
      </c>
      <c r="AG105" s="108">
        <v>0</v>
      </c>
    </row>
    <row r="106" spans="1:33" s="19" customFormat="1" ht="20.100000000000001" customHeight="1">
      <c r="A106" s="83"/>
      <c r="B106" s="84"/>
      <c r="C106" s="85"/>
      <c r="D106" s="85"/>
      <c r="E106" s="86">
        <f t="shared" si="12"/>
        <v>0</v>
      </c>
      <c r="F106" s="86"/>
      <c r="G106" s="86"/>
      <c r="H106" s="86"/>
      <c r="I106" s="86"/>
      <c r="J106" s="86"/>
      <c r="K106" s="86"/>
      <c r="L106" s="86"/>
      <c r="M106" s="86">
        <v>0</v>
      </c>
      <c r="N106" s="86">
        <v>0</v>
      </c>
      <c r="O106" s="86">
        <v>0</v>
      </c>
      <c r="P106" s="87">
        <v>0</v>
      </c>
      <c r="Q106" s="88">
        <f t="shared" si="13"/>
        <v>0</v>
      </c>
      <c r="R106" s="86">
        <v>0</v>
      </c>
      <c r="S106" s="86">
        <v>0</v>
      </c>
      <c r="T106" s="86">
        <v>0</v>
      </c>
      <c r="U106" s="86">
        <v>0</v>
      </c>
      <c r="V106" s="86">
        <v>0</v>
      </c>
      <c r="W106" s="86">
        <v>0</v>
      </c>
      <c r="X106" s="86">
        <v>0</v>
      </c>
      <c r="Y106" s="86"/>
      <c r="Z106" s="86"/>
      <c r="AA106" s="86"/>
      <c r="AB106" s="39"/>
      <c r="AC106" s="39"/>
      <c r="AD106" s="24">
        <v>0</v>
      </c>
      <c r="AE106" s="24">
        <v>0</v>
      </c>
      <c r="AF106" s="24">
        <v>0</v>
      </c>
      <c r="AG106" s="108">
        <v>0</v>
      </c>
    </row>
    <row r="107" spans="1:33" s="19" customFormat="1" ht="20.100000000000001" customHeight="1">
      <c r="A107" s="83"/>
      <c r="B107" s="84"/>
      <c r="C107" s="85"/>
      <c r="D107" s="85"/>
      <c r="E107" s="86">
        <f t="shared" si="12"/>
        <v>0</v>
      </c>
      <c r="F107" s="86"/>
      <c r="G107" s="86"/>
      <c r="H107" s="86"/>
      <c r="I107" s="86"/>
      <c r="J107" s="86"/>
      <c r="K107" s="86"/>
      <c r="L107" s="86"/>
      <c r="M107" s="86">
        <v>0</v>
      </c>
      <c r="N107" s="86">
        <v>0</v>
      </c>
      <c r="O107" s="86">
        <v>0</v>
      </c>
      <c r="P107" s="87">
        <v>0</v>
      </c>
      <c r="Q107" s="88">
        <f t="shared" si="13"/>
        <v>0</v>
      </c>
      <c r="R107" s="86">
        <v>0</v>
      </c>
      <c r="S107" s="86">
        <v>0</v>
      </c>
      <c r="T107" s="86">
        <v>0</v>
      </c>
      <c r="U107" s="86">
        <v>0</v>
      </c>
      <c r="V107" s="86">
        <v>0</v>
      </c>
      <c r="W107" s="86">
        <v>0</v>
      </c>
      <c r="X107" s="86">
        <v>0</v>
      </c>
      <c r="Y107" s="86"/>
      <c r="Z107" s="86"/>
      <c r="AA107" s="86"/>
      <c r="AB107" s="39"/>
      <c r="AC107" s="39"/>
      <c r="AD107" s="24">
        <v>0</v>
      </c>
      <c r="AE107" s="24">
        <v>0</v>
      </c>
      <c r="AF107" s="24">
        <v>0</v>
      </c>
      <c r="AG107" s="108">
        <v>0</v>
      </c>
    </row>
    <row r="108" spans="1:33" s="19" customFormat="1" ht="20.100000000000001" customHeight="1">
      <c r="A108" s="83"/>
      <c r="B108" s="84"/>
      <c r="C108" s="85"/>
      <c r="D108" s="85"/>
      <c r="E108" s="86">
        <f t="shared" si="12"/>
        <v>0</v>
      </c>
      <c r="F108" s="86"/>
      <c r="G108" s="86"/>
      <c r="H108" s="86"/>
      <c r="I108" s="86"/>
      <c r="J108" s="86"/>
      <c r="K108" s="86"/>
      <c r="L108" s="86"/>
      <c r="M108" s="86">
        <v>0</v>
      </c>
      <c r="N108" s="86">
        <v>0</v>
      </c>
      <c r="O108" s="86">
        <v>0</v>
      </c>
      <c r="P108" s="87">
        <v>0</v>
      </c>
      <c r="Q108" s="88">
        <f t="shared" si="13"/>
        <v>0</v>
      </c>
      <c r="R108" s="86">
        <v>0</v>
      </c>
      <c r="S108" s="86">
        <v>0</v>
      </c>
      <c r="T108" s="86">
        <v>0</v>
      </c>
      <c r="U108" s="86">
        <v>0</v>
      </c>
      <c r="V108" s="86">
        <v>0</v>
      </c>
      <c r="W108" s="86">
        <v>0</v>
      </c>
      <c r="X108" s="86">
        <v>0</v>
      </c>
      <c r="Y108" s="86"/>
      <c r="Z108" s="86"/>
      <c r="AA108" s="86"/>
      <c r="AB108" s="39"/>
      <c r="AC108" s="39"/>
      <c r="AD108" s="24">
        <v>0</v>
      </c>
      <c r="AE108" s="24">
        <v>0</v>
      </c>
      <c r="AF108" s="24">
        <v>0</v>
      </c>
      <c r="AG108" s="108">
        <v>0</v>
      </c>
    </row>
    <row r="109" spans="1:33" s="19" customFormat="1" ht="20.100000000000001" customHeight="1">
      <c r="A109" s="83"/>
      <c r="B109" s="84"/>
      <c r="C109" s="85"/>
      <c r="D109" s="85"/>
      <c r="E109" s="86">
        <f t="shared" si="12"/>
        <v>0</v>
      </c>
      <c r="F109" s="86"/>
      <c r="G109" s="86"/>
      <c r="H109" s="86"/>
      <c r="I109" s="86"/>
      <c r="J109" s="86"/>
      <c r="K109" s="86"/>
      <c r="L109" s="86"/>
      <c r="M109" s="86">
        <v>0</v>
      </c>
      <c r="N109" s="86">
        <v>0</v>
      </c>
      <c r="O109" s="86">
        <v>0</v>
      </c>
      <c r="P109" s="87">
        <v>0</v>
      </c>
      <c r="Q109" s="88">
        <f t="shared" si="13"/>
        <v>0</v>
      </c>
      <c r="R109" s="86">
        <v>0</v>
      </c>
      <c r="S109" s="86">
        <v>0</v>
      </c>
      <c r="T109" s="86">
        <v>0</v>
      </c>
      <c r="U109" s="86">
        <v>0</v>
      </c>
      <c r="V109" s="86">
        <v>0</v>
      </c>
      <c r="W109" s="86">
        <v>0</v>
      </c>
      <c r="X109" s="86">
        <v>0</v>
      </c>
      <c r="Y109" s="86"/>
      <c r="Z109" s="86"/>
      <c r="AA109" s="86"/>
      <c r="AB109" s="39"/>
      <c r="AC109" s="39"/>
      <c r="AD109" s="24">
        <v>0</v>
      </c>
      <c r="AE109" s="24">
        <v>0</v>
      </c>
      <c r="AF109" s="24">
        <v>0</v>
      </c>
      <c r="AG109" s="108">
        <v>0</v>
      </c>
    </row>
    <row r="110" spans="1:33" s="19" customFormat="1" ht="20.100000000000001" customHeight="1">
      <c r="A110" s="83"/>
      <c r="B110" s="84"/>
      <c r="C110" s="85"/>
      <c r="D110" s="85"/>
      <c r="E110" s="86">
        <f t="shared" si="12"/>
        <v>0</v>
      </c>
      <c r="F110" s="86"/>
      <c r="G110" s="86"/>
      <c r="H110" s="86"/>
      <c r="I110" s="86"/>
      <c r="J110" s="86"/>
      <c r="K110" s="86"/>
      <c r="L110" s="86"/>
      <c r="M110" s="86">
        <v>0</v>
      </c>
      <c r="N110" s="86">
        <v>0</v>
      </c>
      <c r="O110" s="86">
        <v>0</v>
      </c>
      <c r="P110" s="87">
        <v>0</v>
      </c>
      <c r="Q110" s="88">
        <f t="shared" si="13"/>
        <v>0</v>
      </c>
      <c r="R110" s="86">
        <v>0</v>
      </c>
      <c r="S110" s="86">
        <v>0</v>
      </c>
      <c r="T110" s="86">
        <v>0</v>
      </c>
      <c r="U110" s="86">
        <v>0</v>
      </c>
      <c r="V110" s="86">
        <v>0</v>
      </c>
      <c r="W110" s="86">
        <v>0</v>
      </c>
      <c r="X110" s="86">
        <v>0</v>
      </c>
      <c r="Y110" s="86"/>
      <c r="Z110" s="86"/>
      <c r="AA110" s="86"/>
      <c r="AB110" s="39"/>
      <c r="AC110" s="39"/>
      <c r="AD110" s="24">
        <v>0</v>
      </c>
      <c r="AE110" s="24">
        <v>0</v>
      </c>
      <c r="AF110" s="24">
        <v>0</v>
      </c>
      <c r="AG110" s="108">
        <v>0</v>
      </c>
    </row>
    <row r="111" spans="1:33" s="19" customFormat="1" ht="20.100000000000001" customHeight="1">
      <c r="A111" s="83"/>
      <c r="B111" s="84"/>
      <c r="C111" s="85"/>
      <c r="D111" s="85"/>
      <c r="E111" s="86">
        <f t="shared" si="12"/>
        <v>0</v>
      </c>
      <c r="F111" s="86"/>
      <c r="G111" s="86"/>
      <c r="H111" s="86"/>
      <c r="I111" s="86"/>
      <c r="J111" s="86"/>
      <c r="K111" s="86"/>
      <c r="L111" s="86"/>
      <c r="M111" s="86">
        <v>0</v>
      </c>
      <c r="N111" s="86">
        <v>0</v>
      </c>
      <c r="O111" s="86">
        <v>0</v>
      </c>
      <c r="P111" s="87">
        <v>0</v>
      </c>
      <c r="Q111" s="88">
        <f t="shared" si="13"/>
        <v>0</v>
      </c>
      <c r="R111" s="86">
        <v>0</v>
      </c>
      <c r="S111" s="86">
        <v>0</v>
      </c>
      <c r="T111" s="86">
        <v>0</v>
      </c>
      <c r="U111" s="86">
        <v>0</v>
      </c>
      <c r="V111" s="86">
        <v>0</v>
      </c>
      <c r="W111" s="86">
        <v>0</v>
      </c>
      <c r="X111" s="86">
        <v>0</v>
      </c>
      <c r="Y111" s="86"/>
      <c r="Z111" s="86"/>
      <c r="AA111" s="86"/>
      <c r="AB111" s="39"/>
      <c r="AC111" s="39"/>
      <c r="AD111" s="24">
        <v>0</v>
      </c>
      <c r="AE111" s="24">
        <v>0</v>
      </c>
      <c r="AF111" s="24">
        <v>0</v>
      </c>
      <c r="AG111" s="108">
        <v>0</v>
      </c>
    </row>
    <row r="112" spans="1:33" s="19" customFormat="1" ht="20.100000000000001" customHeight="1">
      <c r="A112" s="83"/>
      <c r="B112" s="84"/>
      <c r="C112" s="85"/>
      <c r="D112" s="85"/>
      <c r="E112" s="86">
        <f t="shared" si="12"/>
        <v>0</v>
      </c>
      <c r="F112" s="86"/>
      <c r="G112" s="86"/>
      <c r="H112" s="86"/>
      <c r="I112" s="86"/>
      <c r="J112" s="86"/>
      <c r="K112" s="86"/>
      <c r="L112" s="86"/>
      <c r="M112" s="86">
        <v>0</v>
      </c>
      <c r="N112" s="86">
        <v>0</v>
      </c>
      <c r="O112" s="86">
        <v>0</v>
      </c>
      <c r="P112" s="87">
        <v>0</v>
      </c>
      <c r="Q112" s="88">
        <f t="shared" si="13"/>
        <v>0</v>
      </c>
      <c r="R112" s="86">
        <v>0</v>
      </c>
      <c r="S112" s="86">
        <v>0</v>
      </c>
      <c r="T112" s="86">
        <v>0</v>
      </c>
      <c r="U112" s="86">
        <v>0</v>
      </c>
      <c r="V112" s="86">
        <v>0</v>
      </c>
      <c r="W112" s="86">
        <v>0</v>
      </c>
      <c r="X112" s="86">
        <v>0</v>
      </c>
      <c r="Y112" s="86"/>
      <c r="Z112" s="86"/>
      <c r="AA112" s="86"/>
      <c r="AB112" s="39"/>
      <c r="AC112" s="39"/>
      <c r="AD112" s="24">
        <v>0</v>
      </c>
      <c r="AE112" s="24">
        <v>0</v>
      </c>
      <c r="AF112" s="24">
        <v>0</v>
      </c>
      <c r="AG112" s="108">
        <v>0</v>
      </c>
    </row>
    <row r="113" spans="1:33" s="19" customFormat="1" ht="20.100000000000001" customHeight="1">
      <c r="A113" s="83"/>
      <c r="B113" s="84"/>
      <c r="C113" s="85"/>
      <c r="D113" s="85"/>
      <c r="E113" s="86">
        <f t="shared" si="12"/>
        <v>0</v>
      </c>
      <c r="F113" s="86"/>
      <c r="G113" s="86"/>
      <c r="H113" s="86"/>
      <c r="I113" s="86"/>
      <c r="J113" s="86"/>
      <c r="K113" s="86"/>
      <c r="L113" s="86"/>
      <c r="M113" s="86">
        <v>0</v>
      </c>
      <c r="N113" s="86">
        <v>0</v>
      </c>
      <c r="O113" s="86">
        <v>0</v>
      </c>
      <c r="P113" s="87">
        <v>0</v>
      </c>
      <c r="Q113" s="88">
        <f t="shared" si="13"/>
        <v>0</v>
      </c>
      <c r="R113" s="86">
        <v>0</v>
      </c>
      <c r="S113" s="86">
        <v>0</v>
      </c>
      <c r="T113" s="86">
        <v>0</v>
      </c>
      <c r="U113" s="86">
        <v>0</v>
      </c>
      <c r="V113" s="86">
        <v>0</v>
      </c>
      <c r="W113" s="86">
        <v>0</v>
      </c>
      <c r="X113" s="86">
        <v>0</v>
      </c>
      <c r="Y113" s="86"/>
      <c r="Z113" s="86"/>
      <c r="AA113" s="86"/>
      <c r="AB113" s="39"/>
      <c r="AC113" s="39"/>
      <c r="AD113" s="24">
        <v>0</v>
      </c>
      <c r="AE113" s="24">
        <v>0</v>
      </c>
      <c r="AF113" s="24">
        <v>0</v>
      </c>
      <c r="AG113" s="108">
        <v>0</v>
      </c>
    </row>
    <row r="114" spans="1:33" s="19" customFormat="1" ht="20.100000000000001" customHeight="1">
      <c r="A114" s="83"/>
      <c r="B114" s="84"/>
      <c r="C114" s="85"/>
      <c r="D114" s="85"/>
      <c r="E114" s="86">
        <f t="shared" si="12"/>
        <v>0</v>
      </c>
      <c r="F114" s="86"/>
      <c r="G114" s="86"/>
      <c r="H114" s="86"/>
      <c r="I114" s="86"/>
      <c r="J114" s="86"/>
      <c r="K114" s="86"/>
      <c r="L114" s="86"/>
      <c r="M114" s="86">
        <v>0</v>
      </c>
      <c r="N114" s="86">
        <v>0</v>
      </c>
      <c r="O114" s="86">
        <v>0</v>
      </c>
      <c r="P114" s="87">
        <v>0</v>
      </c>
      <c r="Q114" s="88">
        <f t="shared" si="13"/>
        <v>0</v>
      </c>
      <c r="R114" s="86">
        <v>0</v>
      </c>
      <c r="S114" s="86">
        <v>0</v>
      </c>
      <c r="T114" s="86">
        <v>0</v>
      </c>
      <c r="U114" s="86">
        <v>0</v>
      </c>
      <c r="V114" s="86">
        <v>0</v>
      </c>
      <c r="W114" s="86">
        <v>0</v>
      </c>
      <c r="X114" s="86">
        <v>0</v>
      </c>
      <c r="Y114" s="86"/>
      <c r="Z114" s="86"/>
      <c r="AA114" s="86"/>
      <c r="AB114" s="39"/>
      <c r="AC114" s="39"/>
      <c r="AD114" s="24">
        <v>0</v>
      </c>
      <c r="AE114" s="24">
        <v>0</v>
      </c>
      <c r="AF114" s="24">
        <v>0</v>
      </c>
      <c r="AG114" s="108">
        <v>0</v>
      </c>
    </row>
    <row r="115" spans="1:33" s="19" customFormat="1" ht="20.100000000000001" customHeight="1">
      <c r="A115" s="83"/>
      <c r="B115" s="84"/>
      <c r="C115" s="85"/>
      <c r="D115" s="85"/>
      <c r="E115" s="86">
        <f t="shared" si="12"/>
        <v>0</v>
      </c>
      <c r="F115" s="86"/>
      <c r="G115" s="86"/>
      <c r="H115" s="86"/>
      <c r="I115" s="86"/>
      <c r="J115" s="86"/>
      <c r="K115" s="86"/>
      <c r="L115" s="86"/>
      <c r="M115" s="86">
        <v>0</v>
      </c>
      <c r="N115" s="86">
        <v>0</v>
      </c>
      <c r="O115" s="86">
        <v>0</v>
      </c>
      <c r="P115" s="87">
        <v>0</v>
      </c>
      <c r="Q115" s="88">
        <f t="shared" si="13"/>
        <v>0</v>
      </c>
      <c r="R115" s="86">
        <v>0</v>
      </c>
      <c r="S115" s="86">
        <v>0</v>
      </c>
      <c r="T115" s="86">
        <v>0</v>
      </c>
      <c r="U115" s="86">
        <v>0</v>
      </c>
      <c r="V115" s="86">
        <v>0</v>
      </c>
      <c r="W115" s="86">
        <v>0</v>
      </c>
      <c r="X115" s="86">
        <v>0</v>
      </c>
      <c r="Y115" s="86"/>
      <c r="Z115" s="86"/>
      <c r="AA115" s="86"/>
      <c r="AB115" s="39"/>
      <c r="AC115" s="39"/>
      <c r="AD115" s="24">
        <v>0</v>
      </c>
      <c r="AE115" s="24">
        <v>0</v>
      </c>
      <c r="AF115" s="24">
        <v>0</v>
      </c>
      <c r="AG115" s="108">
        <v>0</v>
      </c>
    </row>
    <row r="116" spans="1:33" s="19" customFormat="1" ht="20.100000000000001" customHeight="1">
      <c r="A116" s="83"/>
      <c r="B116" s="84"/>
      <c r="C116" s="85"/>
      <c r="D116" s="85"/>
      <c r="E116" s="86">
        <f t="shared" si="12"/>
        <v>0</v>
      </c>
      <c r="F116" s="86"/>
      <c r="G116" s="86"/>
      <c r="H116" s="86"/>
      <c r="I116" s="86"/>
      <c r="J116" s="86"/>
      <c r="K116" s="86"/>
      <c r="L116" s="86"/>
      <c r="M116" s="86">
        <v>0</v>
      </c>
      <c r="N116" s="86">
        <v>0</v>
      </c>
      <c r="O116" s="86">
        <v>0</v>
      </c>
      <c r="P116" s="87">
        <v>0</v>
      </c>
      <c r="Q116" s="88">
        <f t="shared" si="13"/>
        <v>0</v>
      </c>
      <c r="R116" s="86">
        <v>0</v>
      </c>
      <c r="S116" s="86">
        <v>0</v>
      </c>
      <c r="T116" s="86">
        <v>0</v>
      </c>
      <c r="U116" s="86">
        <v>0</v>
      </c>
      <c r="V116" s="86">
        <v>0</v>
      </c>
      <c r="W116" s="86">
        <v>0</v>
      </c>
      <c r="X116" s="86">
        <v>0</v>
      </c>
      <c r="Y116" s="86"/>
      <c r="Z116" s="86"/>
      <c r="AA116" s="86"/>
      <c r="AB116" s="39"/>
      <c r="AC116" s="39"/>
      <c r="AD116" s="24">
        <v>0</v>
      </c>
      <c r="AE116" s="24">
        <v>0</v>
      </c>
      <c r="AF116" s="24">
        <v>0</v>
      </c>
      <c r="AG116" s="108">
        <v>0</v>
      </c>
    </row>
    <row r="117" spans="1:33" s="19" customFormat="1" ht="20.100000000000001" customHeight="1">
      <c r="A117" s="83"/>
      <c r="B117" s="84"/>
      <c r="C117" s="85"/>
      <c r="D117" s="85"/>
      <c r="E117" s="86">
        <f t="shared" si="12"/>
        <v>0</v>
      </c>
      <c r="F117" s="86"/>
      <c r="G117" s="86"/>
      <c r="H117" s="86"/>
      <c r="I117" s="86"/>
      <c r="J117" s="86"/>
      <c r="K117" s="86"/>
      <c r="L117" s="86"/>
      <c r="M117" s="86">
        <v>0</v>
      </c>
      <c r="N117" s="86">
        <v>0</v>
      </c>
      <c r="O117" s="86">
        <v>0</v>
      </c>
      <c r="P117" s="87">
        <v>0</v>
      </c>
      <c r="Q117" s="88">
        <f t="shared" si="13"/>
        <v>0</v>
      </c>
      <c r="R117" s="86">
        <v>0</v>
      </c>
      <c r="S117" s="86">
        <v>0</v>
      </c>
      <c r="T117" s="86">
        <v>0</v>
      </c>
      <c r="U117" s="86">
        <v>0</v>
      </c>
      <c r="V117" s="86">
        <v>0</v>
      </c>
      <c r="W117" s="86">
        <v>0</v>
      </c>
      <c r="X117" s="86">
        <v>0</v>
      </c>
      <c r="Y117" s="86"/>
      <c r="Z117" s="86"/>
      <c r="AA117" s="86"/>
      <c r="AB117" s="39"/>
      <c r="AC117" s="39"/>
      <c r="AD117" s="24">
        <v>0</v>
      </c>
      <c r="AE117" s="24">
        <v>0</v>
      </c>
      <c r="AF117" s="24">
        <v>0</v>
      </c>
      <c r="AG117" s="108">
        <v>0</v>
      </c>
    </row>
    <row r="118" spans="1:33" s="19" customFormat="1" ht="20.100000000000001" customHeight="1">
      <c r="A118" s="83"/>
      <c r="B118" s="84"/>
      <c r="C118" s="85"/>
      <c r="D118" s="85"/>
      <c r="E118" s="86">
        <f t="shared" si="12"/>
        <v>0</v>
      </c>
      <c r="F118" s="86"/>
      <c r="G118" s="86"/>
      <c r="H118" s="86"/>
      <c r="I118" s="86"/>
      <c r="J118" s="86"/>
      <c r="K118" s="86"/>
      <c r="L118" s="86"/>
      <c r="M118" s="86">
        <v>0</v>
      </c>
      <c r="N118" s="86">
        <v>0</v>
      </c>
      <c r="O118" s="86">
        <v>0</v>
      </c>
      <c r="P118" s="87">
        <v>0</v>
      </c>
      <c r="Q118" s="88">
        <f t="shared" si="13"/>
        <v>0</v>
      </c>
      <c r="R118" s="86">
        <v>0</v>
      </c>
      <c r="S118" s="86">
        <v>0</v>
      </c>
      <c r="T118" s="86">
        <v>0</v>
      </c>
      <c r="U118" s="86">
        <v>0</v>
      </c>
      <c r="V118" s="86">
        <v>0</v>
      </c>
      <c r="W118" s="86">
        <v>0</v>
      </c>
      <c r="X118" s="86">
        <v>0</v>
      </c>
      <c r="Y118" s="86"/>
      <c r="Z118" s="86"/>
      <c r="AA118" s="86"/>
      <c r="AB118" s="39"/>
      <c r="AC118" s="39"/>
      <c r="AD118" s="24">
        <v>0</v>
      </c>
      <c r="AE118" s="24">
        <v>0</v>
      </c>
      <c r="AF118" s="24">
        <v>0</v>
      </c>
      <c r="AG118" s="108">
        <v>0</v>
      </c>
    </row>
    <row r="119" spans="1:33" s="19" customFormat="1" ht="20.100000000000001" customHeight="1">
      <c r="A119" s="83"/>
      <c r="B119" s="84"/>
      <c r="C119" s="85"/>
      <c r="D119" s="85"/>
      <c r="E119" s="86">
        <f t="shared" si="12"/>
        <v>0</v>
      </c>
      <c r="F119" s="86"/>
      <c r="G119" s="86"/>
      <c r="H119" s="86"/>
      <c r="I119" s="86"/>
      <c r="J119" s="86"/>
      <c r="K119" s="86"/>
      <c r="L119" s="86"/>
      <c r="M119" s="86">
        <v>0</v>
      </c>
      <c r="N119" s="86">
        <v>0</v>
      </c>
      <c r="O119" s="86">
        <v>0</v>
      </c>
      <c r="P119" s="87">
        <v>0</v>
      </c>
      <c r="Q119" s="88">
        <f t="shared" si="13"/>
        <v>0</v>
      </c>
      <c r="R119" s="86">
        <v>0</v>
      </c>
      <c r="S119" s="86">
        <v>0</v>
      </c>
      <c r="T119" s="86">
        <v>0</v>
      </c>
      <c r="U119" s="86">
        <v>0</v>
      </c>
      <c r="V119" s="86">
        <v>0</v>
      </c>
      <c r="W119" s="86">
        <v>0</v>
      </c>
      <c r="X119" s="86">
        <v>0</v>
      </c>
      <c r="Y119" s="86"/>
      <c r="Z119" s="86"/>
      <c r="AA119" s="86"/>
      <c r="AB119" s="39"/>
      <c r="AC119" s="39"/>
      <c r="AD119" s="24">
        <v>0</v>
      </c>
      <c r="AE119" s="24">
        <v>0</v>
      </c>
      <c r="AF119" s="24">
        <v>0</v>
      </c>
      <c r="AG119" s="108">
        <v>0</v>
      </c>
    </row>
    <row r="120" spans="1:33" s="19" customFormat="1" ht="20.100000000000001" customHeight="1">
      <c r="A120" s="83"/>
      <c r="B120" s="84"/>
      <c r="C120" s="85"/>
      <c r="D120" s="85"/>
      <c r="E120" s="86">
        <f t="shared" si="12"/>
        <v>0</v>
      </c>
      <c r="F120" s="86"/>
      <c r="G120" s="86"/>
      <c r="H120" s="86"/>
      <c r="I120" s="86"/>
      <c r="J120" s="86"/>
      <c r="K120" s="86"/>
      <c r="L120" s="86"/>
      <c r="M120" s="86">
        <v>0</v>
      </c>
      <c r="N120" s="86">
        <v>0</v>
      </c>
      <c r="O120" s="86">
        <v>0</v>
      </c>
      <c r="P120" s="87">
        <v>0</v>
      </c>
      <c r="Q120" s="88">
        <f t="shared" si="13"/>
        <v>0</v>
      </c>
      <c r="R120" s="86">
        <v>0</v>
      </c>
      <c r="S120" s="86">
        <v>0</v>
      </c>
      <c r="T120" s="86">
        <v>0</v>
      </c>
      <c r="U120" s="86">
        <v>0</v>
      </c>
      <c r="V120" s="86">
        <v>0</v>
      </c>
      <c r="W120" s="86">
        <v>0</v>
      </c>
      <c r="X120" s="86">
        <v>0</v>
      </c>
      <c r="Y120" s="86"/>
      <c r="Z120" s="86"/>
      <c r="AA120" s="86"/>
      <c r="AB120" s="39"/>
      <c r="AC120" s="39"/>
      <c r="AD120" s="24">
        <v>0</v>
      </c>
      <c r="AE120" s="24">
        <v>0</v>
      </c>
      <c r="AF120" s="24">
        <v>0</v>
      </c>
      <c r="AG120" s="108">
        <v>0</v>
      </c>
    </row>
    <row r="121" spans="1:33" s="19" customFormat="1" ht="20.100000000000001" customHeight="1">
      <c r="A121" s="83"/>
      <c r="B121" s="84"/>
      <c r="C121" s="85"/>
      <c r="D121" s="85"/>
      <c r="E121" s="86">
        <f t="shared" si="12"/>
        <v>0</v>
      </c>
      <c r="F121" s="86"/>
      <c r="G121" s="86"/>
      <c r="H121" s="86"/>
      <c r="I121" s="86"/>
      <c r="J121" s="86"/>
      <c r="K121" s="86"/>
      <c r="L121" s="86"/>
      <c r="M121" s="86">
        <v>0</v>
      </c>
      <c r="N121" s="86">
        <v>0</v>
      </c>
      <c r="O121" s="86">
        <v>0</v>
      </c>
      <c r="P121" s="87">
        <v>0</v>
      </c>
      <c r="Q121" s="88">
        <f t="shared" si="13"/>
        <v>0</v>
      </c>
      <c r="R121" s="86">
        <v>0</v>
      </c>
      <c r="S121" s="86">
        <v>0</v>
      </c>
      <c r="T121" s="86">
        <v>0</v>
      </c>
      <c r="U121" s="86">
        <v>0</v>
      </c>
      <c r="V121" s="86">
        <v>0</v>
      </c>
      <c r="W121" s="86">
        <v>0</v>
      </c>
      <c r="X121" s="86">
        <v>0</v>
      </c>
      <c r="Y121" s="86"/>
      <c r="Z121" s="86"/>
      <c r="AA121" s="86"/>
      <c r="AB121" s="39"/>
      <c r="AC121" s="39"/>
      <c r="AD121" s="24">
        <v>0</v>
      </c>
      <c r="AE121" s="24">
        <v>0</v>
      </c>
      <c r="AF121" s="24">
        <v>0</v>
      </c>
      <c r="AG121" s="108">
        <v>0</v>
      </c>
    </row>
    <row r="122" spans="1:33" s="19" customFormat="1" ht="20.100000000000001" customHeight="1">
      <c r="A122" s="83"/>
      <c r="B122" s="84"/>
      <c r="C122" s="85"/>
      <c r="D122" s="85"/>
      <c r="E122" s="86">
        <f t="shared" si="12"/>
        <v>0</v>
      </c>
      <c r="F122" s="86"/>
      <c r="G122" s="86"/>
      <c r="H122" s="86"/>
      <c r="I122" s="86"/>
      <c r="J122" s="86"/>
      <c r="K122" s="86"/>
      <c r="L122" s="86"/>
      <c r="M122" s="86">
        <v>0</v>
      </c>
      <c r="N122" s="86">
        <v>0</v>
      </c>
      <c r="O122" s="86">
        <v>0</v>
      </c>
      <c r="P122" s="87">
        <v>0</v>
      </c>
      <c r="Q122" s="88">
        <f t="shared" si="13"/>
        <v>0</v>
      </c>
      <c r="R122" s="86">
        <v>0</v>
      </c>
      <c r="S122" s="86">
        <v>0</v>
      </c>
      <c r="T122" s="86">
        <v>0</v>
      </c>
      <c r="U122" s="86">
        <v>0</v>
      </c>
      <c r="V122" s="86">
        <v>0</v>
      </c>
      <c r="W122" s="86">
        <v>0</v>
      </c>
      <c r="X122" s="86">
        <v>0</v>
      </c>
      <c r="Y122" s="86"/>
      <c r="Z122" s="86"/>
      <c r="AA122" s="86"/>
      <c r="AB122" s="39"/>
      <c r="AC122" s="39"/>
      <c r="AD122" s="24">
        <v>0</v>
      </c>
      <c r="AE122" s="24">
        <v>0</v>
      </c>
      <c r="AF122" s="24">
        <v>0</v>
      </c>
      <c r="AG122" s="108">
        <v>0</v>
      </c>
    </row>
    <row r="123" spans="1:33" s="19" customFormat="1" ht="20.100000000000001" customHeight="1">
      <c r="A123" s="83"/>
      <c r="B123" s="84"/>
      <c r="C123" s="85"/>
      <c r="D123" s="85"/>
      <c r="E123" s="86">
        <f t="shared" si="12"/>
        <v>0</v>
      </c>
      <c r="F123" s="86"/>
      <c r="G123" s="86"/>
      <c r="H123" s="86"/>
      <c r="I123" s="86"/>
      <c r="J123" s="86"/>
      <c r="K123" s="86"/>
      <c r="L123" s="86"/>
      <c r="M123" s="86">
        <v>0</v>
      </c>
      <c r="N123" s="86">
        <v>0</v>
      </c>
      <c r="O123" s="86">
        <v>0</v>
      </c>
      <c r="P123" s="87">
        <v>0</v>
      </c>
      <c r="Q123" s="88">
        <f t="shared" si="13"/>
        <v>0</v>
      </c>
      <c r="R123" s="86">
        <v>0</v>
      </c>
      <c r="S123" s="86">
        <v>0</v>
      </c>
      <c r="T123" s="86">
        <v>0</v>
      </c>
      <c r="U123" s="86">
        <v>0</v>
      </c>
      <c r="V123" s="86">
        <v>0</v>
      </c>
      <c r="W123" s="86">
        <v>0</v>
      </c>
      <c r="X123" s="86">
        <v>0</v>
      </c>
      <c r="Y123" s="86"/>
      <c r="Z123" s="86"/>
      <c r="AA123" s="86"/>
      <c r="AB123" s="39"/>
      <c r="AC123" s="39"/>
      <c r="AD123" s="24">
        <v>0</v>
      </c>
      <c r="AE123" s="24">
        <v>0</v>
      </c>
      <c r="AF123" s="24">
        <v>0</v>
      </c>
      <c r="AG123" s="108">
        <v>0</v>
      </c>
    </row>
    <row r="124" spans="1:33" s="19" customFormat="1" ht="20.100000000000001" customHeight="1" thickBot="1">
      <c r="A124" s="33"/>
      <c r="B124" s="34"/>
      <c r="C124" s="35"/>
      <c r="D124" s="35"/>
      <c r="E124" s="42">
        <f t="shared" ref="E124" ca="1" si="14">+P124-Q124+SUMPRODUCT($F$9:$O$9,F124:O124)</f>
        <v>0</v>
      </c>
      <c r="F124" s="42"/>
      <c r="G124" s="42"/>
      <c r="H124" s="42"/>
      <c r="I124" s="42"/>
      <c r="J124" s="42"/>
      <c r="K124" s="42"/>
      <c r="L124" s="42"/>
      <c r="M124" s="42">
        <v>0</v>
      </c>
      <c r="N124" s="42">
        <v>0</v>
      </c>
      <c r="O124" s="42">
        <v>0</v>
      </c>
      <c r="P124" s="36">
        <v>0</v>
      </c>
      <c r="Q124" s="82">
        <f t="shared" si="13"/>
        <v>0</v>
      </c>
      <c r="R124" s="42">
        <v>0</v>
      </c>
      <c r="S124" s="42">
        <v>0</v>
      </c>
      <c r="T124" s="42">
        <v>0</v>
      </c>
      <c r="U124" s="42">
        <v>0</v>
      </c>
      <c r="V124" s="42">
        <v>0</v>
      </c>
      <c r="W124" s="42">
        <v>0</v>
      </c>
      <c r="X124" s="42">
        <v>0</v>
      </c>
      <c r="Y124" s="42"/>
      <c r="Z124" s="42"/>
      <c r="AA124" s="42"/>
      <c r="AB124" s="39"/>
      <c r="AC124" s="42"/>
      <c r="AD124" s="34">
        <v>0</v>
      </c>
      <c r="AE124" s="34">
        <v>0</v>
      </c>
      <c r="AF124" s="34">
        <v>0</v>
      </c>
      <c r="AG124" s="109">
        <v>0</v>
      </c>
    </row>
    <row r="125" spans="1:33" ht="18.75" customHeight="1">
      <c r="C125" s="8" t="s">
        <v>27</v>
      </c>
      <c r="E125" s="8">
        <f t="shared" ref="E125:E130" si="15">SUM(F125:O125)</f>
        <v>169.89999999999998</v>
      </c>
      <c r="F125" s="8">
        <f t="shared" ref="F125:AC125" si="16">SUM(F56:F74)</f>
        <v>0</v>
      </c>
      <c r="G125" s="8">
        <f t="shared" si="16"/>
        <v>0</v>
      </c>
      <c r="H125" s="8">
        <f t="shared" si="16"/>
        <v>18</v>
      </c>
      <c r="I125" s="8">
        <f t="shared" si="16"/>
        <v>14</v>
      </c>
      <c r="J125" s="8">
        <f t="shared" si="16"/>
        <v>0</v>
      </c>
      <c r="K125" s="8">
        <f t="shared" si="16"/>
        <v>0</v>
      </c>
      <c r="L125" s="8">
        <f t="shared" si="16"/>
        <v>0</v>
      </c>
      <c r="M125" s="8">
        <f t="shared" si="16"/>
        <v>20.399999999999999</v>
      </c>
      <c r="N125" s="8">
        <f t="shared" si="16"/>
        <v>0</v>
      </c>
      <c r="O125" s="8">
        <f t="shared" si="16"/>
        <v>117.49999999999999</v>
      </c>
      <c r="P125" s="8">
        <f t="shared" si="16"/>
        <v>1.8999999999999897</v>
      </c>
      <c r="Q125" s="22">
        <f t="shared" si="16"/>
        <v>1333.1</v>
      </c>
      <c r="R125" s="8">
        <f t="shared" si="16"/>
        <v>419.40000000000003</v>
      </c>
      <c r="S125" s="8">
        <f t="shared" si="16"/>
        <v>261.3</v>
      </c>
      <c r="T125" s="8">
        <f t="shared" si="16"/>
        <v>358.3</v>
      </c>
      <c r="U125" s="8">
        <f t="shared" si="16"/>
        <v>294.10000000000002</v>
      </c>
      <c r="V125" s="8">
        <f t="shared" si="16"/>
        <v>252</v>
      </c>
      <c r="W125" s="8">
        <f t="shared" si="16"/>
        <v>451.9</v>
      </c>
      <c r="X125" s="8">
        <f t="shared" si="16"/>
        <v>403.50000000000006</v>
      </c>
      <c r="Y125" s="8">
        <f t="shared" si="16"/>
        <v>0</v>
      </c>
      <c r="Z125" s="8">
        <f t="shared" si="16"/>
        <v>0</v>
      </c>
      <c r="AA125" s="8">
        <f t="shared" si="16"/>
        <v>0</v>
      </c>
      <c r="AB125" s="8">
        <f t="shared" si="16"/>
        <v>0</v>
      </c>
      <c r="AC125" s="8">
        <f t="shared" si="16"/>
        <v>0</v>
      </c>
    </row>
    <row r="126" spans="1:33" ht="18.75" customHeight="1">
      <c r="C126" s="8" t="s">
        <v>28</v>
      </c>
      <c r="E126" s="8">
        <f t="shared" si="15"/>
        <v>242.5</v>
      </c>
      <c r="F126" s="22">
        <f>F16+F22+F26+F27+F28+F29+F31+F32+F33+F35+F37</f>
        <v>0</v>
      </c>
      <c r="G126" s="22">
        <f t="shared" ref="G126:O126" si="17">G16+G22+G26+G27+G28+G29+G31+G32+G33+G35+G37</f>
        <v>0</v>
      </c>
      <c r="H126" s="22">
        <f>H16+H22+H26+H27+H28+H29+H31+H32+H33+H35+H37</f>
        <v>57</v>
      </c>
      <c r="I126" s="22">
        <f t="shared" si="17"/>
        <v>66</v>
      </c>
      <c r="J126" s="22">
        <f t="shared" si="17"/>
        <v>18</v>
      </c>
      <c r="K126" s="22">
        <f t="shared" si="17"/>
        <v>0</v>
      </c>
      <c r="L126" s="22">
        <f t="shared" si="17"/>
        <v>0</v>
      </c>
      <c r="M126" s="22">
        <f>M16+M22+M26+M27+M28+M29+M31+M32+M33+M35+M37</f>
        <v>54</v>
      </c>
      <c r="N126" s="22">
        <f t="shared" si="17"/>
        <v>0</v>
      </c>
      <c r="O126" s="22">
        <f t="shared" si="17"/>
        <v>47.499999999999986</v>
      </c>
      <c r="P126" s="22">
        <f t="shared" ref="P126:AC126" si="18">P16+P20+P22+P26+P28+P29+P33+P37+P36+P35</f>
        <v>73</v>
      </c>
      <c r="Q126" s="22">
        <f t="shared" si="18"/>
        <v>732.9</v>
      </c>
      <c r="R126" s="22">
        <f t="shared" si="18"/>
        <v>144.80000000000001</v>
      </c>
      <c r="S126" s="22">
        <f t="shared" si="18"/>
        <v>163.6</v>
      </c>
      <c r="T126" s="22">
        <f t="shared" si="18"/>
        <v>217.2</v>
      </c>
      <c r="U126" s="22">
        <f t="shared" si="18"/>
        <v>207.29999999999998</v>
      </c>
      <c r="V126" s="22">
        <f>V16+V20+V22+V26+V28+V29+V33+V37+V36+V35</f>
        <v>199.8</v>
      </c>
      <c r="W126" s="22">
        <f>W16+W20+W22+W26+W28+W29+W33+W37+W36+W35</f>
        <v>76.599999999999994</v>
      </c>
      <c r="X126" s="22">
        <f t="shared" si="18"/>
        <v>162.79999999999998</v>
      </c>
      <c r="Y126" s="22">
        <f t="shared" si="18"/>
        <v>0</v>
      </c>
      <c r="Z126" s="22">
        <f>Z16+Z20+Z22+Z26+Z28+Z29+Z33+Z37+Z36+Z35</f>
        <v>0</v>
      </c>
      <c r="AA126" s="22">
        <f>AA16+AA20+AA22+AA26+AA28+AA29+AA33+AA37+AA36+AA35</f>
        <v>0</v>
      </c>
      <c r="AB126" s="22">
        <f t="shared" si="18"/>
        <v>0</v>
      </c>
      <c r="AC126" s="22">
        <f t="shared" si="18"/>
        <v>0</v>
      </c>
    </row>
    <row r="127" spans="1:33" ht="18.75" customHeight="1">
      <c r="C127" s="8" t="s">
        <v>29</v>
      </c>
      <c r="E127" s="8">
        <f t="shared" si="15"/>
        <v>412.4</v>
      </c>
      <c r="F127" s="8">
        <f t="shared" ref="F127:AC127" si="19">SUM(F125:F126)</f>
        <v>0</v>
      </c>
      <c r="G127" s="8">
        <f t="shared" si="19"/>
        <v>0</v>
      </c>
      <c r="H127" s="8">
        <f t="shared" si="19"/>
        <v>75</v>
      </c>
      <c r="I127" s="8">
        <f t="shared" si="19"/>
        <v>80</v>
      </c>
      <c r="J127" s="8">
        <f t="shared" si="19"/>
        <v>18</v>
      </c>
      <c r="K127" s="8">
        <f t="shared" si="19"/>
        <v>0</v>
      </c>
      <c r="L127" s="8">
        <f t="shared" si="19"/>
        <v>0</v>
      </c>
      <c r="M127" s="8">
        <f t="shared" si="19"/>
        <v>74.400000000000006</v>
      </c>
      <c r="N127" s="8">
        <f t="shared" si="19"/>
        <v>0</v>
      </c>
      <c r="O127" s="8">
        <f t="shared" si="19"/>
        <v>164.99999999999997</v>
      </c>
      <c r="P127" s="8">
        <f t="shared" si="19"/>
        <v>74.899999999999991</v>
      </c>
      <c r="Q127" s="22">
        <f t="shared" si="19"/>
        <v>2066</v>
      </c>
      <c r="R127" s="8">
        <f t="shared" si="19"/>
        <v>564.20000000000005</v>
      </c>
      <c r="S127" s="8">
        <f t="shared" si="19"/>
        <v>424.9</v>
      </c>
      <c r="T127" s="8">
        <f t="shared" si="19"/>
        <v>575.5</v>
      </c>
      <c r="U127" s="8">
        <f t="shared" si="19"/>
        <v>501.4</v>
      </c>
      <c r="V127" s="8">
        <f t="shared" si="19"/>
        <v>451.8</v>
      </c>
      <c r="W127" s="8">
        <f t="shared" si="19"/>
        <v>528.5</v>
      </c>
      <c r="X127" s="8">
        <f t="shared" si="19"/>
        <v>566.30000000000007</v>
      </c>
      <c r="Y127" s="8">
        <f t="shared" si="19"/>
        <v>0</v>
      </c>
      <c r="Z127" s="8">
        <f t="shared" si="19"/>
        <v>0</v>
      </c>
      <c r="AA127" s="8">
        <f t="shared" si="19"/>
        <v>0</v>
      </c>
      <c r="AB127" s="8">
        <f>SUM(AB125:AB126)</f>
        <v>0</v>
      </c>
      <c r="AC127" s="8">
        <f t="shared" si="19"/>
        <v>0</v>
      </c>
    </row>
    <row r="128" spans="1:33" ht="18.75" customHeight="1">
      <c r="C128" s="8" t="s">
        <v>30</v>
      </c>
      <c r="E128" s="22">
        <f t="shared" si="15"/>
        <v>125.61666666666667</v>
      </c>
      <c r="F128" s="22">
        <f t="shared" ref="F128:P128" si="20">(SUM(F10:F37)-(F10+F11+F12+F36)*0.9)/3</f>
        <v>0</v>
      </c>
      <c r="G128" s="22">
        <f t="shared" si="20"/>
        <v>0</v>
      </c>
      <c r="H128" s="22">
        <f t="shared" si="20"/>
        <v>30.099999999999998</v>
      </c>
      <c r="I128" s="22">
        <f t="shared" si="20"/>
        <v>33.4</v>
      </c>
      <c r="J128" s="22">
        <f t="shared" si="20"/>
        <v>6</v>
      </c>
      <c r="K128" s="22">
        <f t="shared" si="20"/>
        <v>0</v>
      </c>
      <c r="L128" s="22">
        <f t="shared" si="20"/>
        <v>0</v>
      </c>
      <c r="M128" s="22">
        <f t="shared" si="20"/>
        <v>22.966666666666669</v>
      </c>
      <c r="N128" s="22">
        <f t="shared" si="20"/>
        <v>0</v>
      </c>
      <c r="O128" s="22">
        <f t="shared" si="20"/>
        <v>33.15</v>
      </c>
      <c r="P128" s="22">
        <f t="shared" si="20"/>
        <v>12.376666666666665</v>
      </c>
      <c r="Q128" s="22">
        <f>SUM(Q10:Q37)/3*0.95</f>
        <v>1029.9583333333333</v>
      </c>
      <c r="R128" s="22">
        <f t="shared" ref="R128:AC128" si="21">(SUM(R10:R37)-R25)/3*0.95</f>
        <v>229.10833333333332</v>
      </c>
      <c r="S128" s="22">
        <f t="shared" si="21"/>
        <v>211.21666666666667</v>
      </c>
      <c r="T128" s="22">
        <f t="shared" si="21"/>
        <v>275.37333333333333</v>
      </c>
      <c r="U128" s="22">
        <f t="shared" si="21"/>
        <v>255.96166666666662</v>
      </c>
      <c r="V128" s="22">
        <f>(SUM(V10:V37)-V25)/3*0.95</f>
        <v>251.24333333333334</v>
      </c>
      <c r="W128" s="22">
        <f>(SUM(W10:W37)-W25)/3*0.95</f>
        <v>278.06500000000005</v>
      </c>
      <c r="X128" s="22">
        <f t="shared" si="21"/>
        <v>259.06500000000005</v>
      </c>
      <c r="Y128" s="22">
        <f t="shared" si="21"/>
        <v>0</v>
      </c>
      <c r="Z128" s="22">
        <f>(SUM(Z10:Z37)-Z25)/3*0.95</f>
        <v>0</v>
      </c>
      <c r="AA128" s="22">
        <f t="shared" si="21"/>
        <v>0</v>
      </c>
      <c r="AB128" s="22">
        <f t="shared" si="21"/>
        <v>0</v>
      </c>
      <c r="AC128" s="22">
        <f t="shared" si="21"/>
        <v>0</v>
      </c>
    </row>
    <row r="129" spans="3:29" ht="18.75" customHeight="1">
      <c r="C129" s="8" t="s">
        <v>31</v>
      </c>
      <c r="E129" s="22">
        <f t="shared" si="15"/>
        <v>299.92777777777781</v>
      </c>
      <c r="F129" s="22">
        <f t="shared" ref="F129:O129" si="22">IF(F5=0,0,(3-F5)*460/6/3)</f>
        <v>0</v>
      </c>
      <c r="G129" s="22">
        <f t="shared" si="22"/>
        <v>0</v>
      </c>
      <c r="H129" s="22">
        <f t="shared" si="22"/>
        <v>43.666666666666664</v>
      </c>
      <c r="I129" s="22">
        <f t="shared" si="22"/>
        <v>47.31666666666667</v>
      </c>
      <c r="J129" s="22">
        <f t="shared" si="22"/>
        <v>72.666666666666671</v>
      </c>
      <c r="K129" s="22">
        <f t="shared" si="22"/>
        <v>0</v>
      </c>
      <c r="L129" s="22">
        <f t="shared" si="22"/>
        <v>0</v>
      </c>
      <c r="M129" s="22">
        <f t="shared" si="22"/>
        <v>52.019444444444446</v>
      </c>
      <c r="N129" s="22">
        <f t="shared" si="22"/>
        <v>53.351111111111102</v>
      </c>
      <c r="O129" s="22">
        <f t="shared" si="22"/>
        <v>30.907222222222227</v>
      </c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3:29" ht="18.75" customHeight="1">
      <c r="C130" s="8" t="s">
        <v>32</v>
      </c>
      <c r="E130" s="22">
        <f t="shared" si="15"/>
        <v>425.54444444444448</v>
      </c>
      <c r="F130" s="22">
        <f t="shared" ref="F130:O130" si="23">SUM(F128:F129)</f>
        <v>0</v>
      </c>
      <c r="G130" s="22">
        <f t="shared" si="23"/>
        <v>0</v>
      </c>
      <c r="H130" s="22">
        <f t="shared" si="23"/>
        <v>73.766666666666666</v>
      </c>
      <c r="I130" s="22">
        <f t="shared" si="23"/>
        <v>80.716666666666669</v>
      </c>
      <c r="J130" s="22">
        <f t="shared" si="23"/>
        <v>78.666666666666671</v>
      </c>
      <c r="K130" s="22">
        <f t="shared" si="23"/>
        <v>0</v>
      </c>
      <c r="L130" s="22">
        <f t="shared" si="23"/>
        <v>0</v>
      </c>
      <c r="M130" s="22">
        <f t="shared" si="23"/>
        <v>74.986111111111114</v>
      </c>
      <c r="N130" s="22">
        <f t="shared" si="23"/>
        <v>53.351111111111102</v>
      </c>
      <c r="O130" s="22">
        <f t="shared" si="23"/>
        <v>64.057222222222222</v>
      </c>
      <c r="P130" s="22"/>
    </row>
    <row r="132" spans="3:29">
      <c r="F132" s="22"/>
      <c r="G132" s="22"/>
      <c r="H132" s="22"/>
      <c r="I132" s="22"/>
      <c r="J132" s="22"/>
      <c r="K132" s="22"/>
      <c r="L132" s="22"/>
      <c r="M132" s="22"/>
      <c r="N132" s="22"/>
      <c r="O132" s="22"/>
    </row>
    <row r="133" spans="3:29">
      <c r="Y133" s="22"/>
    </row>
    <row r="134" spans="3:29">
      <c r="F134" s="22"/>
      <c r="G134" s="22"/>
      <c r="H134" s="22"/>
      <c r="I134" s="22"/>
      <c r="J134" s="22"/>
      <c r="K134" s="22"/>
      <c r="L134" s="22"/>
      <c r="M134" s="22"/>
      <c r="N134" s="22"/>
      <c r="O134" s="22"/>
    </row>
    <row r="135" spans="3:29">
      <c r="F135" s="22"/>
      <c r="G135" s="22"/>
      <c r="H135" s="22"/>
      <c r="I135" s="22"/>
      <c r="J135" s="22"/>
      <c r="K135" s="22"/>
      <c r="L135" s="22"/>
      <c r="M135" s="22"/>
      <c r="N135" s="22"/>
      <c r="O135" s="22"/>
    </row>
  </sheetData>
  <mergeCells count="7">
    <mergeCell ref="A5:D5"/>
    <mergeCell ref="A6:D6"/>
    <mergeCell ref="A7:D7"/>
    <mergeCell ref="A8:A9"/>
    <mergeCell ref="B8:B9"/>
    <mergeCell ref="D8:D9"/>
    <mergeCell ref="C8:C9"/>
  </mergeCells>
  <phoneticPr fontId="1" type="noConversion"/>
  <printOptions horizontalCentered="1"/>
  <pageMargins left="0" right="0" top="0.51181102362204722" bottom="0.51181102362204722" header="0.23622047244094491" footer="0.23622047244094491"/>
  <pageSetup paperSize="9" scale="35" orientation="landscape" r:id="rId1"/>
  <headerFooter alignWithMargins="0"/>
  <legacyDrawing r:id="rId2"/>
  <controls>
    <control shapeId="1025" r:id="rId3" name="CmdD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5"/>
  <dimension ref="A1:BI85"/>
  <sheetViews>
    <sheetView showGridLines="0" showZeros="0" zoomScale="80" workbookViewId="0">
      <pane xSplit="5" ySplit="9" topLeftCell="F10" activePane="bottomRight" state="frozen"/>
      <selection activeCell="A5" sqref="A5"/>
      <selection pane="topRight" activeCell="F5" sqref="F5"/>
      <selection pane="bottomLeft" activeCell="A10" sqref="A10"/>
      <selection pane="bottomRight" activeCell="S10" sqref="S10"/>
    </sheetView>
  </sheetViews>
  <sheetFormatPr defaultColWidth="6" defaultRowHeight="13.5"/>
  <cols>
    <col min="1" max="1" width="6.75" style="3" customWidth="1"/>
    <col min="2" max="2" width="9" style="3" customWidth="1"/>
    <col min="3" max="3" width="4.875" style="8" bestFit="1" customWidth="1"/>
    <col min="4" max="4" width="6.5" style="8" customWidth="1"/>
    <col min="5" max="5" width="8.375" style="8" customWidth="1"/>
    <col min="6" max="17" width="8.625" style="8" customWidth="1"/>
    <col min="18" max="19" width="9.625" style="8" bestFit="1" customWidth="1"/>
    <col min="20" max="35" width="8.625" style="8" customWidth="1"/>
    <col min="36" max="16384" width="6" style="3"/>
  </cols>
  <sheetData>
    <row r="1" spans="1:61" hidden="1">
      <c r="A1" s="3" t="s">
        <v>68</v>
      </c>
      <c r="F1" s="37"/>
      <c r="G1" s="37"/>
      <c r="H1" s="37"/>
      <c r="I1" s="37">
        <f>I2+I5</f>
        <v>5.9782608695652176E-2</v>
      </c>
      <c r="J1" s="37">
        <f>J2+J5</f>
        <v>2.2158695652173912</v>
      </c>
      <c r="K1" s="37">
        <f>K2+K5</f>
        <v>2.3013043478260871</v>
      </c>
      <c r="L1" s="37"/>
      <c r="M1" s="37"/>
      <c r="N1" s="37">
        <f>N2+N5</f>
        <v>2.4150000000000005</v>
      </c>
      <c r="O1" s="37">
        <f>O2+O5</f>
        <v>2.4750000000000001</v>
      </c>
      <c r="P1" s="37">
        <f>P2+P5</f>
        <v>1.7515217391304347</v>
      </c>
      <c r="Q1" s="37">
        <f>Q2+Q5</f>
        <v>2.1813043478260874</v>
      </c>
    </row>
    <row r="2" spans="1:61" hidden="1">
      <c r="A2" s="3" t="s">
        <v>69</v>
      </c>
      <c r="F2" s="37"/>
      <c r="G2" s="37"/>
      <c r="H2" s="37"/>
      <c r="I2" s="37">
        <f>$C$3*I3/460</f>
        <v>5.9782608695652176E-2</v>
      </c>
      <c r="J2" s="37">
        <f>$C$3*J3/460</f>
        <v>5.9782608695652176E-2</v>
      </c>
      <c r="K2" s="37">
        <f>$C$3*K3/460</f>
        <v>5.9782608695652176E-2</v>
      </c>
      <c r="L2" s="37"/>
      <c r="M2" s="37"/>
      <c r="N2" s="37">
        <f>$C$3*N3/460</f>
        <v>5.9782608695652176E-2</v>
      </c>
      <c r="O2" s="37">
        <f>$C$3*O3/460</f>
        <v>5.9782608695652176E-2</v>
      </c>
      <c r="P2" s="37">
        <f>$C$3*P3/460</f>
        <v>5.9782608695652176E-2</v>
      </c>
      <c r="Q2" s="37">
        <f>$C$3*Q3/460</f>
        <v>5.9782608695652176E-2</v>
      </c>
    </row>
    <row r="3" spans="1:61" hidden="1">
      <c r="A3" s="3" t="s">
        <v>70</v>
      </c>
      <c r="C3" s="8">
        <v>5.5</v>
      </c>
      <c r="I3" s="8">
        <v>5</v>
      </c>
      <c r="J3" s="8">
        <v>5</v>
      </c>
      <c r="K3" s="8">
        <v>5</v>
      </c>
      <c r="N3" s="8">
        <v>5</v>
      </c>
      <c r="O3" s="8">
        <v>5</v>
      </c>
      <c r="P3" s="8">
        <v>5</v>
      </c>
      <c r="Q3" s="8">
        <v>5</v>
      </c>
    </row>
    <row r="4" spans="1:61" ht="14.25" thickBot="1"/>
    <row r="5" spans="1:61" ht="27.95" customHeight="1" thickBot="1">
      <c r="A5" s="113" t="s">
        <v>71</v>
      </c>
      <c r="B5" s="114"/>
      <c r="C5" s="114"/>
      <c r="D5" s="115"/>
      <c r="E5" s="1">
        <f t="shared" ref="E5:AI5" si="0">+SUMPRODUCT($C$10:$C$74,E10:E74)/460</f>
        <v>4.3232608695652175</v>
      </c>
      <c r="F5" s="1">
        <f t="shared" si="0"/>
        <v>0</v>
      </c>
      <c r="G5" s="1">
        <f t="shared" si="0"/>
        <v>0</v>
      </c>
      <c r="H5" s="1">
        <f t="shared" si="0"/>
        <v>0</v>
      </c>
      <c r="I5" s="1">
        <f t="shared" si="0"/>
        <v>0</v>
      </c>
      <c r="J5" s="1">
        <f t="shared" si="0"/>
        <v>2.1560869565217389</v>
      </c>
      <c r="K5" s="1">
        <f t="shared" si="0"/>
        <v>2.2415217391304347</v>
      </c>
      <c r="L5" s="1">
        <f t="shared" si="0"/>
        <v>2.1873913043478264</v>
      </c>
      <c r="M5" s="1">
        <f t="shared" si="0"/>
        <v>1.9669565217391305</v>
      </c>
      <c r="N5" s="1">
        <f t="shared" si="0"/>
        <v>2.3552173913043482</v>
      </c>
      <c r="O5" s="1">
        <f t="shared" si="0"/>
        <v>2.4152173913043478</v>
      </c>
      <c r="P5" s="1">
        <f t="shared" si="0"/>
        <v>1.6917391304347826</v>
      </c>
      <c r="Q5" s="1">
        <f t="shared" si="0"/>
        <v>2.1215217391304351</v>
      </c>
      <c r="R5" s="1">
        <f t="shared" si="0"/>
        <v>6.9456521739130439</v>
      </c>
      <c r="S5" s="1">
        <f t="shared" si="0"/>
        <v>9.2073913043478246</v>
      </c>
      <c r="T5" s="1">
        <f t="shared" si="0"/>
        <v>1.6069565217391304</v>
      </c>
      <c r="U5" s="1">
        <f t="shared" si="0"/>
        <v>1.7547826086956522</v>
      </c>
      <c r="V5" s="1">
        <f t="shared" si="0"/>
        <v>1.7132608695652172</v>
      </c>
      <c r="W5" s="1">
        <f t="shared" si="0"/>
        <v>1.7591304347826084</v>
      </c>
      <c r="X5" s="1">
        <f t="shared" si="0"/>
        <v>0</v>
      </c>
      <c r="Y5" s="1">
        <f t="shared" si="0"/>
        <v>0</v>
      </c>
      <c r="Z5" s="1">
        <f t="shared" si="0"/>
        <v>0</v>
      </c>
      <c r="AA5" s="1">
        <f t="shared" si="0"/>
        <v>0</v>
      </c>
      <c r="AB5" s="1">
        <f t="shared" si="0"/>
        <v>0</v>
      </c>
      <c r="AC5" s="1">
        <f t="shared" si="0"/>
        <v>0</v>
      </c>
      <c r="AD5" s="1">
        <f t="shared" si="0"/>
        <v>1.7593478260869566</v>
      </c>
      <c r="AE5" s="1">
        <f>+SUMPRODUCT($C$10:$C$74,AE10:AE74)/460</f>
        <v>2.3310869565217396</v>
      </c>
      <c r="AF5" s="1">
        <f t="shared" si="0"/>
        <v>1.5147826086956524</v>
      </c>
      <c r="AG5" s="1">
        <f t="shared" si="0"/>
        <v>2.2510869565217391</v>
      </c>
      <c r="AH5" s="1">
        <f t="shared" si="0"/>
        <v>1.3510869565217392</v>
      </c>
      <c r="AI5" s="2">
        <f t="shared" si="0"/>
        <v>1.4689130434782609</v>
      </c>
    </row>
    <row r="6" spans="1:61" ht="27.95" customHeight="1">
      <c r="A6" s="116" t="s">
        <v>72</v>
      </c>
      <c r="B6" s="117"/>
      <c r="C6" s="117"/>
      <c r="D6" s="118"/>
      <c r="E6" s="4">
        <f t="shared" ref="E6:R6" si="1">SUM(E10:E74)</f>
        <v>157.5</v>
      </c>
      <c r="F6" s="4">
        <f t="shared" si="1"/>
        <v>0</v>
      </c>
      <c r="G6" s="4">
        <f t="shared" si="1"/>
        <v>0</v>
      </c>
      <c r="H6" s="4">
        <f t="shared" si="1"/>
        <v>0</v>
      </c>
      <c r="I6" s="4">
        <f t="shared" si="1"/>
        <v>0</v>
      </c>
      <c r="J6" s="4">
        <f t="shared" si="1"/>
        <v>187</v>
      </c>
      <c r="K6" s="4">
        <f t="shared" si="1"/>
        <v>195</v>
      </c>
      <c r="L6" s="4">
        <f t="shared" si="1"/>
        <v>188</v>
      </c>
      <c r="M6" s="4">
        <f t="shared" si="1"/>
        <v>174</v>
      </c>
      <c r="N6" s="4">
        <f t="shared" si="1"/>
        <v>210</v>
      </c>
      <c r="O6" s="4">
        <f t="shared" si="1"/>
        <v>214</v>
      </c>
      <c r="P6" s="4">
        <f t="shared" si="1"/>
        <v>147</v>
      </c>
      <c r="Q6" s="4">
        <f t="shared" si="1"/>
        <v>186</v>
      </c>
      <c r="R6" s="5">
        <f t="shared" si="1"/>
        <v>922</v>
      </c>
      <c r="S6" s="6">
        <f>+SUM(T6:AI6)</f>
        <v>2571.5</v>
      </c>
      <c r="T6" s="4">
        <f t="shared" ref="T6:AI6" si="2">SUM(T10:T74)</f>
        <v>248</v>
      </c>
      <c r="U6" s="4">
        <f t="shared" si="2"/>
        <v>280.5</v>
      </c>
      <c r="V6" s="4">
        <f t="shared" si="2"/>
        <v>254</v>
      </c>
      <c r="W6" s="4">
        <f t="shared" si="2"/>
        <v>199.5</v>
      </c>
      <c r="X6" s="4">
        <f t="shared" si="2"/>
        <v>0</v>
      </c>
      <c r="Y6" s="4">
        <f t="shared" si="2"/>
        <v>0</v>
      </c>
      <c r="Z6" s="4">
        <f t="shared" si="2"/>
        <v>0</v>
      </c>
      <c r="AA6" s="4">
        <f t="shared" si="2"/>
        <v>0</v>
      </c>
      <c r="AB6" s="4">
        <f t="shared" si="2"/>
        <v>0</v>
      </c>
      <c r="AC6" s="4">
        <f t="shared" si="2"/>
        <v>0</v>
      </c>
      <c r="AD6" s="4">
        <f t="shared" si="2"/>
        <v>293</v>
      </c>
      <c r="AE6" s="4">
        <f>SUM(AE10:AE74)</f>
        <v>327.5</v>
      </c>
      <c r="AF6" s="4">
        <f t="shared" si="2"/>
        <v>183</v>
      </c>
      <c r="AG6" s="4">
        <f t="shared" si="2"/>
        <v>280</v>
      </c>
      <c r="AH6" s="4">
        <f t="shared" si="2"/>
        <v>251</v>
      </c>
      <c r="AI6" s="7">
        <f t="shared" si="2"/>
        <v>255</v>
      </c>
    </row>
    <row r="7" spans="1:61" ht="27.75" customHeight="1" thickBot="1">
      <c r="A7" s="119" t="s">
        <v>73</v>
      </c>
      <c r="B7" s="120"/>
      <c r="C7" s="120"/>
      <c r="D7" s="121"/>
      <c r="E7" s="25">
        <f t="shared" ref="E7:R7" si="3">+SUMPRODUCT($D$10:$D$74,E10:E74)/1000</f>
        <v>15.97395</v>
      </c>
      <c r="F7" s="58">
        <f t="shared" si="3"/>
        <v>0</v>
      </c>
      <c r="G7" s="58">
        <f t="shared" si="3"/>
        <v>0</v>
      </c>
      <c r="H7" s="58">
        <f t="shared" si="3"/>
        <v>0</v>
      </c>
      <c r="I7" s="58">
        <f t="shared" si="3"/>
        <v>0</v>
      </c>
      <c r="J7" s="58">
        <f t="shared" si="3"/>
        <v>29.263999999999999</v>
      </c>
      <c r="K7" s="58">
        <f t="shared" si="3"/>
        <v>30.102799999999998</v>
      </c>
      <c r="L7" s="58">
        <f t="shared" si="3"/>
        <v>29.681000000000001</v>
      </c>
      <c r="M7" s="58">
        <f t="shared" si="3"/>
        <v>27.003</v>
      </c>
      <c r="N7" s="58">
        <f t="shared" si="3"/>
        <v>32.881999999999998</v>
      </c>
      <c r="O7" s="58">
        <f t="shared" si="3"/>
        <v>33.747800000000005</v>
      </c>
      <c r="P7" s="58">
        <f t="shared" si="3"/>
        <v>23.079000000000001</v>
      </c>
      <c r="Q7" s="58">
        <f t="shared" si="3"/>
        <v>29.141999999999999</v>
      </c>
      <c r="R7" s="26">
        <f t="shared" si="3"/>
        <v>138.97905</v>
      </c>
      <c r="S7" s="27">
        <f>+SUM(T7:AI7)</f>
        <v>409.41969999999998</v>
      </c>
      <c r="T7" s="58">
        <f t="shared" ref="T7:AI7" si="4">+SUMPRODUCT($D$10:$D$74,T10:T74)/1000</f>
        <v>38.508499999999998</v>
      </c>
      <c r="U7" s="58">
        <f t="shared" si="4"/>
        <v>43.008400000000002</v>
      </c>
      <c r="V7" s="58">
        <f t="shared" si="4"/>
        <v>40.865000000000002</v>
      </c>
      <c r="W7" s="58">
        <f t="shared" si="4"/>
        <v>32.281400000000005</v>
      </c>
      <c r="X7" s="58">
        <f t="shared" si="4"/>
        <v>0</v>
      </c>
      <c r="Y7" s="58">
        <f t="shared" si="4"/>
        <v>0</v>
      </c>
      <c r="Z7" s="58">
        <f t="shared" si="4"/>
        <v>0</v>
      </c>
      <c r="AA7" s="58">
        <f t="shared" si="4"/>
        <v>0</v>
      </c>
      <c r="AB7" s="58">
        <f t="shared" si="4"/>
        <v>0</v>
      </c>
      <c r="AC7" s="58">
        <f t="shared" si="4"/>
        <v>0</v>
      </c>
      <c r="AD7" s="58">
        <f t="shared" si="4"/>
        <v>43.5351</v>
      </c>
      <c r="AE7" s="58">
        <f>+SUMPRODUCT($D$10:$D$74,AE10:AE74)/1000</f>
        <v>50.588999999999999</v>
      </c>
      <c r="AF7" s="58">
        <f t="shared" si="4"/>
        <v>30.475099999999998</v>
      </c>
      <c r="AG7" s="58">
        <f t="shared" si="4"/>
        <v>45.534199999999998</v>
      </c>
      <c r="AH7" s="58">
        <f t="shared" si="4"/>
        <v>41.919499999999999</v>
      </c>
      <c r="AI7" s="59">
        <f t="shared" si="4"/>
        <v>42.703499999999998</v>
      </c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</row>
    <row r="8" spans="1:61" s="8" customFormat="1" ht="27.75" customHeight="1">
      <c r="A8" s="122" t="s">
        <v>74</v>
      </c>
      <c r="B8" s="124" t="s">
        <v>75</v>
      </c>
      <c r="C8" s="126" t="s">
        <v>76</v>
      </c>
      <c r="D8" s="126" t="s">
        <v>77</v>
      </c>
      <c r="E8" s="9" t="s">
        <v>78</v>
      </c>
      <c r="F8" s="57">
        <v>41055</v>
      </c>
      <c r="G8" s="57">
        <v>41056</v>
      </c>
      <c r="H8" s="57">
        <v>41057</v>
      </c>
      <c r="I8" s="57">
        <v>41058</v>
      </c>
      <c r="J8" s="57">
        <v>41047</v>
      </c>
      <c r="K8" s="78">
        <v>41048</v>
      </c>
      <c r="L8" s="78">
        <v>41049</v>
      </c>
      <c r="M8" s="57">
        <v>41050</v>
      </c>
      <c r="N8" s="57">
        <v>41051</v>
      </c>
      <c r="O8" s="57">
        <v>41052</v>
      </c>
      <c r="P8" s="57">
        <v>41053</v>
      </c>
      <c r="Q8" s="57">
        <v>41054</v>
      </c>
      <c r="R8" s="9" t="s">
        <v>79</v>
      </c>
      <c r="S8" s="9" t="s">
        <v>80</v>
      </c>
      <c r="T8" s="57">
        <v>41053</v>
      </c>
      <c r="U8" s="57">
        <v>41054</v>
      </c>
      <c r="V8" s="78">
        <v>41055</v>
      </c>
      <c r="W8" s="78">
        <v>41056</v>
      </c>
      <c r="X8" s="57">
        <v>41057</v>
      </c>
      <c r="Y8" s="57">
        <v>41058</v>
      </c>
      <c r="Z8" s="57">
        <v>41059</v>
      </c>
      <c r="AA8" s="57">
        <v>41060</v>
      </c>
      <c r="AB8" s="57">
        <v>41061</v>
      </c>
      <c r="AC8" s="57">
        <v>41062</v>
      </c>
      <c r="AD8" s="57">
        <v>41047</v>
      </c>
      <c r="AE8" s="78">
        <v>41048</v>
      </c>
      <c r="AF8" s="78">
        <v>41049</v>
      </c>
      <c r="AG8" s="57">
        <v>41050</v>
      </c>
      <c r="AH8" s="57">
        <v>41051</v>
      </c>
      <c r="AI8" s="57">
        <v>41052</v>
      </c>
    </row>
    <row r="9" spans="1:61" s="13" customFormat="1" ht="27.95" customHeight="1">
      <c r="A9" s="123"/>
      <c r="B9" s="125"/>
      <c r="C9" s="127"/>
      <c r="D9" s="127"/>
      <c r="E9" s="11">
        <v>0</v>
      </c>
      <c r="F9" s="30"/>
      <c r="G9" s="30"/>
      <c r="H9" s="30"/>
      <c r="I9" s="30"/>
      <c r="J9" s="30">
        <v>1</v>
      </c>
      <c r="K9" s="30">
        <v>1</v>
      </c>
      <c r="L9" s="30">
        <v>1</v>
      </c>
      <c r="M9" s="30"/>
      <c r="N9" s="30"/>
      <c r="O9" s="30"/>
      <c r="Q9" s="30"/>
      <c r="R9" s="12">
        <f ca="1">+TODAY()-1</f>
        <v>41980</v>
      </c>
      <c r="S9" s="11"/>
      <c r="T9" s="30"/>
      <c r="V9" s="30"/>
      <c r="X9" s="30"/>
      <c r="Y9" s="30"/>
      <c r="Z9" s="30"/>
      <c r="AA9" s="30"/>
      <c r="AB9" s="30"/>
      <c r="AC9" s="30"/>
      <c r="AD9" s="30">
        <v>1</v>
      </c>
      <c r="AE9" s="30">
        <v>1</v>
      </c>
      <c r="AF9" s="30">
        <v>1</v>
      </c>
      <c r="AG9" s="30">
        <v>1</v>
      </c>
      <c r="AH9" s="30">
        <v>1</v>
      </c>
      <c r="AI9" s="50"/>
    </row>
    <row r="10" spans="1:61" s="16" customFormat="1" ht="27.95" customHeight="1">
      <c r="A10" s="31">
        <v>270031</v>
      </c>
      <c r="B10" s="23" t="s">
        <v>81</v>
      </c>
      <c r="C10" s="14">
        <v>5</v>
      </c>
      <c r="D10" s="14">
        <v>130</v>
      </c>
      <c r="E10" s="15">
        <f t="shared" ref="E10:E41" si="5">+R10-S10+SUMPRODUCT($F$9:$Q$9,F10:Q10)</f>
        <v>-18</v>
      </c>
      <c r="F10" s="38"/>
      <c r="G10" s="38"/>
      <c r="H10" s="38"/>
      <c r="I10" s="38"/>
      <c r="J10" s="38">
        <v>12</v>
      </c>
      <c r="K10" s="38">
        <v>22</v>
      </c>
      <c r="L10" s="38"/>
      <c r="M10" s="38">
        <v>18</v>
      </c>
      <c r="N10" s="38"/>
      <c r="O10" s="38"/>
      <c r="P10" s="38"/>
      <c r="Q10" s="38">
        <v>9</v>
      </c>
      <c r="R10" s="15">
        <v>6</v>
      </c>
      <c r="S10" s="15">
        <f t="shared" ref="S10:S41" si="6">+SUMPRODUCT(T10:AI10,$T$9:$AI$9)</f>
        <v>58</v>
      </c>
      <c r="T10" s="38"/>
      <c r="U10" s="38"/>
      <c r="V10" s="38"/>
      <c r="W10" s="38">
        <v>9</v>
      </c>
      <c r="X10" s="38"/>
      <c r="Y10" s="38"/>
      <c r="Z10" s="38"/>
      <c r="AA10" s="38"/>
      <c r="AB10" s="38"/>
      <c r="AC10" s="38"/>
      <c r="AD10" s="38"/>
      <c r="AE10" s="38"/>
      <c r="AF10" s="38">
        <v>4</v>
      </c>
      <c r="AG10" s="38">
        <v>27</v>
      </c>
      <c r="AH10" s="38">
        <v>27</v>
      </c>
      <c r="AI10" s="43"/>
    </row>
    <row r="11" spans="1:61" s="16" customFormat="1" ht="27.95" customHeight="1">
      <c r="A11" s="31">
        <v>270029</v>
      </c>
      <c r="B11" s="23" t="s">
        <v>82</v>
      </c>
      <c r="C11" s="14">
        <v>4</v>
      </c>
      <c r="D11" s="14">
        <v>130</v>
      </c>
      <c r="E11" s="15">
        <f t="shared" si="5"/>
        <v>0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15"/>
      <c r="S11" s="15">
        <f t="shared" si="6"/>
        <v>0</v>
      </c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43"/>
    </row>
    <row r="12" spans="1:61" s="16" customFormat="1" ht="27.95" customHeight="1">
      <c r="A12" s="31">
        <v>270030</v>
      </c>
      <c r="B12" s="23" t="s">
        <v>83</v>
      </c>
      <c r="C12" s="14">
        <v>4</v>
      </c>
      <c r="D12" s="14">
        <v>130</v>
      </c>
      <c r="E12" s="15">
        <f t="shared" si="5"/>
        <v>7</v>
      </c>
      <c r="F12" s="38"/>
      <c r="G12" s="38"/>
      <c r="H12" s="38"/>
      <c r="I12" s="38"/>
      <c r="J12" s="38"/>
      <c r="K12" s="38"/>
      <c r="L12" s="38"/>
      <c r="M12" s="38"/>
      <c r="N12" s="38"/>
      <c r="O12" s="38">
        <v>9</v>
      </c>
      <c r="P12" s="38"/>
      <c r="Q12" s="38"/>
      <c r="R12" s="15">
        <f>12+18+15</f>
        <v>45</v>
      </c>
      <c r="S12" s="15">
        <f t="shared" si="6"/>
        <v>38</v>
      </c>
      <c r="T12" s="38"/>
      <c r="U12" s="38">
        <v>10</v>
      </c>
      <c r="V12" s="38">
        <v>3</v>
      </c>
      <c r="W12" s="38"/>
      <c r="X12" s="38"/>
      <c r="Y12" s="38"/>
      <c r="Z12" s="38"/>
      <c r="AA12" s="38"/>
      <c r="AB12" s="38"/>
      <c r="AC12" s="38"/>
      <c r="AD12" s="52">
        <v>12</v>
      </c>
      <c r="AE12" s="38">
        <v>24</v>
      </c>
      <c r="AF12" s="38"/>
      <c r="AG12" s="38"/>
      <c r="AH12" s="38">
        <v>2</v>
      </c>
      <c r="AI12" s="43"/>
    </row>
    <row r="13" spans="1:61" s="19" customFormat="1" ht="27.95" customHeight="1">
      <c r="A13" s="32">
        <v>270027</v>
      </c>
      <c r="B13" s="24" t="s">
        <v>84</v>
      </c>
      <c r="C13" s="17">
        <v>5.3</v>
      </c>
      <c r="D13" s="17">
        <v>155</v>
      </c>
      <c r="E13" s="18">
        <f t="shared" si="5"/>
        <v>0</v>
      </c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0"/>
      <c r="Q13" s="39"/>
      <c r="R13" s="18"/>
      <c r="S13" s="18">
        <f t="shared" si="6"/>
        <v>0</v>
      </c>
      <c r="T13" s="39"/>
      <c r="U13" s="30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44"/>
    </row>
    <row r="14" spans="1:61" s="19" customFormat="1" ht="27.95" customHeight="1">
      <c r="A14" s="32">
        <v>270028</v>
      </c>
      <c r="B14" s="24" t="s">
        <v>85</v>
      </c>
      <c r="C14" s="17">
        <v>5.3</v>
      </c>
      <c r="D14" s="17">
        <v>155</v>
      </c>
      <c r="E14" s="18">
        <f t="shared" si="5"/>
        <v>18</v>
      </c>
      <c r="F14" s="39"/>
      <c r="G14" s="39"/>
      <c r="H14" s="39"/>
      <c r="I14" s="39"/>
      <c r="J14" s="39">
        <v>24</v>
      </c>
      <c r="K14" s="56">
        <v>18</v>
      </c>
      <c r="L14" s="39">
        <v>18</v>
      </c>
      <c r="M14" s="39">
        <v>18</v>
      </c>
      <c r="N14" s="39">
        <v>12</v>
      </c>
      <c r="O14" s="39">
        <v>18</v>
      </c>
      <c r="P14" s="39">
        <v>18</v>
      </c>
      <c r="Q14" s="39"/>
      <c r="R14" s="18">
        <f>12+3+2</f>
        <v>17</v>
      </c>
      <c r="S14" s="18">
        <f t="shared" si="6"/>
        <v>59</v>
      </c>
      <c r="T14" s="39">
        <f>2</f>
        <v>2</v>
      </c>
      <c r="U14" s="56">
        <f>18+8</f>
        <v>26</v>
      </c>
      <c r="V14" s="56">
        <f>12+15</f>
        <v>27</v>
      </c>
      <c r="W14" s="39"/>
      <c r="X14" s="39"/>
      <c r="Y14" s="39"/>
      <c r="Z14" s="39"/>
      <c r="AA14" s="39"/>
      <c r="AB14" s="39"/>
      <c r="AC14" s="39"/>
      <c r="AD14" s="39"/>
      <c r="AE14" s="39"/>
      <c r="AF14" s="39">
        <f>15+9</f>
        <v>24</v>
      </c>
      <c r="AG14" s="39">
        <f>6+9+12</f>
        <v>27</v>
      </c>
      <c r="AH14" s="39">
        <v>8</v>
      </c>
      <c r="AI14" s="44">
        <f>5+12</f>
        <v>17</v>
      </c>
    </row>
    <row r="15" spans="1:61" s="19" customFormat="1" ht="27.95" customHeight="1">
      <c r="A15" s="32">
        <v>270294</v>
      </c>
      <c r="B15" s="24" t="s">
        <v>86</v>
      </c>
      <c r="C15" s="17">
        <v>5.3</v>
      </c>
      <c r="D15" s="17">
        <v>154</v>
      </c>
      <c r="E15" s="18">
        <f t="shared" si="5"/>
        <v>4</v>
      </c>
      <c r="F15" s="39"/>
      <c r="G15" s="39"/>
      <c r="H15" s="39"/>
      <c r="I15" s="39"/>
      <c r="J15" s="39">
        <v>12</v>
      </c>
      <c r="K15" s="39"/>
      <c r="L15" s="39"/>
      <c r="M15" s="39"/>
      <c r="N15" s="39"/>
      <c r="O15" s="39"/>
      <c r="P15" s="39"/>
      <c r="Q15" s="39">
        <v>12</v>
      </c>
      <c r="R15" s="18">
        <f>5+24+24</f>
        <v>53</v>
      </c>
      <c r="S15" s="18">
        <f t="shared" si="6"/>
        <v>61</v>
      </c>
      <c r="T15" s="39"/>
      <c r="U15" s="39"/>
      <c r="V15" s="39"/>
      <c r="W15" s="39">
        <v>10</v>
      </c>
      <c r="X15" s="39"/>
      <c r="Y15" s="39"/>
      <c r="Z15" s="39"/>
      <c r="AA15" s="39"/>
      <c r="AB15" s="39"/>
      <c r="AC15" s="39"/>
      <c r="AD15" s="51">
        <f>12+7</f>
        <v>19</v>
      </c>
      <c r="AE15" s="39">
        <f>21+7+14</f>
        <v>42</v>
      </c>
      <c r="AF15" s="39"/>
      <c r="AG15" s="39"/>
      <c r="AH15" s="39"/>
      <c r="AI15" s="44"/>
    </row>
    <row r="16" spans="1:61" s="19" customFormat="1" ht="27.95" customHeight="1">
      <c r="A16" s="32">
        <v>270026</v>
      </c>
      <c r="B16" s="24" t="s">
        <v>87</v>
      </c>
      <c r="C16" s="17">
        <v>5.2</v>
      </c>
      <c r="D16" s="17">
        <v>155</v>
      </c>
      <c r="E16" s="18">
        <f t="shared" si="5"/>
        <v>0</v>
      </c>
      <c r="F16" s="39"/>
      <c r="G16" s="39"/>
      <c r="H16" s="39"/>
      <c r="I16" s="39"/>
      <c r="J16" s="39">
        <v>19</v>
      </c>
      <c r="K16" s="39">
        <v>15</v>
      </c>
      <c r="L16" s="39"/>
      <c r="M16" s="39"/>
      <c r="N16" s="39">
        <v>18</v>
      </c>
      <c r="O16" s="39">
        <v>18</v>
      </c>
      <c r="P16" s="39"/>
      <c r="Q16" s="39"/>
      <c r="R16" s="18">
        <v>2</v>
      </c>
      <c r="S16" s="18">
        <f t="shared" si="6"/>
        <v>36</v>
      </c>
      <c r="T16" s="39"/>
      <c r="U16" s="39">
        <v>9</v>
      </c>
      <c r="V16" s="39">
        <v>18</v>
      </c>
      <c r="W16" s="39">
        <v>9</v>
      </c>
      <c r="X16" s="39"/>
      <c r="Y16" s="39"/>
      <c r="Z16" s="39"/>
      <c r="AA16" s="39"/>
      <c r="AB16" s="39"/>
      <c r="AC16" s="39"/>
      <c r="AD16" s="39"/>
      <c r="AE16" s="39"/>
      <c r="AF16" s="39">
        <v>18</v>
      </c>
      <c r="AG16" s="39">
        <v>18</v>
      </c>
      <c r="AH16" s="39"/>
      <c r="AI16" s="44"/>
    </row>
    <row r="17" spans="1:35" s="19" customFormat="1" ht="27.95" customHeight="1">
      <c r="A17" s="32">
        <v>270024</v>
      </c>
      <c r="B17" s="24" t="s">
        <v>88</v>
      </c>
      <c r="C17" s="17">
        <v>5.5</v>
      </c>
      <c r="D17" s="17">
        <v>156</v>
      </c>
      <c r="E17" s="21">
        <f t="shared" si="5"/>
        <v>74</v>
      </c>
      <c r="F17" s="40"/>
      <c r="G17" s="40"/>
      <c r="H17" s="40"/>
      <c r="I17" s="40"/>
      <c r="J17" s="40"/>
      <c r="K17" s="40">
        <v>18</v>
      </c>
      <c r="L17" s="40">
        <v>24</v>
      </c>
      <c r="M17" s="40"/>
      <c r="N17" s="40">
        <v>24</v>
      </c>
      <c r="O17" s="40"/>
      <c r="P17" s="39">
        <v>24</v>
      </c>
      <c r="Q17" s="39"/>
      <c r="R17" s="18">
        <f>2+30</f>
        <v>32</v>
      </c>
      <c r="S17" s="18">
        <f t="shared" si="6"/>
        <v>0</v>
      </c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44"/>
    </row>
    <row r="18" spans="1:35" s="19" customFormat="1" ht="27.95" customHeight="1">
      <c r="A18" s="32"/>
      <c r="B18" s="54" t="s">
        <v>89</v>
      </c>
      <c r="C18" s="17"/>
      <c r="D18" s="17">
        <v>180</v>
      </c>
      <c r="E18" s="18">
        <f t="shared" si="5"/>
        <v>-168</v>
      </c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74"/>
      <c r="Q18" s="39"/>
      <c r="R18" s="18">
        <f>45+16</f>
        <v>61</v>
      </c>
      <c r="S18" s="18">
        <f t="shared" si="6"/>
        <v>229</v>
      </c>
      <c r="T18" s="39">
        <f>18+9</f>
        <v>27</v>
      </c>
      <c r="U18" s="39">
        <f>12+6+4+15+3</f>
        <v>40</v>
      </c>
      <c r="V18" s="39">
        <f>12+30+30</f>
        <v>72</v>
      </c>
      <c r="W18" s="39"/>
      <c r="X18" s="39"/>
      <c r="Y18" s="39"/>
      <c r="Z18" s="39"/>
      <c r="AA18" s="39"/>
      <c r="AB18" s="39"/>
      <c r="AC18" s="39"/>
      <c r="AD18" s="51">
        <f>3+30+3</f>
        <v>36</v>
      </c>
      <c r="AE18" s="39">
        <f>30</f>
        <v>30</v>
      </c>
      <c r="AF18" s="39">
        <f>16+20+8</f>
        <v>44</v>
      </c>
      <c r="AG18" s="39">
        <f>12+20+6</f>
        <v>38</v>
      </c>
      <c r="AH18" s="39">
        <f>2+4+30+4+30+3+8</f>
        <v>81</v>
      </c>
      <c r="AI18" s="44">
        <f>3+12+2+4</f>
        <v>21</v>
      </c>
    </row>
    <row r="19" spans="1:35" s="19" customFormat="1" ht="27.95" customHeight="1">
      <c r="A19" s="32"/>
      <c r="B19" s="54" t="s">
        <v>90</v>
      </c>
      <c r="C19" s="17"/>
      <c r="D19" s="17">
        <v>180</v>
      </c>
      <c r="E19" s="18">
        <f t="shared" si="5"/>
        <v>0</v>
      </c>
      <c r="F19" s="39"/>
      <c r="G19" s="39"/>
      <c r="H19" s="39"/>
      <c r="I19" s="39"/>
      <c r="J19" s="39"/>
      <c r="K19" s="74"/>
      <c r="L19" s="77"/>
      <c r="M19" s="74"/>
      <c r="N19" s="39"/>
      <c r="O19" s="39"/>
      <c r="P19" s="39"/>
      <c r="Q19" s="39"/>
      <c r="R19" s="18"/>
      <c r="S19" s="18">
        <f t="shared" si="6"/>
        <v>0</v>
      </c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44"/>
    </row>
    <row r="20" spans="1:35" s="19" customFormat="1" ht="27.95" customHeight="1">
      <c r="A20" s="32">
        <v>270025</v>
      </c>
      <c r="B20" s="24" t="s">
        <v>91</v>
      </c>
      <c r="C20" s="17">
        <v>5.3</v>
      </c>
      <c r="D20" s="17">
        <v>150</v>
      </c>
      <c r="E20" s="18">
        <f t="shared" si="5"/>
        <v>0</v>
      </c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18"/>
      <c r="S20" s="18">
        <f t="shared" si="6"/>
        <v>0</v>
      </c>
      <c r="T20" s="39"/>
      <c r="U20" s="39"/>
      <c r="V20" s="39"/>
      <c r="W20" s="30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44"/>
    </row>
    <row r="21" spans="1:35" s="19" customFormat="1" ht="27.95" customHeight="1">
      <c r="A21" s="32">
        <v>270021</v>
      </c>
      <c r="B21" s="24" t="s">
        <v>92</v>
      </c>
      <c r="C21" s="17">
        <v>5.3</v>
      </c>
      <c r="D21" s="72">
        <v>155.5</v>
      </c>
      <c r="E21" s="18">
        <f t="shared" si="5"/>
        <v>5</v>
      </c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18">
        <v>5</v>
      </c>
      <c r="S21" s="18">
        <f t="shared" si="6"/>
        <v>0</v>
      </c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44"/>
    </row>
    <row r="22" spans="1:35" s="19" customFormat="1" ht="27.95" customHeight="1">
      <c r="A22" s="32"/>
      <c r="B22" s="24" t="s">
        <v>93</v>
      </c>
      <c r="C22" s="17"/>
      <c r="D22" s="17">
        <v>180</v>
      </c>
      <c r="E22" s="18">
        <f t="shared" si="5"/>
        <v>0</v>
      </c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18"/>
      <c r="S22" s="18">
        <f t="shared" si="6"/>
        <v>0</v>
      </c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44"/>
    </row>
    <row r="23" spans="1:35" s="19" customFormat="1" ht="27.95" customHeight="1">
      <c r="A23" s="32">
        <v>270020</v>
      </c>
      <c r="B23" s="24" t="s">
        <v>94</v>
      </c>
      <c r="C23" s="17">
        <v>5.5</v>
      </c>
      <c r="D23" s="73">
        <v>156</v>
      </c>
      <c r="E23" s="21">
        <f t="shared" si="5"/>
        <v>212</v>
      </c>
      <c r="F23" s="40"/>
      <c r="G23" s="40"/>
      <c r="H23" s="40"/>
      <c r="I23" s="40"/>
      <c r="J23" s="40">
        <v>30</v>
      </c>
      <c r="K23" s="40">
        <v>30</v>
      </c>
      <c r="L23" s="40">
        <v>60</v>
      </c>
      <c r="M23" s="40">
        <v>36</v>
      </c>
      <c r="N23" s="40">
        <v>36</v>
      </c>
      <c r="O23" s="40">
        <v>30</v>
      </c>
      <c r="P23" s="40">
        <v>36</v>
      </c>
      <c r="Q23" s="39">
        <v>36</v>
      </c>
      <c r="R23" s="20">
        <f>15+30+21+18+30+12+7</f>
        <v>133</v>
      </c>
      <c r="S23" s="20">
        <f t="shared" si="6"/>
        <v>41</v>
      </c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53">
        <f>1+12</f>
        <v>13</v>
      </c>
      <c r="AE23" s="76">
        <f>3+24</f>
        <v>27</v>
      </c>
      <c r="AF23" s="41"/>
      <c r="AG23" s="41"/>
      <c r="AH23" s="76">
        <v>1</v>
      </c>
      <c r="AI23" s="46"/>
    </row>
    <row r="24" spans="1:35" s="19" customFormat="1" ht="27.95" customHeight="1">
      <c r="A24" s="32"/>
      <c r="B24" s="54" t="s">
        <v>95</v>
      </c>
      <c r="C24" s="17"/>
      <c r="D24" s="17">
        <v>180</v>
      </c>
      <c r="E24" s="21">
        <f t="shared" si="5"/>
        <v>0</v>
      </c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39"/>
      <c r="R24" s="40"/>
      <c r="S24" s="20">
        <f t="shared" si="6"/>
        <v>0</v>
      </c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6"/>
    </row>
    <row r="25" spans="1:35" s="19" customFormat="1" ht="27.95" customHeight="1">
      <c r="A25" s="32"/>
      <c r="B25" s="54" t="s">
        <v>96</v>
      </c>
      <c r="C25" s="17"/>
      <c r="D25" s="17">
        <v>180</v>
      </c>
      <c r="E25" s="21">
        <f t="shared" si="5"/>
        <v>0</v>
      </c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39"/>
      <c r="R25" s="40"/>
      <c r="S25" s="20">
        <f t="shared" si="6"/>
        <v>0</v>
      </c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6"/>
    </row>
    <row r="26" spans="1:35" s="19" customFormat="1" ht="27.95" customHeight="1">
      <c r="A26" s="32"/>
      <c r="B26" s="54" t="s">
        <v>144</v>
      </c>
      <c r="C26" s="17"/>
      <c r="D26" s="17">
        <v>180</v>
      </c>
      <c r="E26" s="21">
        <f t="shared" si="5"/>
        <v>19</v>
      </c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39"/>
      <c r="R26" s="40">
        <f>63+6</f>
        <v>69</v>
      </c>
      <c r="S26" s="20">
        <f t="shared" si="6"/>
        <v>50</v>
      </c>
      <c r="T26" s="41"/>
      <c r="U26" s="41">
        <v>3</v>
      </c>
      <c r="V26" s="41"/>
      <c r="W26" s="41"/>
      <c r="X26" s="41"/>
      <c r="Y26" s="41"/>
      <c r="Z26" s="41"/>
      <c r="AA26" s="41"/>
      <c r="AB26" s="41"/>
      <c r="AC26" s="41"/>
      <c r="AD26" s="53">
        <f>8+6+3</f>
        <v>17</v>
      </c>
      <c r="AE26" s="41">
        <f>24</f>
        <v>24</v>
      </c>
      <c r="AF26" s="41"/>
      <c r="AG26" s="41">
        <v>9</v>
      </c>
      <c r="AH26" s="41"/>
      <c r="AI26" s="46">
        <v>6</v>
      </c>
    </row>
    <row r="27" spans="1:35" s="19" customFormat="1" ht="27.95" customHeight="1">
      <c r="A27" s="32"/>
      <c r="B27" s="54" t="s">
        <v>143</v>
      </c>
      <c r="C27" s="17"/>
      <c r="D27" s="17">
        <v>186</v>
      </c>
      <c r="E27" s="21">
        <f t="shared" si="5"/>
        <v>-81</v>
      </c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39"/>
      <c r="R27" s="20">
        <f>90+16</f>
        <v>106</v>
      </c>
      <c r="S27" s="20">
        <f t="shared" si="6"/>
        <v>187</v>
      </c>
      <c r="T27" s="41">
        <f>12+18+6+21</f>
        <v>57</v>
      </c>
      <c r="U27" s="41">
        <f>15+18+21+2</f>
        <v>56</v>
      </c>
      <c r="V27" s="41">
        <f>3+18</f>
        <v>21</v>
      </c>
      <c r="W27" s="41">
        <f>6+2+9+18+6</f>
        <v>41</v>
      </c>
      <c r="X27" s="41"/>
      <c r="Y27" s="41"/>
      <c r="Z27" s="41"/>
      <c r="AA27" s="41"/>
      <c r="AB27" s="41"/>
      <c r="AC27" s="41"/>
      <c r="AD27" s="53">
        <f>6+9+6+12+6+6+2+3</f>
        <v>50</v>
      </c>
      <c r="AE27" s="41">
        <f>18+21+6</f>
        <v>45</v>
      </c>
      <c r="AF27" s="41">
        <f>1+10</f>
        <v>11</v>
      </c>
      <c r="AG27" s="41">
        <f>6+9+15+4</f>
        <v>34</v>
      </c>
      <c r="AH27" s="41">
        <f>6+3+15+2+12+7+2</f>
        <v>47</v>
      </c>
      <c r="AI27" s="46">
        <f>6+12+9+12+6+18+6+21</f>
        <v>90</v>
      </c>
    </row>
    <row r="28" spans="1:35" s="19" customFormat="1" ht="27.95" customHeight="1">
      <c r="A28" s="32">
        <v>270292</v>
      </c>
      <c r="B28" s="24" t="s">
        <v>97</v>
      </c>
      <c r="C28" s="17">
        <v>5.5</v>
      </c>
      <c r="D28" s="17">
        <v>156</v>
      </c>
      <c r="E28" s="18">
        <f t="shared" si="5"/>
        <v>0</v>
      </c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>
        <v>24</v>
      </c>
      <c r="R28" s="18">
        <f>18+12+6</f>
        <v>36</v>
      </c>
      <c r="S28" s="18">
        <f t="shared" si="6"/>
        <v>36</v>
      </c>
      <c r="T28" s="39"/>
      <c r="U28" s="39"/>
      <c r="V28" s="39">
        <v>3</v>
      </c>
      <c r="W28" s="39">
        <f>6+15</f>
        <v>21</v>
      </c>
      <c r="X28" s="39"/>
      <c r="Y28" s="39"/>
      <c r="Z28" s="39"/>
      <c r="AA28" s="39"/>
      <c r="AB28" s="39"/>
      <c r="AC28" s="39"/>
      <c r="AD28" s="51">
        <f>9+15</f>
        <v>24</v>
      </c>
      <c r="AE28" s="39">
        <v>12</v>
      </c>
      <c r="AF28" s="39"/>
      <c r="AG28" s="39"/>
      <c r="AH28" s="39"/>
      <c r="AI28" s="44"/>
    </row>
    <row r="29" spans="1:35" s="19" customFormat="1" ht="27.95" customHeight="1">
      <c r="A29" s="32">
        <v>270295</v>
      </c>
      <c r="B29" s="24" t="s">
        <v>98</v>
      </c>
      <c r="C29" s="17">
        <v>5.5</v>
      </c>
      <c r="D29" s="17">
        <v>155.80000000000001</v>
      </c>
      <c r="E29" s="18">
        <f t="shared" si="5"/>
        <v>4</v>
      </c>
      <c r="F29" s="39"/>
      <c r="G29" s="39"/>
      <c r="H29" s="39"/>
      <c r="I29" s="39"/>
      <c r="J29" s="39"/>
      <c r="K29" s="39">
        <v>6</v>
      </c>
      <c r="L29" s="39"/>
      <c r="M29" s="39"/>
      <c r="N29" s="39"/>
      <c r="O29" s="39">
        <v>6</v>
      </c>
      <c r="P29" s="39"/>
      <c r="Q29" s="39"/>
      <c r="R29" s="18">
        <f>3+12+1</f>
        <v>16</v>
      </c>
      <c r="S29" s="18">
        <f t="shared" si="6"/>
        <v>18</v>
      </c>
      <c r="T29" s="39"/>
      <c r="U29" s="39">
        <v>8</v>
      </c>
      <c r="V29" s="39"/>
      <c r="W29" s="39">
        <v>3</v>
      </c>
      <c r="X29" s="39"/>
      <c r="Y29" s="39"/>
      <c r="Z29" s="39"/>
      <c r="AA29" s="39"/>
      <c r="AB29" s="39"/>
      <c r="AC29" s="39"/>
      <c r="AD29" s="51">
        <v>2</v>
      </c>
      <c r="AE29" s="39">
        <f>2+3</f>
        <v>5</v>
      </c>
      <c r="AF29" s="39">
        <v>7</v>
      </c>
      <c r="AG29" s="39">
        <v>4</v>
      </c>
      <c r="AH29" s="39"/>
      <c r="AI29" s="44"/>
    </row>
    <row r="30" spans="1:35" s="19" customFormat="1" ht="27.95" customHeight="1">
      <c r="A30" s="32">
        <v>270023</v>
      </c>
      <c r="B30" s="24" t="s">
        <v>99</v>
      </c>
      <c r="C30" s="17">
        <v>5.2</v>
      </c>
      <c r="D30" s="17">
        <v>160</v>
      </c>
      <c r="E30" s="18">
        <f t="shared" si="5"/>
        <v>12</v>
      </c>
      <c r="F30" s="39"/>
      <c r="G30" s="39"/>
      <c r="H30" s="39"/>
      <c r="I30" s="39"/>
      <c r="J30" s="39"/>
      <c r="K30" s="39"/>
      <c r="L30" s="39"/>
      <c r="M30" s="39"/>
      <c r="N30" s="39">
        <v>30</v>
      </c>
      <c r="O30" s="39">
        <v>30</v>
      </c>
      <c r="P30" s="39"/>
      <c r="Q30" s="39"/>
      <c r="R30" s="18">
        <v>12</v>
      </c>
      <c r="S30" s="18">
        <f t="shared" si="6"/>
        <v>0</v>
      </c>
      <c r="T30" s="39">
        <f>27+13</f>
        <v>40</v>
      </c>
      <c r="U30" s="39">
        <f>27+3</f>
        <v>30</v>
      </c>
      <c r="V30" s="39">
        <v>2</v>
      </c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44"/>
    </row>
    <row r="31" spans="1:35" s="19" customFormat="1" ht="27.95" customHeight="1">
      <c r="A31" s="32">
        <v>270017</v>
      </c>
      <c r="B31" s="24" t="s">
        <v>100</v>
      </c>
      <c r="C31" s="17">
        <v>5</v>
      </c>
      <c r="D31" s="17">
        <v>160</v>
      </c>
      <c r="E31" s="18">
        <f t="shared" si="5"/>
        <v>25</v>
      </c>
      <c r="F31" s="39"/>
      <c r="G31" s="39"/>
      <c r="H31" s="39"/>
      <c r="I31" s="39"/>
      <c r="J31" s="39"/>
      <c r="K31" s="39"/>
      <c r="L31" s="39"/>
      <c r="M31" s="39"/>
      <c r="N31" s="39">
        <v>30</v>
      </c>
      <c r="O31" s="39">
        <v>24</v>
      </c>
      <c r="P31" s="39"/>
      <c r="Q31" s="39">
        <v>30</v>
      </c>
      <c r="R31" s="39">
        <f>9+24+18+6</f>
        <v>57</v>
      </c>
      <c r="S31" s="18">
        <f t="shared" si="6"/>
        <v>32</v>
      </c>
      <c r="T31" s="39">
        <f>10+12</f>
        <v>22</v>
      </c>
      <c r="U31" s="39">
        <f>20+8</f>
        <v>28</v>
      </c>
      <c r="V31" s="39">
        <v>12</v>
      </c>
      <c r="W31" s="39">
        <v>30</v>
      </c>
      <c r="X31" s="39"/>
      <c r="Y31" s="39"/>
      <c r="Z31" s="39"/>
      <c r="AA31" s="39"/>
      <c r="AB31" s="39"/>
      <c r="AC31" s="39"/>
      <c r="AD31" s="51"/>
      <c r="AE31" s="39">
        <v>18</v>
      </c>
      <c r="AF31" s="39"/>
      <c r="AG31" s="39"/>
      <c r="AH31" s="39">
        <f>8+6</f>
        <v>14</v>
      </c>
      <c r="AI31" s="44">
        <f>2+9</f>
        <v>11</v>
      </c>
    </row>
    <row r="32" spans="1:35" s="19" customFormat="1" ht="27.95" customHeight="1">
      <c r="A32" s="32">
        <v>270478</v>
      </c>
      <c r="B32" s="24" t="s">
        <v>142</v>
      </c>
      <c r="C32" s="17">
        <v>6</v>
      </c>
      <c r="D32" s="17">
        <v>160</v>
      </c>
      <c r="E32" s="18">
        <f t="shared" si="5"/>
        <v>0</v>
      </c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74"/>
      <c r="R32" s="39">
        <f>1.5+2</f>
        <v>3.5</v>
      </c>
      <c r="S32" s="18">
        <f t="shared" si="6"/>
        <v>3.5</v>
      </c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51">
        <v>2</v>
      </c>
      <c r="AE32" s="39">
        <v>1.5</v>
      </c>
      <c r="AF32" s="39"/>
      <c r="AG32" s="39"/>
      <c r="AH32" s="39"/>
      <c r="AI32" s="44"/>
    </row>
    <row r="33" spans="1:35" s="16" customFormat="1" ht="27.95" customHeight="1">
      <c r="A33" s="31">
        <v>270314</v>
      </c>
      <c r="B33" s="23" t="s">
        <v>101</v>
      </c>
      <c r="C33" s="14">
        <v>4</v>
      </c>
      <c r="D33" s="14">
        <v>157</v>
      </c>
      <c r="E33" s="18">
        <f t="shared" si="5"/>
        <v>-1</v>
      </c>
      <c r="F33" s="38"/>
      <c r="G33" s="38"/>
      <c r="H33" s="38"/>
      <c r="I33" s="48"/>
      <c r="J33" s="48"/>
      <c r="K33" s="48"/>
      <c r="L33" s="48"/>
      <c r="M33" s="48"/>
      <c r="N33" s="48"/>
      <c r="O33" s="48"/>
      <c r="P33" s="48"/>
      <c r="Q33" s="39"/>
      <c r="R33" s="71">
        <f>6+10</f>
        <v>16</v>
      </c>
      <c r="S33" s="49">
        <f t="shared" si="6"/>
        <v>17</v>
      </c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52">
        <v>7</v>
      </c>
      <c r="AE33" s="38">
        <v>10</v>
      </c>
      <c r="AF33" s="38"/>
      <c r="AG33" s="38"/>
      <c r="AH33" s="38"/>
      <c r="AI33" s="43"/>
    </row>
    <row r="34" spans="1:35" s="19" customFormat="1" ht="27.95" customHeight="1">
      <c r="A34" s="32">
        <v>270293</v>
      </c>
      <c r="B34" s="24" t="s">
        <v>102</v>
      </c>
      <c r="C34" s="17">
        <v>5</v>
      </c>
      <c r="D34" s="17">
        <v>160</v>
      </c>
      <c r="E34" s="18">
        <f t="shared" si="5"/>
        <v>-1</v>
      </c>
      <c r="F34" s="39"/>
      <c r="G34" s="39"/>
      <c r="H34" s="39"/>
      <c r="I34" s="40"/>
      <c r="J34" s="40"/>
      <c r="K34" s="40"/>
      <c r="L34" s="40"/>
      <c r="M34" s="40">
        <v>12</v>
      </c>
      <c r="N34" s="40"/>
      <c r="O34" s="40">
        <v>15</v>
      </c>
      <c r="P34" s="40"/>
      <c r="Q34" s="40"/>
      <c r="R34" s="41">
        <f>1+12</f>
        <v>13</v>
      </c>
      <c r="S34" s="20">
        <f t="shared" si="6"/>
        <v>14</v>
      </c>
      <c r="T34" s="39">
        <v>8</v>
      </c>
      <c r="U34" s="39">
        <v>8</v>
      </c>
      <c r="V34" s="39">
        <v>8</v>
      </c>
      <c r="W34" s="39"/>
      <c r="X34" s="39"/>
      <c r="Y34" s="39"/>
      <c r="Z34" s="39"/>
      <c r="AA34" s="39"/>
      <c r="AB34" s="39"/>
      <c r="AC34" s="39"/>
      <c r="AD34" s="51">
        <v>6</v>
      </c>
      <c r="AE34" s="39">
        <v>8</v>
      </c>
      <c r="AF34" s="39"/>
      <c r="AG34" s="39"/>
      <c r="AH34" s="39"/>
      <c r="AI34" s="44">
        <v>3</v>
      </c>
    </row>
    <row r="35" spans="1:35" s="19" customFormat="1" ht="27.95" customHeight="1">
      <c r="A35" s="32">
        <v>270377</v>
      </c>
      <c r="B35" s="24" t="s">
        <v>103</v>
      </c>
      <c r="C35" s="17">
        <v>5.5</v>
      </c>
      <c r="D35" s="17">
        <v>160</v>
      </c>
      <c r="E35" s="18">
        <f t="shared" si="5"/>
        <v>0</v>
      </c>
      <c r="F35" s="39"/>
      <c r="G35" s="39"/>
      <c r="H35" s="39"/>
      <c r="I35" s="40"/>
      <c r="J35" s="40"/>
      <c r="K35" s="40"/>
      <c r="L35" s="40"/>
      <c r="M35" s="40"/>
      <c r="N35" s="40"/>
      <c r="O35" s="40"/>
      <c r="P35" s="40"/>
      <c r="Q35" s="40"/>
      <c r="R35" s="41"/>
      <c r="S35" s="20">
        <f t="shared" si="6"/>
        <v>0</v>
      </c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44"/>
    </row>
    <row r="36" spans="1:35" s="19" customFormat="1" ht="27.95" customHeight="1">
      <c r="A36" s="32">
        <v>270437</v>
      </c>
      <c r="B36" s="24" t="s">
        <v>104</v>
      </c>
      <c r="C36" s="17">
        <v>5.5</v>
      </c>
      <c r="D36" s="17">
        <v>160</v>
      </c>
      <c r="E36" s="21">
        <f t="shared" si="5"/>
        <v>0</v>
      </c>
      <c r="F36" s="39"/>
      <c r="G36" s="39"/>
      <c r="H36" s="39"/>
      <c r="I36" s="40"/>
      <c r="J36" s="79">
        <v>6</v>
      </c>
      <c r="K36" s="40"/>
      <c r="L36" s="40"/>
      <c r="M36" s="40"/>
      <c r="N36" s="40"/>
      <c r="O36" s="40"/>
      <c r="P36" s="40"/>
      <c r="Q36" s="40"/>
      <c r="R36" s="41"/>
      <c r="S36" s="20">
        <f t="shared" si="6"/>
        <v>6</v>
      </c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>
        <v>2</v>
      </c>
      <c r="AG36" s="39">
        <v>4</v>
      </c>
      <c r="AH36" s="39"/>
      <c r="AI36" s="44"/>
    </row>
    <row r="37" spans="1:35" s="19" customFormat="1" ht="27.95" customHeight="1">
      <c r="A37" s="32">
        <v>270018</v>
      </c>
      <c r="B37" s="24" t="s">
        <v>105</v>
      </c>
      <c r="C37" s="17">
        <v>5.2</v>
      </c>
      <c r="D37" s="17">
        <v>159.5</v>
      </c>
      <c r="E37" s="21">
        <f t="shared" si="5"/>
        <v>20</v>
      </c>
      <c r="F37" s="39"/>
      <c r="G37" s="39"/>
      <c r="H37" s="39"/>
      <c r="I37" s="40"/>
      <c r="J37" s="40">
        <v>36</v>
      </c>
      <c r="K37" s="79">
        <v>30</v>
      </c>
      <c r="L37" s="40">
        <v>36</v>
      </c>
      <c r="M37" s="40">
        <v>36</v>
      </c>
      <c r="N37" s="40"/>
      <c r="O37" s="79">
        <v>24</v>
      </c>
      <c r="P37" s="79">
        <v>24</v>
      </c>
      <c r="Q37" s="40">
        <v>30</v>
      </c>
      <c r="R37" s="40">
        <f>6+24+15</f>
        <v>45</v>
      </c>
      <c r="S37" s="20">
        <f t="shared" si="6"/>
        <v>127</v>
      </c>
      <c r="T37" s="39">
        <f>16+6</f>
        <v>22</v>
      </c>
      <c r="U37" s="39"/>
      <c r="V37" s="39">
        <f>30</f>
        <v>30</v>
      </c>
      <c r="W37" s="39">
        <v>30</v>
      </c>
      <c r="X37" s="39"/>
      <c r="Y37" s="39"/>
      <c r="Z37" s="39"/>
      <c r="AA37" s="39"/>
      <c r="AB37" s="39"/>
      <c r="AC37" s="39"/>
      <c r="AD37" s="51">
        <f>2+2+20</f>
        <v>24</v>
      </c>
      <c r="AE37" s="39"/>
      <c r="AF37" s="39">
        <f>10+9+8</f>
        <v>27</v>
      </c>
      <c r="AG37" s="39">
        <f>30+12+9+4</f>
        <v>55</v>
      </c>
      <c r="AH37" s="39">
        <f>16+3+2</f>
        <v>21</v>
      </c>
      <c r="AI37" s="44">
        <f>18+2+16+5+3</f>
        <v>44</v>
      </c>
    </row>
    <row r="38" spans="1:35" s="19" customFormat="1" ht="27.95" customHeight="1">
      <c r="A38" s="32"/>
      <c r="B38" s="24" t="s">
        <v>106</v>
      </c>
      <c r="C38" s="17">
        <v>5.2</v>
      </c>
      <c r="D38" s="17">
        <v>160</v>
      </c>
      <c r="E38" s="21">
        <f t="shared" si="5"/>
        <v>0</v>
      </c>
      <c r="F38" s="39"/>
      <c r="G38" s="39"/>
      <c r="H38" s="39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20">
        <f t="shared" si="6"/>
        <v>0</v>
      </c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44"/>
    </row>
    <row r="39" spans="1:35" s="19" customFormat="1" ht="27.95" customHeight="1">
      <c r="A39" s="32">
        <v>270082</v>
      </c>
      <c r="B39" s="24" t="s">
        <v>107</v>
      </c>
      <c r="C39" s="17">
        <v>5</v>
      </c>
      <c r="D39" s="17">
        <v>159</v>
      </c>
      <c r="E39" s="18">
        <f t="shared" si="5"/>
        <v>0</v>
      </c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18"/>
      <c r="S39" s="18">
        <f t="shared" si="6"/>
        <v>0</v>
      </c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44"/>
    </row>
    <row r="40" spans="1:35" s="16" customFormat="1" ht="27.75" customHeight="1">
      <c r="A40" s="31">
        <v>270019</v>
      </c>
      <c r="B40" s="23" t="s">
        <v>108</v>
      </c>
      <c r="C40" s="14">
        <v>4.5</v>
      </c>
      <c r="D40" s="14">
        <v>140</v>
      </c>
      <c r="E40" s="15">
        <f t="shared" si="5"/>
        <v>1</v>
      </c>
      <c r="F40" s="38"/>
      <c r="G40" s="38"/>
      <c r="H40" s="38"/>
      <c r="I40" s="38"/>
      <c r="J40" s="38"/>
      <c r="K40" s="38">
        <v>10</v>
      </c>
      <c r="L40" s="38"/>
      <c r="M40" s="38"/>
      <c r="N40" s="38">
        <v>8</v>
      </c>
      <c r="O40" s="38"/>
      <c r="P40" s="38"/>
      <c r="Q40" s="38"/>
      <c r="R40" s="15">
        <v>1</v>
      </c>
      <c r="S40" s="15">
        <f t="shared" si="6"/>
        <v>10</v>
      </c>
      <c r="T40" s="38">
        <v>6</v>
      </c>
      <c r="U40" s="38">
        <v>2</v>
      </c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>
        <v>3</v>
      </c>
      <c r="AH40" s="38">
        <v>7</v>
      </c>
      <c r="AI40" s="43"/>
    </row>
    <row r="41" spans="1:35" s="19" customFormat="1" ht="27.95" customHeight="1">
      <c r="A41" s="32">
        <v>270130</v>
      </c>
      <c r="B41" s="24" t="s">
        <v>109</v>
      </c>
      <c r="C41" s="17">
        <v>5.5</v>
      </c>
      <c r="D41" s="72">
        <v>162.5</v>
      </c>
      <c r="E41" s="18">
        <f t="shared" si="5"/>
        <v>0</v>
      </c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18"/>
      <c r="S41" s="18">
        <f t="shared" si="6"/>
        <v>0</v>
      </c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44"/>
    </row>
    <row r="42" spans="1:35" s="19" customFormat="1" ht="27.95" customHeight="1">
      <c r="A42" s="32">
        <v>270317</v>
      </c>
      <c r="B42" s="24" t="s">
        <v>110</v>
      </c>
      <c r="C42" s="17">
        <v>5.5</v>
      </c>
      <c r="D42" s="17">
        <v>163</v>
      </c>
      <c r="E42" s="18">
        <f t="shared" ref="E42:E73" si="7">+R42-S42+SUMPRODUCT($F$9:$Q$9,F42:Q42)</f>
        <v>0</v>
      </c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18"/>
      <c r="S42" s="18">
        <f t="shared" ref="S42:S74" si="8">+SUMPRODUCT(T42:AI42,$T$9:$AI$9)</f>
        <v>0</v>
      </c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44"/>
    </row>
    <row r="43" spans="1:35" s="16" customFormat="1" ht="27.95" customHeight="1">
      <c r="A43" s="31">
        <v>270049</v>
      </c>
      <c r="B43" s="23" t="s">
        <v>111</v>
      </c>
      <c r="C43" s="14"/>
      <c r="D43" s="14"/>
      <c r="E43" s="15">
        <f t="shared" si="7"/>
        <v>0</v>
      </c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15"/>
      <c r="S43" s="15">
        <f t="shared" si="8"/>
        <v>0</v>
      </c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43"/>
    </row>
    <row r="44" spans="1:35" s="16" customFormat="1" ht="27.95" customHeight="1">
      <c r="A44" s="31">
        <v>270050</v>
      </c>
      <c r="B44" s="23" t="s">
        <v>33</v>
      </c>
      <c r="C44" s="14"/>
      <c r="D44" s="14"/>
      <c r="E44" s="15">
        <f t="shared" si="7"/>
        <v>2</v>
      </c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15">
        <v>2</v>
      </c>
      <c r="S44" s="15">
        <f t="shared" si="8"/>
        <v>0</v>
      </c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43"/>
    </row>
    <row r="45" spans="1:35" s="16" customFormat="1" ht="27.95" customHeight="1">
      <c r="A45" s="31">
        <v>270051</v>
      </c>
      <c r="B45" s="23" t="s">
        <v>34</v>
      </c>
      <c r="C45" s="14"/>
      <c r="D45" s="14"/>
      <c r="E45" s="15">
        <f t="shared" si="7"/>
        <v>0</v>
      </c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15"/>
      <c r="S45" s="15">
        <f t="shared" si="8"/>
        <v>0</v>
      </c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43"/>
    </row>
    <row r="46" spans="1:35" s="16" customFormat="1" ht="27.95" customHeight="1">
      <c r="A46" s="31">
        <v>270052</v>
      </c>
      <c r="B46" s="23" t="s">
        <v>35</v>
      </c>
      <c r="C46" s="14"/>
      <c r="D46" s="14"/>
      <c r="E46" s="15">
        <f t="shared" si="7"/>
        <v>0</v>
      </c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15"/>
      <c r="S46" s="15">
        <f t="shared" si="8"/>
        <v>0</v>
      </c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43"/>
    </row>
    <row r="47" spans="1:35" s="16" customFormat="1" ht="27.95" customHeight="1">
      <c r="A47" s="31">
        <v>270057</v>
      </c>
      <c r="B47" s="23" t="s">
        <v>112</v>
      </c>
      <c r="C47" s="14"/>
      <c r="D47" s="14"/>
      <c r="E47" s="15">
        <f t="shared" si="7"/>
        <v>8</v>
      </c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15">
        <f>8+12</f>
        <v>20</v>
      </c>
      <c r="S47" s="15">
        <f t="shared" si="8"/>
        <v>12</v>
      </c>
      <c r="T47" s="38">
        <v>7</v>
      </c>
      <c r="U47" s="38">
        <v>14</v>
      </c>
      <c r="V47" s="38">
        <v>9</v>
      </c>
      <c r="W47" s="38"/>
      <c r="X47" s="38"/>
      <c r="Y47" s="38"/>
      <c r="Z47" s="38"/>
      <c r="AA47" s="38"/>
      <c r="AB47" s="38"/>
      <c r="AC47" s="38"/>
      <c r="AD47" s="52">
        <v>12</v>
      </c>
      <c r="AE47" s="38"/>
      <c r="AF47" s="38"/>
      <c r="AG47" s="38"/>
      <c r="AH47" s="38"/>
      <c r="AI47" s="43"/>
    </row>
    <row r="48" spans="1:35" s="16" customFormat="1" ht="27.95" customHeight="1">
      <c r="A48" s="31">
        <v>270137</v>
      </c>
      <c r="B48" s="23" t="s">
        <v>113</v>
      </c>
      <c r="C48" s="14"/>
      <c r="D48" s="14"/>
      <c r="E48" s="15">
        <f t="shared" si="7"/>
        <v>0</v>
      </c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15"/>
      <c r="S48" s="15">
        <f t="shared" si="8"/>
        <v>0</v>
      </c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75"/>
      <c r="AH48" s="75"/>
      <c r="AI48" s="43"/>
    </row>
    <row r="49" spans="1:35" s="16" customFormat="1" ht="27.95" customHeight="1">
      <c r="A49" s="31">
        <v>270144</v>
      </c>
      <c r="B49" s="23" t="s">
        <v>114</v>
      </c>
      <c r="C49" s="14"/>
      <c r="D49" s="14"/>
      <c r="E49" s="15">
        <f t="shared" si="7"/>
        <v>0</v>
      </c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15"/>
      <c r="S49" s="15">
        <f t="shared" si="8"/>
        <v>0</v>
      </c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43"/>
    </row>
    <row r="50" spans="1:35" s="16" customFormat="1" ht="27.95" customHeight="1">
      <c r="A50" s="31">
        <v>270147</v>
      </c>
      <c r="B50" s="23" t="s">
        <v>115</v>
      </c>
      <c r="C50" s="14"/>
      <c r="D50" s="14"/>
      <c r="E50" s="15">
        <f t="shared" si="7"/>
        <v>0</v>
      </c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15"/>
      <c r="S50" s="15">
        <f t="shared" si="8"/>
        <v>0</v>
      </c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43"/>
    </row>
    <row r="51" spans="1:35" s="16" customFormat="1" ht="27.95" customHeight="1">
      <c r="A51" s="31">
        <v>270157</v>
      </c>
      <c r="B51" s="23" t="s">
        <v>116</v>
      </c>
      <c r="C51" s="14"/>
      <c r="D51" s="14"/>
      <c r="E51" s="15">
        <f t="shared" si="7"/>
        <v>0</v>
      </c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15"/>
      <c r="S51" s="15">
        <f t="shared" si="8"/>
        <v>0</v>
      </c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43"/>
    </row>
    <row r="52" spans="1:35" s="16" customFormat="1" ht="27.95" customHeight="1">
      <c r="A52" s="31">
        <v>270167</v>
      </c>
      <c r="B52" s="23" t="s">
        <v>117</v>
      </c>
      <c r="C52" s="14"/>
      <c r="D52" s="14"/>
      <c r="E52" s="15">
        <f t="shared" si="7"/>
        <v>0</v>
      </c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15"/>
      <c r="S52" s="15">
        <f t="shared" si="8"/>
        <v>0</v>
      </c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43"/>
    </row>
    <row r="53" spans="1:35" s="16" customFormat="1" ht="27.95" customHeight="1">
      <c r="A53" s="31">
        <v>270187</v>
      </c>
      <c r="B53" s="23" t="s">
        <v>118</v>
      </c>
      <c r="C53" s="14"/>
      <c r="D53" s="14"/>
      <c r="E53" s="15">
        <f t="shared" si="7"/>
        <v>9</v>
      </c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15">
        <f>2+22</f>
        <v>24</v>
      </c>
      <c r="S53" s="15">
        <f t="shared" si="8"/>
        <v>15</v>
      </c>
      <c r="T53" s="38">
        <v>9</v>
      </c>
      <c r="U53" s="38">
        <v>9</v>
      </c>
      <c r="V53" s="38"/>
      <c r="W53" s="38"/>
      <c r="X53" s="38"/>
      <c r="Y53" s="38"/>
      <c r="Z53" s="38"/>
      <c r="AA53" s="38"/>
      <c r="AB53" s="38"/>
      <c r="AC53" s="38"/>
      <c r="AD53" s="52">
        <v>6</v>
      </c>
      <c r="AE53" s="38">
        <v>9</v>
      </c>
      <c r="AF53" s="38"/>
      <c r="AG53" s="38"/>
      <c r="AH53" s="38"/>
      <c r="AI53" s="43">
        <v>4</v>
      </c>
    </row>
    <row r="54" spans="1:35" s="16" customFormat="1" ht="27.95" customHeight="1">
      <c r="A54" s="31">
        <v>270277</v>
      </c>
      <c r="B54" s="23" t="s">
        <v>119</v>
      </c>
      <c r="C54" s="14"/>
      <c r="D54" s="14"/>
      <c r="E54" s="15">
        <f t="shared" si="7"/>
        <v>1</v>
      </c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15">
        <v>1</v>
      </c>
      <c r="S54" s="15">
        <f t="shared" si="8"/>
        <v>0</v>
      </c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43"/>
    </row>
    <row r="55" spans="1:35" s="16" customFormat="1" ht="27.95" customHeight="1">
      <c r="A55" s="31">
        <v>270287</v>
      </c>
      <c r="B55" s="23" t="s">
        <v>38</v>
      </c>
      <c r="C55" s="14"/>
      <c r="D55" s="14"/>
      <c r="E55" s="15">
        <f t="shared" si="7"/>
        <v>0</v>
      </c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15"/>
      <c r="S55" s="15">
        <f t="shared" si="8"/>
        <v>0</v>
      </c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43"/>
    </row>
    <row r="56" spans="1:35" s="16" customFormat="1" ht="27.95" customHeight="1">
      <c r="A56" s="31">
        <v>270290</v>
      </c>
      <c r="B56" s="23" t="s">
        <v>120</v>
      </c>
      <c r="C56" s="14"/>
      <c r="D56" s="14"/>
      <c r="E56" s="15">
        <f t="shared" si="7"/>
        <v>0</v>
      </c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15"/>
      <c r="S56" s="15">
        <f t="shared" si="8"/>
        <v>0</v>
      </c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43"/>
    </row>
    <row r="57" spans="1:35" s="16" customFormat="1" ht="27.95" customHeight="1">
      <c r="A57" s="31">
        <v>270302</v>
      </c>
      <c r="B57" s="23" t="s">
        <v>121</v>
      </c>
      <c r="C57" s="14"/>
      <c r="D57" s="14"/>
      <c r="E57" s="15">
        <f t="shared" si="7"/>
        <v>0</v>
      </c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15"/>
      <c r="S57" s="15">
        <f t="shared" si="8"/>
        <v>0</v>
      </c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43"/>
    </row>
    <row r="58" spans="1:35" s="16" customFormat="1" ht="27.95" customHeight="1">
      <c r="A58" s="31">
        <v>270315</v>
      </c>
      <c r="B58" s="23" t="s">
        <v>39</v>
      </c>
      <c r="C58" s="14"/>
      <c r="D58" s="14"/>
      <c r="E58" s="15">
        <f t="shared" si="7"/>
        <v>0</v>
      </c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15"/>
      <c r="S58" s="15">
        <f t="shared" si="8"/>
        <v>0</v>
      </c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43"/>
    </row>
    <row r="59" spans="1:35" s="16" customFormat="1" ht="27.95" customHeight="1">
      <c r="A59" s="31">
        <v>270389</v>
      </c>
      <c r="B59" s="23" t="s">
        <v>67</v>
      </c>
      <c r="C59" s="14"/>
      <c r="D59" s="14"/>
      <c r="E59" s="15">
        <f t="shared" si="7"/>
        <v>-2</v>
      </c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15">
        <f>3+18</f>
        <v>21</v>
      </c>
      <c r="S59" s="15">
        <f t="shared" si="8"/>
        <v>23</v>
      </c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52">
        <v>13</v>
      </c>
      <c r="AE59" s="38">
        <v>10</v>
      </c>
      <c r="AF59" s="38"/>
      <c r="AG59" s="38"/>
      <c r="AH59" s="38"/>
      <c r="AI59" s="43"/>
    </row>
    <row r="60" spans="1:35" s="19" customFormat="1" ht="27.95" customHeight="1">
      <c r="A60" s="32">
        <v>270139</v>
      </c>
      <c r="B60" s="24" t="s">
        <v>122</v>
      </c>
      <c r="C60" s="17"/>
      <c r="D60" s="17"/>
      <c r="E60" s="39">
        <f t="shared" si="7"/>
        <v>1</v>
      </c>
      <c r="F60" s="39"/>
      <c r="G60" s="39"/>
      <c r="H60" s="39"/>
      <c r="I60" s="39"/>
      <c r="J60" s="39"/>
      <c r="K60" s="55"/>
      <c r="L60" s="39"/>
      <c r="M60" s="55"/>
      <c r="N60" s="39"/>
      <c r="O60" s="39"/>
      <c r="P60" s="39"/>
      <c r="Q60" s="39"/>
      <c r="R60" s="18">
        <v>1</v>
      </c>
      <c r="S60" s="18">
        <f t="shared" si="8"/>
        <v>0</v>
      </c>
      <c r="T60" s="39">
        <v>3</v>
      </c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44"/>
    </row>
    <row r="61" spans="1:35" s="19" customFormat="1" ht="27.95" customHeight="1">
      <c r="A61" s="32">
        <v>270040</v>
      </c>
      <c r="B61" s="24" t="s">
        <v>123</v>
      </c>
      <c r="C61" s="17">
        <v>6</v>
      </c>
      <c r="D61" s="17">
        <v>164.5</v>
      </c>
      <c r="E61" s="39">
        <f t="shared" si="7"/>
        <v>0</v>
      </c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18"/>
      <c r="S61" s="18">
        <f t="shared" si="8"/>
        <v>0</v>
      </c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44"/>
    </row>
    <row r="62" spans="1:35" s="19" customFormat="1" ht="27.95" customHeight="1">
      <c r="A62" s="32">
        <v>270036</v>
      </c>
      <c r="B62" s="24" t="s">
        <v>124</v>
      </c>
      <c r="C62" s="17">
        <v>6</v>
      </c>
      <c r="D62" s="17">
        <v>171</v>
      </c>
      <c r="E62" s="39">
        <f t="shared" si="7"/>
        <v>-4</v>
      </c>
      <c r="F62" s="39"/>
      <c r="G62" s="39"/>
      <c r="H62" s="39"/>
      <c r="I62" s="39"/>
      <c r="J62" s="39">
        <v>12</v>
      </c>
      <c r="K62" s="39">
        <v>12</v>
      </c>
      <c r="L62" s="39">
        <v>18</v>
      </c>
      <c r="M62" s="39">
        <v>18</v>
      </c>
      <c r="N62" s="39">
        <v>12</v>
      </c>
      <c r="O62" s="39">
        <v>12</v>
      </c>
      <c r="P62" s="39"/>
      <c r="Q62" s="39"/>
      <c r="R62" s="18">
        <v>12</v>
      </c>
      <c r="S62" s="18">
        <f t="shared" si="8"/>
        <v>58</v>
      </c>
      <c r="T62" s="39">
        <f>7+8</f>
        <v>15</v>
      </c>
      <c r="U62" s="39">
        <v>8</v>
      </c>
      <c r="V62" s="39"/>
      <c r="W62" s="39"/>
      <c r="X62" s="39"/>
      <c r="Y62" s="39"/>
      <c r="Z62" s="39"/>
      <c r="AA62" s="39"/>
      <c r="AB62" s="39"/>
      <c r="AC62" s="39"/>
      <c r="AD62" s="51">
        <f>3</f>
        <v>3</v>
      </c>
      <c r="AE62" s="39">
        <f>8</f>
        <v>8</v>
      </c>
      <c r="AF62" s="39">
        <f>4+10</f>
        <v>14</v>
      </c>
      <c r="AG62" s="39">
        <v>15</v>
      </c>
      <c r="AH62" s="39">
        <f>15+3</f>
        <v>18</v>
      </c>
      <c r="AI62" s="44">
        <f>7+8</f>
        <v>15</v>
      </c>
    </row>
    <row r="63" spans="1:35" s="19" customFormat="1" ht="27.95" customHeight="1">
      <c r="A63" s="32">
        <v>270039</v>
      </c>
      <c r="B63" s="24" t="s">
        <v>125</v>
      </c>
      <c r="C63" s="17">
        <v>5.5</v>
      </c>
      <c r="D63" s="17">
        <v>170</v>
      </c>
      <c r="E63" s="39">
        <f t="shared" si="7"/>
        <v>0</v>
      </c>
      <c r="F63" s="39"/>
      <c r="G63" s="39"/>
      <c r="H63" s="39"/>
      <c r="I63" s="39"/>
      <c r="J63" s="39"/>
      <c r="K63" s="56">
        <v>1</v>
      </c>
      <c r="L63" s="39"/>
      <c r="M63" s="39"/>
      <c r="N63" s="39"/>
      <c r="O63" s="39">
        <v>4</v>
      </c>
      <c r="P63" s="39"/>
      <c r="Q63" s="39"/>
      <c r="R63" s="18"/>
      <c r="S63" s="18">
        <f t="shared" si="8"/>
        <v>1</v>
      </c>
      <c r="T63" s="39">
        <v>2</v>
      </c>
      <c r="U63" s="39">
        <v>2</v>
      </c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56">
        <v>1</v>
      </c>
      <c r="AH63" s="39"/>
      <c r="AI63" s="44"/>
    </row>
    <row r="64" spans="1:35" s="19" customFormat="1" ht="27.95" customHeight="1">
      <c r="A64" s="32">
        <v>270038</v>
      </c>
      <c r="B64" s="24" t="s">
        <v>126</v>
      </c>
      <c r="C64" s="17">
        <v>5.7</v>
      </c>
      <c r="D64" s="17">
        <v>169</v>
      </c>
      <c r="E64" s="39">
        <f t="shared" si="7"/>
        <v>1</v>
      </c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>
        <v>3</v>
      </c>
      <c r="R64" s="39">
        <v>3</v>
      </c>
      <c r="S64" s="18">
        <f t="shared" si="8"/>
        <v>2</v>
      </c>
      <c r="T64" s="56">
        <v>2</v>
      </c>
      <c r="U64" s="39"/>
      <c r="V64" s="39">
        <v>1</v>
      </c>
      <c r="W64" s="39">
        <v>2</v>
      </c>
      <c r="X64" s="39"/>
      <c r="Y64" s="39"/>
      <c r="Z64" s="39"/>
      <c r="AA64" s="39"/>
      <c r="AB64" s="39"/>
      <c r="AC64" s="39"/>
      <c r="AD64" s="51">
        <v>2</v>
      </c>
      <c r="AE64" s="39"/>
      <c r="AF64" s="39"/>
      <c r="AG64" s="39"/>
      <c r="AH64" s="39"/>
      <c r="AI64" s="44"/>
    </row>
    <row r="65" spans="1:35" s="19" customFormat="1" ht="27.95" customHeight="1">
      <c r="A65" s="32">
        <v>270037</v>
      </c>
      <c r="B65" s="24" t="s">
        <v>127</v>
      </c>
      <c r="C65" s="17">
        <v>5.7</v>
      </c>
      <c r="D65" s="17">
        <v>171.5</v>
      </c>
      <c r="E65" s="39">
        <f t="shared" si="7"/>
        <v>0</v>
      </c>
      <c r="F65" s="39"/>
      <c r="G65" s="39"/>
      <c r="H65" s="39"/>
      <c r="I65" s="39"/>
      <c r="J65" s="39">
        <v>6</v>
      </c>
      <c r="K65" s="39">
        <v>6</v>
      </c>
      <c r="L65" s="39"/>
      <c r="M65" s="39">
        <v>6</v>
      </c>
      <c r="N65" s="39">
        <v>6</v>
      </c>
      <c r="O65" s="39">
        <v>6</v>
      </c>
      <c r="P65" s="39"/>
      <c r="Q65" s="39">
        <v>6</v>
      </c>
      <c r="R65" s="39">
        <f>1+9+6</f>
        <v>16</v>
      </c>
      <c r="S65" s="18">
        <f t="shared" si="8"/>
        <v>28</v>
      </c>
      <c r="T65" s="39">
        <v>4</v>
      </c>
      <c r="U65" s="39">
        <f>4+4</f>
        <v>8</v>
      </c>
      <c r="V65" s="39">
        <v>4</v>
      </c>
      <c r="W65" s="39"/>
      <c r="X65" s="39"/>
      <c r="Y65" s="39"/>
      <c r="Z65" s="39"/>
      <c r="AA65" s="39"/>
      <c r="AB65" s="39"/>
      <c r="AC65" s="39"/>
      <c r="AD65" s="51">
        <f>3+3</f>
        <v>6</v>
      </c>
      <c r="AE65" s="39">
        <f>4+2</f>
        <v>6</v>
      </c>
      <c r="AF65" s="39">
        <f>13</f>
        <v>13</v>
      </c>
      <c r="AG65" s="39">
        <v>3</v>
      </c>
      <c r="AH65" s="39"/>
      <c r="AI65" s="44">
        <f>2+2</f>
        <v>4</v>
      </c>
    </row>
    <row r="66" spans="1:35" s="19" customFormat="1" ht="27.95" customHeight="1">
      <c r="A66" s="32">
        <v>270033</v>
      </c>
      <c r="B66" s="24" t="s">
        <v>128</v>
      </c>
      <c r="C66" s="17">
        <v>5.7</v>
      </c>
      <c r="D66" s="17">
        <v>169</v>
      </c>
      <c r="E66" s="39">
        <f t="shared" si="7"/>
        <v>0</v>
      </c>
      <c r="F66" s="39"/>
      <c r="G66" s="39"/>
      <c r="H66" s="39"/>
      <c r="I66" s="39"/>
      <c r="J66" s="39">
        <v>4</v>
      </c>
      <c r="K66" s="39"/>
      <c r="L66" s="39">
        <v>8</v>
      </c>
      <c r="M66" s="39"/>
      <c r="N66" s="39"/>
      <c r="O66" s="39"/>
      <c r="P66" s="39"/>
      <c r="Q66" s="39"/>
      <c r="R66" s="39">
        <v>2</v>
      </c>
      <c r="S66" s="18">
        <f t="shared" si="8"/>
        <v>14</v>
      </c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51">
        <v>1</v>
      </c>
      <c r="AE66" s="56">
        <f>1+4</f>
        <v>5</v>
      </c>
      <c r="AF66" s="39"/>
      <c r="AG66" s="39">
        <v>1</v>
      </c>
      <c r="AH66" s="39">
        <f>1+2+4</f>
        <v>7</v>
      </c>
      <c r="AI66" s="44"/>
    </row>
    <row r="67" spans="1:35" s="19" customFormat="1" ht="27.95" customHeight="1">
      <c r="A67" s="32">
        <v>270257</v>
      </c>
      <c r="B67" s="24" t="s">
        <v>129</v>
      </c>
      <c r="C67" s="17">
        <v>6</v>
      </c>
      <c r="D67" s="17">
        <v>163</v>
      </c>
      <c r="E67" s="39">
        <f t="shared" si="7"/>
        <v>0</v>
      </c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18"/>
      <c r="S67" s="18">
        <f t="shared" si="8"/>
        <v>0</v>
      </c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44"/>
    </row>
    <row r="68" spans="1:35" s="19" customFormat="1" ht="27.95" customHeight="1">
      <c r="A68" s="32">
        <v>270035</v>
      </c>
      <c r="B68" s="24" t="s">
        <v>130</v>
      </c>
      <c r="C68" s="17">
        <v>6</v>
      </c>
      <c r="D68" s="17">
        <v>170</v>
      </c>
      <c r="E68" s="39">
        <f t="shared" si="7"/>
        <v>3</v>
      </c>
      <c r="F68" s="39"/>
      <c r="G68" s="39"/>
      <c r="H68" s="39"/>
      <c r="I68" s="39"/>
      <c r="J68" s="39"/>
      <c r="K68" s="39"/>
      <c r="L68" s="39"/>
      <c r="M68" s="39">
        <v>6</v>
      </c>
      <c r="N68" s="39">
        <v>6</v>
      </c>
      <c r="O68" s="39">
        <v>6</v>
      </c>
      <c r="P68" s="39">
        <v>6</v>
      </c>
      <c r="Q68" s="39"/>
      <c r="R68" s="39">
        <f>1+9+8+3</f>
        <v>21</v>
      </c>
      <c r="S68" s="18">
        <f t="shared" si="8"/>
        <v>18</v>
      </c>
      <c r="T68" s="39">
        <v>3</v>
      </c>
      <c r="U68" s="39">
        <f>4+1+0.5</f>
        <v>5.5</v>
      </c>
      <c r="V68" s="39">
        <f>7+1</f>
        <v>8</v>
      </c>
      <c r="W68" s="39">
        <v>0.5</v>
      </c>
      <c r="X68" s="39"/>
      <c r="Y68" s="39"/>
      <c r="Z68" s="39"/>
      <c r="AA68" s="39"/>
      <c r="AB68" s="39"/>
      <c r="AC68" s="39"/>
      <c r="AD68" s="51">
        <f>7+2</f>
        <v>9</v>
      </c>
      <c r="AE68" s="39">
        <v>7</v>
      </c>
      <c r="AF68" s="39">
        <v>1</v>
      </c>
      <c r="AG68" s="39">
        <v>1</v>
      </c>
      <c r="AH68" s="39"/>
      <c r="AI68" s="44">
        <f>3+4</f>
        <v>7</v>
      </c>
    </row>
    <row r="69" spans="1:35" s="19" customFormat="1" ht="27.95" customHeight="1">
      <c r="A69" s="32">
        <v>270034</v>
      </c>
      <c r="B69" s="24" t="s">
        <v>131</v>
      </c>
      <c r="C69" s="17">
        <v>5.8</v>
      </c>
      <c r="D69" s="17">
        <v>169.5</v>
      </c>
      <c r="E69" s="39">
        <f t="shared" si="7"/>
        <v>0</v>
      </c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18"/>
      <c r="S69" s="18">
        <f t="shared" si="8"/>
        <v>0</v>
      </c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44"/>
    </row>
    <row r="70" spans="1:35" s="19" customFormat="1" ht="27.95" customHeight="1">
      <c r="A70" s="32">
        <v>270232</v>
      </c>
      <c r="B70" s="24" t="s">
        <v>132</v>
      </c>
      <c r="C70" s="17">
        <v>4</v>
      </c>
      <c r="D70" s="17">
        <v>144.5</v>
      </c>
      <c r="E70" s="39">
        <f t="shared" si="7"/>
        <v>6.5</v>
      </c>
      <c r="F70" s="39"/>
      <c r="G70" s="39"/>
      <c r="H70" s="39"/>
      <c r="I70" s="39"/>
      <c r="J70" s="39">
        <v>12</v>
      </c>
      <c r="K70" s="39">
        <v>12</v>
      </c>
      <c r="L70" s="39">
        <v>18</v>
      </c>
      <c r="M70" s="39">
        <v>24</v>
      </c>
      <c r="N70" s="39">
        <v>18</v>
      </c>
      <c r="O70" s="39">
        <v>12</v>
      </c>
      <c r="P70" s="39">
        <v>12</v>
      </c>
      <c r="Q70" s="39">
        <v>18</v>
      </c>
      <c r="R70" s="18">
        <f>11+17+10.5</f>
        <v>38.5</v>
      </c>
      <c r="S70" s="18">
        <f t="shared" si="8"/>
        <v>74</v>
      </c>
      <c r="T70" s="39">
        <f>8+2+3</f>
        <v>13</v>
      </c>
      <c r="U70" s="56">
        <f>6+2</f>
        <v>8</v>
      </c>
      <c r="V70" s="56">
        <f>9+3</f>
        <v>12</v>
      </c>
      <c r="W70" s="39">
        <f>8+9+9</f>
        <v>26</v>
      </c>
      <c r="X70" s="39"/>
      <c r="Y70" s="39"/>
      <c r="Z70" s="39"/>
      <c r="AA70" s="39"/>
      <c r="AB70" s="39"/>
      <c r="AC70" s="39"/>
      <c r="AD70" s="51">
        <f>2+4+3+3+1+6</f>
        <v>19</v>
      </c>
      <c r="AE70" s="39">
        <v>12</v>
      </c>
      <c r="AF70" s="39">
        <v>3</v>
      </c>
      <c r="AG70" s="39">
        <f>3+9+4+6</f>
        <v>22</v>
      </c>
      <c r="AH70" s="39">
        <f>5+3+1+1+8</f>
        <v>18</v>
      </c>
      <c r="AI70" s="44">
        <f>5+8+2+4+12</f>
        <v>31</v>
      </c>
    </row>
    <row r="71" spans="1:35" s="19" customFormat="1" ht="27.95" customHeight="1">
      <c r="A71" s="32">
        <v>270131</v>
      </c>
      <c r="B71" s="24" t="s">
        <v>133</v>
      </c>
      <c r="C71" s="17">
        <v>6</v>
      </c>
      <c r="D71" s="17">
        <v>169</v>
      </c>
      <c r="E71" s="39">
        <f t="shared" si="7"/>
        <v>0</v>
      </c>
      <c r="F71" s="39"/>
      <c r="G71" s="39"/>
      <c r="H71" s="39"/>
      <c r="I71" s="39"/>
      <c r="J71" s="39">
        <v>12</v>
      </c>
      <c r="K71" s="39">
        <v>15</v>
      </c>
      <c r="L71" s="39">
        <v>6</v>
      </c>
      <c r="M71" s="39"/>
      <c r="N71" s="39"/>
      <c r="O71" s="39"/>
      <c r="P71" s="39">
        <v>18</v>
      </c>
      <c r="Q71" s="39">
        <v>18</v>
      </c>
      <c r="R71" s="18">
        <f>12+12</f>
        <v>24</v>
      </c>
      <c r="S71" s="18">
        <f t="shared" si="8"/>
        <v>57</v>
      </c>
      <c r="T71" s="39"/>
      <c r="U71" s="39"/>
      <c r="V71" s="39">
        <v>18</v>
      </c>
      <c r="W71" s="39">
        <v>18</v>
      </c>
      <c r="X71" s="39"/>
      <c r="Y71" s="39"/>
      <c r="Z71" s="39"/>
      <c r="AA71" s="39"/>
      <c r="AB71" s="39"/>
      <c r="AC71" s="39"/>
      <c r="AD71" s="51">
        <v>6</v>
      </c>
      <c r="AE71" s="39">
        <v>18</v>
      </c>
      <c r="AF71" s="39">
        <v>15</v>
      </c>
      <c r="AG71" s="39">
        <v>18</v>
      </c>
      <c r="AH71" s="39"/>
      <c r="AI71" s="44"/>
    </row>
    <row r="72" spans="1:35" s="19" customFormat="1" ht="27.95" customHeight="1">
      <c r="A72" s="32">
        <v>270168</v>
      </c>
      <c r="B72" s="24" t="s">
        <v>134</v>
      </c>
      <c r="C72" s="17">
        <v>5.5</v>
      </c>
      <c r="D72" s="17">
        <v>174</v>
      </c>
      <c r="E72" s="39">
        <f t="shared" si="7"/>
        <v>0</v>
      </c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18"/>
      <c r="S72" s="18">
        <f t="shared" si="8"/>
        <v>0</v>
      </c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44"/>
    </row>
    <row r="73" spans="1:35" s="19" customFormat="1" ht="27.95" customHeight="1">
      <c r="A73" s="32">
        <v>270296</v>
      </c>
      <c r="B73" s="24" t="s">
        <v>37</v>
      </c>
      <c r="C73" s="17">
        <v>4</v>
      </c>
      <c r="D73" s="17">
        <v>145</v>
      </c>
      <c r="E73" s="39">
        <f t="shared" si="7"/>
        <v>0</v>
      </c>
      <c r="F73" s="39"/>
      <c r="G73" s="39"/>
      <c r="H73" s="39"/>
      <c r="I73" s="39"/>
      <c r="J73" s="39">
        <v>2</v>
      </c>
      <c r="K73" s="39"/>
      <c r="L73" s="39"/>
      <c r="M73" s="39"/>
      <c r="N73" s="39">
        <v>10</v>
      </c>
      <c r="O73" s="39"/>
      <c r="P73" s="39">
        <v>9</v>
      </c>
      <c r="Q73" s="39"/>
      <c r="R73" s="18">
        <v>8</v>
      </c>
      <c r="S73" s="18">
        <f t="shared" si="8"/>
        <v>10</v>
      </c>
      <c r="T73" s="39">
        <v>6</v>
      </c>
      <c r="U73" s="39">
        <v>6</v>
      </c>
      <c r="V73" s="39">
        <v>6</v>
      </c>
      <c r="W73" s="39"/>
      <c r="X73" s="39"/>
      <c r="Y73" s="39"/>
      <c r="Z73" s="39"/>
      <c r="AA73" s="39"/>
      <c r="AB73" s="39"/>
      <c r="AC73" s="39"/>
      <c r="AD73" s="51">
        <v>4</v>
      </c>
      <c r="AE73" s="39">
        <v>6</v>
      </c>
      <c r="AF73" s="39"/>
      <c r="AG73" s="39"/>
      <c r="AH73" s="39"/>
      <c r="AI73" s="44">
        <v>2</v>
      </c>
    </row>
    <row r="74" spans="1:35" s="19" customFormat="1" ht="27.95" customHeight="1" thickBot="1">
      <c r="A74" s="33">
        <v>270107</v>
      </c>
      <c r="B74" s="34" t="s">
        <v>135</v>
      </c>
      <c r="C74" s="35">
        <v>6.5</v>
      </c>
      <c r="D74" s="35">
        <v>169.5</v>
      </c>
      <c r="E74" s="42">
        <f>+R74-S74+SUMPRODUCT($F$9:$Q$9,F74:Q74)</f>
        <v>0</v>
      </c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36"/>
      <c r="S74" s="36">
        <f t="shared" si="8"/>
        <v>0</v>
      </c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5"/>
    </row>
    <row r="75" spans="1:35" ht="27.95" customHeight="1">
      <c r="C75" s="8" t="s">
        <v>136</v>
      </c>
      <c r="E75" s="8">
        <f t="shared" ref="E75:E80" si="9">SUM(F75:Q75)</f>
        <v>380</v>
      </c>
      <c r="F75" s="8">
        <f>SUM(F61:F74)</f>
        <v>0</v>
      </c>
      <c r="G75" s="8">
        <f>SUM(G61:G74)</f>
        <v>0</v>
      </c>
      <c r="H75" s="8">
        <f>SUM(H61:H74)</f>
        <v>0</v>
      </c>
      <c r="I75" s="8">
        <f>SUM(I61:I74)</f>
        <v>0</v>
      </c>
      <c r="J75" s="8">
        <f>SUM(J61:J74)</f>
        <v>48</v>
      </c>
      <c r="K75" s="8">
        <f t="shared" ref="K75:V75" si="10">SUM(K61:K74)</f>
        <v>46</v>
      </c>
      <c r="L75" s="8">
        <f t="shared" si="10"/>
        <v>50</v>
      </c>
      <c r="M75" s="8">
        <f t="shared" si="10"/>
        <v>54</v>
      </c>
      <c r="N75" s="8">
        <f t="shared" si="10"/>
        <v>52</v>
      </c>
      <c r="O75" s="8">
        <f t="shared" si="10"/>
        <v>40</v>
      </c>
      <c r="P75" s="8">
        <f t="shared" si="10"/>
        <v>45</v>
      </c>
      <c r="Q75" s="8">
        <f t="shared" si="10"/>
        <v>45</v>
      </c>
      <c r="R75" s="8">
        <f t="shared" si="10"/>
        <v>124.5</v>
      </c>
      <c r="S75" s="22">
        <f t="shared" si="10"/>
        <v>262</v>
      </c>
      <c r="T75" s="8">
        <f t="shared" si="10"/>
        <v>45</v>
      </c>
      <c r="U75" s="8">
        <f t="shared" si="10"/>
        <v>37.5</v>
      </c>
      <c r="V75" s="8">
        <f t="shared" si="10"/>
        <v>49</v>
      </c>
      <c r="W75" s="8">
        <f>SUM(W62:W74)</f>
        <v>46.5</v>
      </c>
      <c r="X75" s="8">
        <f t="shared" ref="X75:AH75" si="11">SUM(X62:X74)</f>
        <v>0</v>
      </c>
      <c r="Y75" s="8">
        <f>SUM(Y62:Y74)</f>
        <v>0</v>
      </c>
      <c r="Z75" s="8">
        <f>SUM(Z62:Z74)</f>
        <v>0</v>
      </c>
      <c r="AA75" s="8">
        <f>SUM(AA62:AA74)</f>
        <v>0</v>
      </c>
      <c r="AB75" s="8">
        <f>SUM(AB62:AB74)</f>
        <v>0</v>
      </c>
      <c r="AC75" s="8">
        <f>SUM(AC62:AC74)</f>
        <v>0</v>
      </c>
      <c r="AD75" s="8">
        <f t="shared" si="11"/>
        <v>50</v>
      </c>
      <c r="AE75" s="8">
        <f>SUM(AE62:AE74)</f>
        <v>62</v>
      </c>
      <c r="AF75" s="8">
        <f t="shared" si="11"/>
        <v>46</v>
      </c>
      <c r="AG75" s="8">
        <f t="shared" si="11"/>
        <v>61</v>
      </c>
      <c r="AH75" s="8">
        <f t="shared" si="11"/>
        <v>43</v>
      </c>
      <c r="AI75" s="8">
        <f>SUM(AI61:AI74)</f>
        <v>59</v>
      </c>
    </row>
    <row r="76" spans="1:35" ht="27.95" customHeight="1">
      <c r="C76" s="8" t="s">
        <v>137</v>
      </c>
      <c r="E76" s="8">
        <f t="shared" si="9"/>
        <v>793</v>
      </c>
      <c r="F76" s="22">
        <f t="shared" ref="F76:K76" si="12">F16+F23+F28+F29+F30+F31+F33+F34+F36+F37+F39+F41+F21</f>
        <v>0</v>
      </c>
      <c r="G76" s="22">
        <f t="shared" si="12"/>
        <v>0</v>
      </c>
      <c r="H76" s="22">
        <f t="shared" si="12"/>
        <v>0</v>
      </c>
      <c r="I76" s="22">
        <f t="shared" si="12"/>
        <v>0</v>
      </c>
      <c r="J76" s="22">
        <f t="shared" si="12"/>
        <v>91</v>
      </c>
      <c r="K76" s="22">
        <f t="shared" si="12"/>
        <v>81</v>
      </c>
      <c r="L76" s="22">
        <f t="shared" ref="L76:Q76" si="13">L16+L23+L28+L29+L30+L31+L33+L34+L36+L37+L39+L41+L21</f>
        <v>96</v>
      </c>
      <c r="M76" s="22">
        <f t="shared" si="13"/>
        <v>84</v>
      </c>
      <c r="N76" s="22">
        <f t="shared" si="13"/>
        <v>114</v>
      </c>
      <c r="O76" s="22">
        <f t="shared" si="13"/>
        <v>147</v>
      </c>
      <c r="P76" s="22">
        <f t="shared" si="13"/>
        <v>60</v>
      </c>
      <c r="Q76" s="22">
        <f t="shared" si="13"/>
        <v>120</v>
      </c>
      <c r="R76" s="22">
        <f t="shared" ref="R76:AI76" si="14">R16+R21+R23+R28+R30+R31+R37+R41+R40+R39</f>
        <v>291</v>
      </c>
      <c r="S76" s="22">
        <f t="shared" si="14"/>
        <v>282</v>
      </c>
      <c r="T76" s="22">
        <f t="shared" si="14"/>
        <v>90</v>
      </c>
      <c r="U76" s="22">
        <f t="shared" si="14"/>
        <v>69</v>
      </c>
      <c r="V76" s="22">
        <f t="shared" si="14"/>
        <v>65</v>
      </c>
      <c r="W76" s="22">
        <f t="shared" si="14"/>
        <v>90</v>
      </c>
      <c r="X76" s="22">
        <f t="shared" si="14"/>
        <v>0</v>
      </c>
      <c r="Y76" s="22">
        <f t="shared" si="14"/>
        <v>0</v>
      </c>
      <c r="Z76" s="22">
        <f t="shared" si="14"/>
        <v>0</v>
      </c>
      <c r="AA76" s="22">
        <f t="shared" si="14"/>
        <v>0</v>
      </c>
      <c r="AB76" s="22">
        <f t="shared" si="14"/>
        <v>0</v>
      </c>
      <c r="AC76" s="22">
        <f t="shared" si="14"/>
        <v>0</v>
      </c>
      <c r="AD76" s="22">
        <f t="shared" si="14"/>
        <v>61</v>
      </c>
      <c r="AE76" s="22">
        <f>AE16+AE21+AE23+AE28+AE30+AE31+AE37+AE41+AE40+AE39</f>
        <v>57</v>
      </c>
      <c r="AF76" s="22">
        <f>AF16+AF21+AF23+AF28+AF30+AF31+AF37+AF41+AF40+AF39</f>
        <v>45</v>
      </c>
      <c r="AG76" s="22">
        <f t="shared" si="14"/>
        <v>76</v>
      </c>
      <c r="AH76" s="22">
        <f t="shared" si="14"/>
        <v>43</v>
      </c>
      <c r="AI76" s="22">
        <f t="shared" si="14"/>
        <v>55</v>
      </c>
    </row>
    <row r="77" spans="1:35" ht="27.95" customHeight="1">
      <c r="C77" s="8" t="s">
        <v>138</v>
      </c>
      <c r="E77" s="8">
        <f t="shared" si="9"/>
        <v>1173</v>
      </c>
      <c r="F77" s="8">
        <f>SUM(F75:F76)</f>
        <v>0</v>
      </c>
      <c r="G77" s="8">
        <f>SUM(G75:G76)</f>
        <v>0</v>
      </c>
      <c r="H77" s="8">
        <f>SUM(H75:H76)</f>
        <v>0</v>
      </c>
      <c r="I77" s="8">
        <f>SUM(I75:I76)</f>
        <v>0</v>
      </c>
      <c r="J77" s="8">
        <f>SUM(J75:J76)</f>
        <v>139</v>
      </c>
      <c r="K77" s="8">
        <f t="shared" ref="K77:AI77" si="15">SUM(K75:K76)</f>
        <v>127</v>
      </c>
      <c r="L77" s="8">
        <f t="shared" si="15"/>
        <v>146</v>
      </c>
      <c r="M77" s="8">
        <f t="shared" si="15"/>
        <v>138</v>
      </c>
      <c r="N77" s="8">
        <f t="shared" si="15"/>
        <v>166</v>
      </c>
      <c r="O77" s="8">
        <f t="shared" si="15"/>
        <v>187</v>
      </c>
      <c r="P77" s="8">
        <f t="shared" si="15"/>
        <v>105</v>
      </c>
      <c r="Q77" s="8">
        <f t="shared" si="15"/>
        <v>165</v>
      </c>
      <c r="R77" s="8">
        <f t="shared" si="15"/>
        <v>415.5</v>
      </c>
      <c r="S77" s="22">
        <f t="shared" si="15"/>
        <v>544</v>
      </c>
      <c r="T77" s="8">
        <f t="shared" si="15"/>
        <v>135</v>
      </c>
      <c r="U77" s="8">
        <f t="shared" si="15"/>
        <v>106.5</v>
      </c>
      <c r="V77" s="8">
        <f t="shared" si="15"/>
        <v>114</v>
      </c>
      <c r="W77" s="8">
        <f t="shared" si="15"/>
        <v>136.5</v>
      </c>
      <c r="X77" s="8">
        <f t="shared" ref="X77:AH77" si="16">SUM(X75:X76)</f>
        <v>0</v>
      </c>
      <c r="Y77" s="8">
        <f t="shared" si="16"/>
        <v>0</v>
      </c>
      <c r="Z77" s="8">
        <f t="shared" si="16"/>
        <v>0</v>
      </c>
      <c r="AA77" s="8">
        <f>SUM(AA75:AA76)</f>
        <v>0</v>
      </c>
      <c r="AB77" s="8">
        <f>SUM(AB75:AB76)</f>
        <v>0</v>
      </c>
      <c r="AC77" s="8">
        <f t="shared" si="16"/>
        <v>0</v>
      </c>
      <c r="AD77" s="8">
        <f t="shared" si="16"/>
        <v>111</v>
      </c>
      <c r="AE77" s="8">
        <f t="shared" si="16"/>
        <v>119</v>
      </c>
      <c r="AF77" s="8">
        <f t="shared" si="16"/>
        <v>91</v>
      </c>
      <c r="AG77" s="8">
        <f t="shared" si="16"/>
        <v>137</v>
      </c>
      <c r="AH77" s="8">
        <f t="shared" si="16"/>
        <v>86</v>
      </c>
      <c r="AI77" s="8">
        <f t="shared" si="15"/>
        <v>114</v>
      </c>
    </row>
    <row r="78" spans="1:35" ht="27.95" customHeight="1">
      <c r="C78" s="8" t="s">
        <v>139</v>
      </c>
      <c r="E78" s="22">
        <f t="shared" si="9"/>
        <v>347.26666666666671</v>
      </c>
      <c r="F78" s="22">
        <f>(SUM(F10:F41)-(F10+F11+F12+F40)*0.9)/3</f>
        <v>0</v>
      </c>
      <c r="G78" s="22">
        <f>(SUM(G10:G41)-(G10+G11+G12+G40)*0.9)/3</f>
        <v>0</v>
      </c>
      <c r="H78" s="22">
        <f>(SUM(H10:H41)-(H10+H11+H12+H40)*0.9)/3</f>
        <v>0</v>
      </c>
      <c r="I78" s="22">
        <f>(SUM(I10:I41)-(I10+I11+I12+I40)*0.9)/3</f>
        <v>0</v>
      </c>
      <c r="J78" s="22">
        <f>(SUM(J10:J41)-(J10+J11+J12+J40)*0.9)/3</f>
        <v>42.733333333333327</v>
      </c>
      <c r="K78" s="22">
        <f t="shared" ref="K78:R78" si="17">(SUM(K10:K41)-(K10+K11+K12+K40)*0.9)/3</f>
        <v>40.06666666666667</v>
      </c>
      <c r="L78" s="22">
        <f t="shared" si="17"/>
        <v>46</v>
      </c>
      <c r="M78" s="22">
        <f t="shared" si="17"/>
        <v>34.6</v>
      </c>
      <c r="N78" s="22">
        <f t="shared" si="17"/>
        <v>50.266666666666673</v>
      </c>
      <c r="O78" s="22">
        <f t="shared" si="17"/>
        <v>55.300000000000004</v>
      </c>
      <c r="P78" s="22">
        <f t="shared" si="17"/>
        <v>34</v>
      </c>
      <c r="Q78" s="22">
        <f t="shared" si="17"/>
        <v>44.300000000000004</v>
      </c>
      <c r="R78" s="22">
        <f t="shared" si="17"/>
        <v>227.23333333333335</v>
      </c>
      <c r="S78" s="22">
        <f>SUM(S10:S41)/3*0.95</f>
        <v>323.79166666666663</v>
      </c>
      <c r="T78" s="22">
        <f t="shared" ref="T78:AI78" si="18">(SUM(T10:T41))/3*0.95</f>
        <v>58.266666666666666</v>
      </c>
      <c r="U78" s="22">
        <f t="shared" si="18"/>
        <v>69.666666666666657</v>
      </c>
      <c r="V78" s="22">
        <f t="shared" si="18"/>
        <v>62.066666666666656</v>
      </c>
      <c r="W78" s="22">
        <f t="shared" si="18"/>
        <v>48.449999999999996</v>
      </c>
      <c r="X78" s="22">
        <f t="shared" si="18"/>
        <v>0</v>
      </c>
      <c r="Y78" s="22">
        <f t="shared" si="18"/>
        <v>0</v>
      </c>
      <c r="Z78" s="22">
        <f t="shared" si="18"/>
        <v>0</v>
      </c>
      <c r="AA78" s="22">
        <f t="shared" si="18"/>
        <v>0</v>
      </c>
      <c r="AB78" s="22">
        <f t="shared" si="18"/>
        <v>0</v>
      </c>
      <c r="AC78" s="22">
        <f t="shared" si="18"/>
        <v>0</v>
      </c>
      <c r="AD78" s="22">
        <f t="shared" si="18"/>
        <v>67.13333333333334</v>
      </c>
      <c r="AE78" s="22">
        <f>(SUM(AE10:AE41))/3*0.95</f>
        <v>78.058333333333337</v>
      </c>
      <c r="AF78" s="22">
        <f>(SUM(AF10:AF41))/3*0.95</f>
        <v>43.383333333333326</v>
      </c>
      <c r="AG78" s="22">
        <f t="shared" si="18"/>
        <v>69.349999999999994</v>
      </c>
      <c r="AH78" s="22">
        <f t="shared" si="18"/>
        <v>65.86666666666666</v>
      </c>
      <c r="AI78" s="22">
        <f t="shared" si="18"/>
        <v>60.8</v>
      </c>
    </row>
    <row r="79" spans="1:35" ht="27.95" customHeight="1">
      <c r="C79" s="8" t="s">
        <v>140</v>
      </c>
      <c r="E79" s="22">
        <f t="shared" si="9"/>
        <v>175.42222222222222</v>
      </c>
      <c r="F79" s="22">
        <f t="shared" ref="F79:Q79" si="19">IF(F5=0,0,(3-F5)*460/6/3)</f>
        <v>0</v>
      </c>
      <c r="G79" s="22">
        <f t="shared" si="19"/>
        <v>0</v>
      </c>
      <c r="H79" s="22">
        <f t="shared" si="19"/>
        <v>0</v>
      </c>
      <c r="I79" s="22">
        <f t="shared" si="19"/>
        <v>0</v>
      </c>
      <c r="J79" s="22">
        <f t="shared" si="19"/>
        <v>21.566666666666674</v>
      </c>
      <c r="K79" s="22">
        <f t="shared" si="19"/>
        <v>19.383333333333336</v>
      </c>
      <c r="L79" s="22">
        <f t="shared" si="19"/>
        <v>20.766666666666662</v>
      </c>
      <c r="M79" s="22">
        <f t="shared" si="19"/>
        <v>26.400000000000002</v>
      </c>
      <c r="N79" s="22">
        <f t="shared" si="19"/>
        <v>16.477777777777771</v>
      </c>
      <c r="O79" s="22">
        <f t="shared" si="19"/>
        <v>14.944444444444448</v>
      </c>
      <c r="P79" s="22">
        <f t="shared" si="19"/>
        <v>33.43333333333333</v>
      </c>
      <c r="Q79" s="22">
        <f t="shared" si="19"/>
        <v>22.449999999999992</v>
      </c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</row>
    <row r="80" spans="1:35" ht="27.95" customHeight="1">
      <c r="C80" s="8" t="s">
        <v>141</v>
      </c>
      <c r="E80" s="22">
        <f t="shared" si="9"/>
        <v>522.68888888888887</v>
      </c>
      <c r="F80" s="22">
        <f>SUM(F78:F79)</f>
        <v>0</v>
      </c>
      <c r="G80" s="22">
        <f>SUM(G78:G79)</f>
        <v>0</v>
      </c>
      <c r="H80" s="22">
        <f>SUM(H78:H79)</f>
        <v>0</v>
      </c>
      <c r="I80" s="22">
        <f>SUM(I78:I79)</f>
        <v>0</v>
      </c>
      <c r="J80" s="22">
        <f>SUM(J78:J79)</f>
        <v>64.3</v>
      </c>
      <c r="K80" s="22">
        <f t="shared" ref="K80:Q80" si="20">SUM(K78:K79)</f>
        <v>59.45</v>
      </c>
      <c r="L80" s="22">
        <f t="shared" si="20"/>
        <v>66.766666666666666</v>
      </c>
      <c r="M80" s="22">
        <f t="shared" si="20"/>
        <v>61</v>
      </c>
      <c r="N80" s="22">
        <f t="shared" si="20"/>
        <v>66.74444444444444</v>
      </c>
      <c r="O80" s="22">
        <f t="shared" si="20"/>
        <v>70.244444444444454</v>
      </c>
      <c r="P80" s="22">
        <f t="shared" si="20"/>
        <v>67.433333333333337</v>
      </c>
      <c r="Q80" s="22">
        <f t="shared" si="20"/>
        <v>66.75</v>
      </c>
      <c r="R80" s="22"/>
    </row>
    <row r="82" spans="6:23"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</row>
    <row r="83" spans="6:23">
      <c r="W83" s="22"/>
    </row>
    <row r="84" spans="6:23"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</row>
    <row r="85" spans="6:23"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</row>
  </sheetData>
  <mergeCells count="7">
    <mergeCell ref="A5:D5"/>
    <mergeCell ref="A6:D6"/>
    <mergeCell ref="A7:D7"/>
    <mergeCell ref="A8:A9"/>
    <mergeCell ref="B8:B9"/>
    <mergeCell ref="D8:D9"/>
    <mergeCell ref="C8:C9"/>
  </mergeCells>
  <phoneticPr fontId="1" type="noConversion"/>
  <printOptions horizontalCentered="1"/>
  <pageMargins left="0" right="0" top="0.51181102362204722" bottom="0.51181102362204722" header="0.23622047244094491" footer="0.23622047244094491"/>
  <pageSetup paperSize="8" scale="55" orientation="landscape" r:id="rId1"/>
  <headerFooter alignWithMargins="0"/>
  <cellWatches>
    <cellWatch r="AC70"/>
  </cellWatche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O148"/>
  <sheetViews>
    <sheetView showGridLines="0" showZeros="0" zoomScale="80" workbookViewId="0">
      <pane xSplit="2" ySplit="5" topLeftCell="C6" activePane="bottomRight" state="frozen"/>
      <selection pane="topRight" activeCell="F1" sqref="F1"/>
      <selection pane="bottomLeft" activeCell="A6" sqref="A6"/>
      <selection pane="bottomRight" activeCell="C19" sqref="C19"/>
    </sheetView>
  </sheetViews>
  <sheetFormatPr defaultColWidth="6" defaultRowHeight="14.25"/>
  <cols>
    <col min="1" max="1" width="9.375" style="62" bestFit="1" customWidth="1"/>
    <col min="2" max="2" width="10.5" style="62" customWidth="1"/>
    <col min="3" max="4" width="6" style="62" customWidth="1"/>
    <col min="5" max="5" width="9.375" style="62" bestFit="1" customWidth="1"/>
    <col min="6" max="6" width="10.5" style="62" customWidth="1"/>
    <col min="7" max="8" width="6" style="62" customWidth="1"/>
    <col min="9" max="9" width="9.375" style="62" bestFit="1" customWidth="1"/>
    <col min="10" max="10" width="13.375" style="62" bestFit="1" customWidth="1"/>
    <col min="11" max="11" width="8.125" style="62" bestFit="1" customWidth="1"/>
    <col min="12" max="12" width="6" style="62" customWidth="1"/>
    <col min="13" max="13" width="9.375" style="62" bestFit="1" customWidth="1"/>
    <col min="14" max="14" width="13.75" style="62" customWidth="1"/>
    <col min="15" max="15" width="6.5" style="62" bestFit="1" customWidth="1"/>
    <col min="16" max="16384" width="6" style="62"/>
  </cols>
  <sheetData>
    <row r="1" spans="1:15" ht="27.95" customHeight="1">
      <c r="A1" s="128" t="s">
        <v>42</v>
      </c>
      <c r="B1" s="128"/>
      <c r="C1" s="61"/>
      <c r="D1" s="67"/>
      <c r="E1" s="128"/>
      <c r="F1" s="128"/>
      <c r="G1" s="61"/>
    </row>
    <row r="2" spans="1:15" ht="27.95" customHeight="1">
      <c r="A2" s="128">
        <v>0</v>
      </c>
      <c r="B2" s="128"/>
      <c r="C2" s="61"/>
      <c r="D2" s="67"/>
      <c r="E2" s="128"/>
      <c r="F2" s="128"/>
      <c r="G2" s="61"/>
    </row>
    <row r="3" spans="1:15" ht="27.95" customHeight="1">
      <c r="A3" s="128" t="s">
        <v>43</v>
      </c>
      <c r="B3" s="128"/>
      <c r="C3" s="61"/>
      <c r="D3" s="67"/>
      <c r="E3" s="128"/>
      <c r="F3" s="128"/>
      <c r="G3" s="61"/>
    </row>
    <row r="4" spans="1:15" s="63" customFormat="1" ht="27.95" customHeight="1">
      <c r="A4" s="128" t="s">
        <v>0</v>
      </c>
      <c r="B4" s="129" t="s">
        <v>1</v>
      </c>
      <c r="C4" s="60"/>
      <c r="D4" s="68"/>
      <c r="E4" s="128" t="s">
        <v>65</v>
      </c>
      <c r="F4" s="129" t="s">
        <v>66</v>
      </c>
      <c r="G4" s="60"/>
      <c r="I4" s="128" t="s">
        <v>0</v>
      </c>
      <c r="J4" s="129" t="s">
        <v>1</v>
      </c>
      <c r="K4" s="60"/>
      <c r="M4" s="128" t="s">
        <v>0</v>
      </c>
      <c r="N4" s="129" t="s">
        <v>1</v>
      </c>
      <c r="O4" s="60"/>
    </row>
    <row r="5" spans="1:15" s="65" customFormat="1" ht="27.95" customHeight="1">
      <c r="A5" s="128"/>
      <c r="B5" s="129"/>
      <c r="C5" s="64"/>
      <c r="D5" s="69"/>
      <c r="E5" s="128"/>
      <c r="F5" s="129"/>
      <c r="G5" s="64"/>
      <c r="I5" s="128"/>
      <c r="J5" s="129"/>
      <c r="K5" s="64"/>
      <c r="M5" s="128"/>
      <c r="N5" s="129"/>
      <c r="O5" s="64"/>
    </row>
    <row r="6" spans="1:15" ht="27.95" customHeight="1">
      <c r="A6" s="61">
        <f>'1 '!A10</f>
        <v>270031</v>
      </c>
      <c r="B6" s="61" t="str">
        <f>'1 '!B10</f>
        <v>LCS95B</v>
      </c>
      <c r="C6" s="66">
        <f>SUM('1 '!T10:V10,'1 '!AF10:AI10)</f>
        <v>58</v>
      </c>
      <c r="D6" s="70"/>
      <c r="E6" s="61">
        <f>'1 '!A43</f>
        <v>270049</v>
      </c>
      <c r="F6" s="61" t="str">
        <f>'1 '!B43</f>
        <v>CES001</v>
      </c>
      <c r="G6" s="66">
        <f>SUM('1 '!T43:V43,'1 '!AF43:AI43)</f>
        <v>0</v>
      </c>
      <c r="I6" s="61">
        <v>270047</v>
      </c>
      <c r="J6" s="61" t="s">
        <v>3</v>
      </c>
      <c r="K6" s="61">
        <v>20</v>
      </c>
      <c r="M6" s="61">
        <v>270309</v>
      </c>
      <c r="N6" s="61" t="s">
        <v>44</v>
      </c>
      <c r="O6" s="61">
        <v>8</v>
      </c>
    </row>
    <row r="7" spans="1:15" ht="27.95" customHeight="1">
      <c r="A7" s="61">
        <f>'1 '!A11</f>
        <v>270029</v>
      </c>
      <c r="B7" s="61" t="str">
        <f>'1 '!B11</f>
        <v>UVH95</v>
      </c>
      <c r="C7" s="66">
        <f>SUM('1 '!T11:V11,'1 '!AF11:AI11)</f>
        <v>0</v>
      </c>
      <c r="D7" s="70"/>
      <c r="E7" s="61">
        <f>'1 '!A44</f>
        <v>270050</v>
      </c>
      <c r="F7" s="61" t="str">
        <f>'1 '!B44</f>
        <v>CES002</v>
      </c>
      <c r="G7" s="66">
        <f>SUM('1 '!T44:V44,'1 '!AF44:AI44)</f>
        <v>0</v>
      </c>
      <c r="I7" s="61">
        <v>270084</v>
      </c>
      <c r="J7" s="61" t="s">
        <v>45</v>
      </c>
      <c r="K7" s="61">
        <v>20</v>
      </c>
      <c r="M7" s="61">
        <v>270008</v>
      </c>
      <c r="N7" s="61" t="s">
        <v>46</v>
      </c>
      <c r="O7" s="61">
        <v>18</v>
      </c>
    </row>
    <row r="8" spans="1:15" ht="27.95" customHeight="1">
      <c r="A8" s="61">
        <f>'1 '!A12</f>
        <v>270030</v>
      </c>
      <c r="B8" s="61" t="str">
        <f>'1 '!B12</f>
        <v>BF95</v>
      </c>
      <c r="C8" s="66">
        <f>SUM('1 '!T12:V12,'1 '!AF12:AI12)</f>
        <v>15</v>
      </c>
      <c r="D8" s="70"/>
      <c r="E8" s="61">
        <f>'1 '!A45</f>
        <v>270051</v>
      </c>
      <c r="F8" s="61" t="str">
        <f>'1 '!B45</f>
        <v>CES003</v>
      </c>
      <c r="G8" s="66">
        <f>SUM('1 '!T45:V45,'1 '!AF45:AI45)</f>
        <v>0</v>
      </c>
      <c r="I8" s="61">
        <v>270046</v>
      </c>
      <c r="J8" s="61" t="s">
        <v>4</v>
      </c>
      <c r="K8" s="61">
        <v>20</v>
      </c>
      <c r="M8" s="61">
        <v>270005</v>
      </c>
      <c r="N8" s="61" t="s">
        <v>47</v>
      </c>
      <c r="O8" s="61">
        <v>12</v>
      </c>
    </row>
    <row r="9" spans="1:15" ht="27.95" customHeight="1">
      <c r="A9" s="61">
        <f>'1 '!A13</f>
        <v>270027</v>
      </c>
      <c r="B9" s="61" t="str">
        <f>'1 '!B13</f>
        <v>MF85</v>
      </c>
      <c r="C9" s="66">
        <f>SUM('1 '!T13:V13,'1 '!AF13:AI13)</f>
        <v>0</v>
      </c>
      <c r="D9" s="70"/>
      <c r="E9" s="61">
        <f>'1 '!A46</f>
        <v>270052</v>
      </c>
      <c r="F9" s="61" t="str">
        <f>'1 '!B46</f>
        <v>CES004</v>
      </c>
      <c r="G9" s="66">
        <f>SUM('1 '!T46:V46,'1 '!AF46:AI46)</f>
        <v>0</v>
      </c>
      <c r="I9" s="61">
        <v>270045</v>
      </c>
      <c r="J9" s="61" t="s">
        <v>48</v>
      </c>
      <c r="K9" s="61">
        <v>28</v>
      </c>
      <c r="M9" s="61">
        <v>270141</v>
      </c>
      <c r="N9" s="61" t="s">
        <v>49</v>
      </c>
      <c r="O9" s="61">
        <v>12</v>
      </c>
    </row>
    <row r="10" spans="1:15" ht="27.95" customHeight="1">
      <c r="A10" s="61">
        <f>'1 '!A14</f>
        <v>270028</v>
      </c>
      <c r="B10" s="61" t="str">
        <f>'1 '!B14</f>
        <v>SUK85</v>
      </c>
      <c r="C10" s="66">
        <f>SUM('1 '!T14:V14,'1 '!AF14:AI14)</f>
        <v>131</v>
      </c>
      <c r="D10" s="70"/>
      <c r="E10" s="61">
        <f>'1 '!A47</f>
        <v>270057</v>
      </c>
      <c r="F10" s="61" t="str">
        <f>'1 '!B47</f>
        <v>CES009</v>
      </c>
      <c r="G10" s="66">
        <f>SUM('1 '!T47:V47,'1 '!AF47:AI47)</f>
        <v>30</v>
      </c>
      <c r="I10" s="61">
        <v>270143</v>
      </c>
      <c r="J10" s="61" t="s">
        <v>2</v>
      </c>
      <c r="K10" s="61">
        <v>80</v>
      </c>
      <c r="M10" s="61">
        <v>270140</v>
      </c>
      <c r="N10" s="61" t="s">
        <v>50</v>
      </c>
      <c r="O10" s="61">
        <v>40</v>
      </c>
    </row>
    <row r="11" spans="1:15" ht="27.95" customHeight="1">
      <c r="A11" s="61">
        <f>'1 '!A15</f>
        <v>270294</v>
      </c>
      <c r="B11" s="61" t="str">
        <f>'1 '!B15</f>
        <v>DES854</v>
      </c>
      <c r="C11" s="66">
        <f>SUM('1 '!T15:V15,'1 '!AF15:AI15)</f>
        <v>0</v>
      </c>
      <c r="D11" s="70"/>
      <c r="E11" s="61">
        <f>'1 '!A48</f>
        <v>270137</v>
      </c>
      <c r="F11" s="61" t="str">
        <f>'1 '!B48</f>
        <v>CES010</v>
      </c>
      <c r="G11" s="66">
        <f>SUM('1 '!T48:V48,'1 '!AF48:AI48)</f>
        <v>0</v>
      </c>
      <c r="I11" s="61">
        <v>270327</v>
      </c>
      <c r="J11" s="61" t="s">
        <v>51</v>
      </c>
      <c r="K11" s="61"/>
      <c r="M11" s="61">
        <v>270278</v>
      </c>
      <c r="N11" s="61" t="s">
        <v>50</v>
      </c>
      <c r="O11" s="61">
        <v>80</v>
      </c>
    </row>
    <row r="12" spans="1:15" ht="27.95" customHeight="1">
      <c r="A12" s="61">
        <f>'1 '!A16</f>
        <v>270026</v>
      </c>
      <c r="B12" s="61" t="str">
        <f>'1 '!B16</f>
        <v>cos80</v>
      </c>
      <c r="C12" s="66">
        <f>SUM('1 '!T16:V16,'1 '!AF16:AI16)</f>
        <v>63</v>
      </c>
      <c r="D12" s="70"/>
      <c r="E12" s="61">
        <f>'1 '!A49</f>
        <v>270144</v>
      </c>
      <c r="F12" s="61" t="str">
        <f>'1 '!B49</f>
        <v>CES011</v>
      </c>
      <c r="G12" s="66">
        <f>SUM('1 '!T49:V49,'1 '!AF49:AI49)</f>
        <v>0</v>
      </c>
      <c r="I12" s="61">
        <v>270044</v>
      </c>
      <c r="J12" s="61" t="s">
        <v>6</v>
      </c>
      <c r="K12" s="61">
        <v>60</v>
      </c>
      <c r="M12" s="61">
        <v>270061</v>
      </c>
      <c r="N12" s="61" t="s">
        <v>15</v>
      </c>
      <c r="O12" s="61"/>
    </row>
    <row r="13" spans="1:15" ht="27.95" customHeight="1">
      <c r="A13" s="61">
        <f>'1 '!A17</f>
        <v>270024</v>
      </c>
      <c r="B13" s="61" t="str">
        <f>'1 '!B17</f>
        <v>SCM80</v>
      </c>
      <c r="C13" s="66">
        <f>SUM('1 '!T17:V17,'1 '!AF17:AI17)</f>
        <v>0</v>
      </c>
      <c r="D13" s="70"/>
      <c r="E13" s="61">
        <f>'1 '!A50</f>
        <v>270147</v>
      </c>
      <c r="F13" s="61" t="str">
        <f>'1 '!B50</f>
        <v>CES012</v>
      </c>
      <c r="G13" s="66">
        <f>SUM('1 '!T50:V50,'1 '!AF50:AI50)</f>
        <v>0</v>
      </c>
      <c r="I13" s="61">
        <v>270043</v>
      </c>
      <c r="J13" s="61" t="s">
        <v>5</v>
      </c>
      <c r="K13" s="61">
        <v>10</v>
      </c>
      <c r="M13" s="61">
        <v>270065</v>
      </c>
      <c r="N13" s="61" t="s">
        <v>52</v>
      </c>
      <c r="O13" s="61">
        <v>8</v>
      </c>
    </row>
    <row r="14" spans="1:15" ht="27.95" customHeight="1">
      <c r="A14" s="61">
        <f>'1 '!A18</f>
        <v>0</v>
      </c>
      <c r="B14" s="61" t="str">
        <f>'1 '!B18</f>
        <v>DEC803   苏州</v>
      </c>
      <c r="C14" s="66">
        <f>SUM('1 '!T18:V18,'1 '!AF18:AI18)</f>
        <v>323</v>
      </c>
      <c r="D14" s="70"/>
      <c r="E14" s="61">
        <f>'1 '!A51</f>
        <v>270157</v>
      </c>
      <c r="F14" s="61" t="str">
        <f>'1 '!B51</f>
        <v>CES013</v>
      </c>
      <c r="G14" s="66">
        <f>SUM('1 '!T51:V51,'1 '!AF51:AI51)</f>
        <v>0</v>
      </c>
      <c r="I14" s="61">
        <v>270148</v>
      </c>
      <c r="J14" s="61" t="s">
        <v>53</v>
      </c>
      <c r="K14" s="61">
        <v>24</v>
      </c>
      <c r="M14" s="61">
        <v>270000</v>
      </c>
      <c r="N14" s="61" t="s">
        <v>54</v>
      </c>
      <c r="O14" s="61"/>
    </row>
    <row r="15" spans="1:15" ht="27.95" customHeight="1">
      <c r="A15" s="61">
        <f>'1 '!A19</f>
        <v>0</v>
      </c>
      <c r="B15" s="61" t="str">
        <f>'1 '!B19</f>
        <v>DEC803   无锡</v>
      </c>
      <c r="C15" s="66">
        <f>SUM('1 '!T19:V19,'1 '!AF19:AI19)</f>
        <v>0</v>
      </c>
      <c r="D15" s="70"/>
      <c r="E15" s="61">
        <f>'1 '!A52</f>
        <v>270167</v>
      </c>
      <c r="F15" s="61" t="str">
        <f>'1 '!B52</f>
        <v>CES015</v>
      </c>
      <c r="G15" s="66">
        <f>SUM('1 '!T52:V52,'1 '!AF52:AI52)</f>
        <v>0</v>
      </c>
      <c r="I15" s="61">
        <v>270041</v>
      </c>
      <c r="J15" s="61" t="s">
        <v>55</v>
      </c>
      <c r="K15" s="61">
        <v>32</v>
      </c>
      <c r="M15" s="61">
        <v>270001</v>
      </c>
      <c r="N15" s="61" t="s">
        <v>56</v>
      </c>
      <c r="O15" s="61">
        <v>72</v>
      </c>
    </row>
    <row r="16" spans="1:15" ht="27.95" customHeight="1">
      <c r="A16" s="61">
        <f>'1 '!A20</f>
        <v>270025</v>
      </c>
      <c r="B16" s="61" t="str">
        <f>'1 '!B20</f>
        <v>MKT80A</v>
      </c>
      <c r="C16" s="66">
        <f>SUM('1 '!T20:V20,'1 '!AF20:AI20)</f>
        <v>0</v>
      </c>
      <c r="D16" s="70"/>
      <c r="E16" s="61">
        <f>'1 '!A53</f>
        <v>270187</v>
      </c>
      <c r="F16" s="61" t="str">
        <f>'1 '!B53</f>
        <v>CES017</v>
      </c>
      <c r="G16" s="66">
        <f>SUM('1 '!T53:V53,'1 '!AF53:AI53)</f>
        <v>22</v>
      </c>
      <c r="I16" s="61">
        <v>270032</v>
      </c>
      <c r="J16" s="61" t="s">
        <v>57</v>
      </c>
      <c r="K16" s="61">
        <v>24</v>
      </c>
      <c r="M16" s="61">
        <v>270002</v>
      </c>
      <c r="N16" s="61" t="s">
        <v>12</v>
      </c>
      <c r="O16" s="61">
        <v>72</v>
      </c>
    </row>
    <row r="17" spans="1:15" ht="27.95" customHeight="1">
      <c r="A17" s="61">
        <f>'1 '!A21</f>
        <v>270021</v>
      </c>
      <c r="B17" s="61" t="str">
        <f>'1 '!B21</f>
        <v>MKT70b</v>
      </c>
      <c r="C17" s="66">
        <f>SUM('1 '!T21:V21,'1 '!AF21:AI21)</f>
        <v>0</v>
      </c>
      <c r="D17" s="70"/>
      <c r="E17" s="61">
        <f>'1 '!A54</f>
        <v>270277</v>
      </c>
      <c r="F17" s="61" t="str">
        <f>'1 '!B54</f>
        <v>CES019</v>
      </c>
      <c r="G17" s="66">
        <f>SUM('1 '!T54:V54,'1 '!AF54:AI54)</f>
        <v>0</v>
      </c>
      <c r="I17" s="61">
        <v>270098</v>
      </c>
      <c r="J17" s="61" t="s">
        <v>58</v>
      </c>
      <c r="K17" s="61" t="s">
        <v>59</v>
      </c>
      <c r="M17" s="61">
        <v>270068</v>
      </c>
      <c r="N17" s="61" t="s">
        <v>13</v>
      </c>
      <c r="O17" s="61">
        <v>24</v>
      </c>
    </row>
    <row r="18" spans="1:15" ht="27.95" customHeight="1">
      <c r="A18" s="61">
        <f>'1 '!A22</f>
        <v>0</v>
      </c>
      <c r="B18" s="61" t="str">
        <f>'1 '!B22</f>
        <v>DEC702</v>
      </c>
      <c r="C18" s="66">
        <f>SUM('1 '!T22:V22,'1 '!AF22:AI22)</f>
        <v>0</v>
      </c>
      <c r="D18" s="70"/>
      <c r="E18" s="61">
        <f>'1 '!A55</f>
        <v>270287</v>
      </c>
      <c r="F18" s="61" t="str">
        <f>'1 '!B55</f>
        <v>CES020</v>
      </c>
      <c r="G18" s="66">
        <f>SUM('1 '!T55:V55,'1 '!AF55:AI55)</f>
        <v>0</v>
      </c>
      <c r="I18" s="61"/>
      <c r="J18" s="61"/>
      <c r="K18" s="61"/>
      <c r="M18" s="61">
        <v>270011</v>
      </c>
      <c r="N18" s="61" t="s">
        <v>7</v>
      </c>
      <c r="O18" s="61">
        <v>6</v>
      </c>
    </row>
    <row r="19" spans="1:15" ht="27.95" customHeight="1">
      <c r="A19" s="61">
        <f>'1 '!A23</f>
        <v>270020</v>
      </c>
      <c r="B19" s="61" t="str">
        <f>'1 '!B23</f>
        <v>SCM70</v>
      </c>
      <c r="C19" s="66">
        <f>SUM('1 '!T23:V23,'1 '!AF23:AI23)</f>
        <v>1</v>
      </c>
      <c r="D19" s="70"/>
      <c r="E19" s="61">
        <f>'1 '!A56</f>
        <v>270290</v>
      </c>
      <c r="F19" s="61" t="str">
        <f>'1 '!B56</f>
        <v>CES021</v>
      </c>
      <c r="G19" s="66">
        <f>SUM('1 '!T56:V56,'1 '!AF56:AI56)</f>
        <v>0</v>
      </c>
      <c r="I19" s="61"/>
      <c r="J19" s="61"/>
      <c r="K19" s="61"/>
      <c r="M19" s="61">
        <v>270012</v>
      </c>
      <c r="N19" s="61" t="s">
        <v>8</v>
      </c>
      <c r="O19" s="61">
        <v>3</v>
      </c>
    </row>
    <row r="20" spans="1:15" ht="27.95" customHeight="1">
      <c r="A20" s="61">
        <f>'1 '!A24</f>
        <v>0</v>
      </c>
      <c r="B20" s="61" t="str">
        <f>'1 '!B24</f>
        <v>DEC703    过滤</v>
      </c>
      <c r="C20" s="66">
        <f>SUM('1 '!T24:V24,'1 '!AF24:AI24)</f>
        <v>0</v>
      </c>
      <c r="D20" s="70"/>
      <c r="E20" s="61">
        <f>'1 '!A57</f>
        <v>270302</v>
      </c>
      <c r="F20" s="61" t="str">
        <f>'1 '!B57</f>
        <v>CES022</v>
      </c>
      <c r="G20" s="66">
        <f>SUM('1 '!T57:V57,'1 '!AF57:AI57)</f>
        <v>0</v>
      </c>
      <c r="I20" s="61"/>
      <c r="J20" s="61"/>
      <c r="K20" s="61"/>
      <c r="M20" s="61">
        <v>270014</v>
      </c>
      <c r="N20" s="61" t="s">
        <v>9</v>
      </c>
      <c r="O20" s="61">
        <v>6</v>
      </c>
    </row>
    <row r="21" spans="1:15" ht="27.95" customHeight="1">
      <c r="A21" s="61">
        <f>'1 '!A25</f>
        <v>0</v>
      </c>
      <c r="B21" s="61" t="str">
        <f>'1 '!B25</f>
        <v>DEC703    苏州过滤</v>
      </c>
      <c r="C21" s="66">
        <f>SUM('1 '!T25:V25,'1 '!AF25:AI25)</f>
        <v>0</v>
      </c>
      <c r="D21" s="70"/>
      <c r="E21" s="61">
        <f>'1 '!A58</f>
        <v>270315</v>
      </c>
      <c r="F21" s="61" t="str">
        <f>'1 '!B58</f>
        <v>CES023</v>
      </c>
      <c r="G21" s="66">
        <f>SUM('1 '!T58:V58,'1 '!AF58:AI58)</f>
        <v>0</v>
      </c>
      <c r="I21" s="61"/>
      <c r="J21" s="61"/>
      <c r="K21" s="61"/>
      <c r="M21" s="61">
        <v>270015</v>
      </c>
      <c r="N21" s="61" t="s">
        <v>10</v>
      </c>
      <c r="O21" s="61">
        <v>5</v>
      </c>
    </row>
    <row r="22" spans="1:15" ht="27.95" customHeight="1">
      <c r="A22" s="61">
        <f>'1 '!A26</f>
        <v>0</v>
      </c>
      <c r="B22" s="61" t="str">
        <f>'1 '!B26</f>
        <v>DEC706   太仓</v>
      </c>
      <c r="C22" s="66">
        <f>SUM('1 '!T26:V26,'1 '!AF26:AI26)</f>
        <v>18</v>
      </c>
      <c r="D22" s="70"/>
      <c r="E22" s="61">
        <f>'1 '!A59</f>
        <v>270389</v>
      </c>
      <c r="F22" s="61" t="str">
        <f>'1 '!B59</f>
        <v>CES024</v>
      </c>
      <c r="G22" s="66">
        <f>SUM('1 '!T59:V59,'1 '!AF59:AI59)</f>
        <v>0</v>
      </c>
      <c r="I22" s="61"/>
      <c r="J22" s="61"/>
      <c r="K22" s="61"/>
      <c r="M22" s="61">
        <v>270016</v>
      </c>
      <c r="N22" s="61" t="s">
        <v>11</v>
      </c>
      <c r="O22" s="61">
        <v>6</v>
      </c>
    </row>
    <row r="23" spans="1:15" ht="27.95" customHeight="1">
      <c r="A23" s="61">
        <f>'1 '!A27</f>
        <v>0</v>
      </c>
      <c r="B23" s="61" t="str">
        <f>'1 '!B27</f>
        <v>DEC703   太仓</v>
      </c>
      <c r="C23" s="66">
        <f>SUM('1 '!T27:V27,'1 '!AF27:AI27)</f>
        <v>316</v>
      </c>
      <c r="D23" s="70"/>
      <c r="E23" s="61">
        <f>'1 '!A60</f>
        <v>270139</v>
      </c>
      <c r="F23" s="61" t="str">
        <f>'1 '!B60</f>
        <v>SEC291</v>
      </c>
      <c r="G23" s="66">
        <f>SUM('1 '!T60:V60,'1 '!AF60:AI60)</f>
        <v>3</v>
      </c>
      <c r="I23" s="61"/>
      <c r="J23" s="61"/>
      <c r="K23" s="61"/>
      <c r="M23" s="61">
        <v>270128</v>
      </c>
      <c r="N23" s="61" t="s">
        <v>14</v>
      </c>
      <c r="O23" s="61">
        <v>20</v>
      </c>
    </row>
    <row r="24" spans="1:15" ht="27.95" customHeight="1">
      <c r="A24" s="61">
        <f>'1 '!A28</f>
        <v>270292</v>
      </c>
      <c r="B24" s="61" t="str">
        <f>'1 '!B28</f>
        <v>DEC705</v>
      </c>
      <c r="C24" s="66">
        <f>SUM('1 '!T28:V28,'1 '!AF28:AI28)</f>
        <v>3</v>
      </c>
      <c r="D24" s="70"/>
      <c r="E24" s="61">
        <f>'1 '!A61</f>
        <v>270040</v>
      </c>
      <c r="F24" s="61" t="str">
        <f>'1 '!B61</f>
        <v>SP.ALFA</v>
      </c>
      <c r="G24" s="66">
        <f>SUM('1 '!T61:V61,'1 '!AF61:AI61)</f>
        <v>0</v>
      </c>
      <c r="I24" s="61"/>
      <c r="J24" s="61"/>
      <c r="K24" s="61"/>
      <c r="M24" s="61">
        <v>270142</v>
      </c>
      <c r="N24" s="61" t="s">
        <v>60</v>
      </c>
      <c r="O24" s="61">
        <v>18</v>
      </c>
    </row>
    <row r="25" spans="1:15" ht="27.95" customHeight="1">
      <c r="A25" s="61">
        <f>'1 '!A29</f>
        <v>270295</v>
      </c>
      <c r="B25" s="61" t="str">
        <f>'1 '!B29</f>
        <v>DEC704</v>
      </c>
      <c r="C25" s="66">
        <f>SUM('1 '!T29:V29,'1 '!AF29:AI29)</f>
        <v>19</v>
      </c>
      <c r="D25" s="70"/>
      <c r="E25" s="61">
        <f>'1 '!A62</f>
        <v>270036</v>
      </c>
      <c r="F25" s="61" t="str">
        <f>'1 '!B62</f>
        <v>sp.camo</v>
      </c>
      <c r="G25" s="66">
        <f>SUM('1 '!T62:V62,'1 '!AF62:AI62)</f>
        <v>85</v>
      </c>
      <c r="I25" s="61"/>
      <c r="J25" s="61"/>
      <c r="K25" s="61"/>
      <c r="M25" s="61">
        <v>270127</v>
      </c>
      <c r="N25" s="61" t="s">
        <v>61</v>
      </c>
      <c r="O25" s="61">
        <v>32</v>
      </c>
    </row>
    <row r="26" spans="1:15" ht="27.95" customHeight="1">
      <c r="A26" s="61">
        <f>'1 '!A30</f>
        <v>270023</v>
      </c>
      <c r="B26" s="61" t="str">
        <f>'1 '!B30</f>
        <v>WSL70A</v>
      </c>
      <c r="C26" s="66">
        <f>SUM('1 '!T30:V30,'1 '!AF30:AI30)</f>
        <v>72</v>
      </c>
      <c r="D26" s="70"/>
      <c r="E26" s="61">
        <f>'1 '!A63</f>
        <v>270039</v>
      </c>
      <c r="F26" s="61" t="str">
        <f>'1 '!B63</f>
        <v>SP.CHP</v>
      </c>
      <c r="G26" s="66">
        <f>SUM('1 '!T63:V63,'1 '!AF63:AI63)</f>
        <v>5</v>
      </c>
      <c r="I26" s="61"/>
      <c r="J26" s="61"/>
      <c r="K26" s="61"/>
      <c r="M26" s="61">
        <v>270138</v>
      </c>
      <c r="N26" s="61" t="s">
        <v>62</v>
      </c>
      <c r="O26" s="61">
        <v>6</v>
      </c>
    </row>
    <row r="27" spans="1:15" ht="27.95" customHeight="1">
      <c r="A27" s="61">
        <f>'1 '!A31</f>
        <v>270017</v>
      </c>
      <c r="B27" s="61" t="str">
        <f>'1 '!B31</f>
        <v>PROF60</v>
      </c>
      <c r="C27" s="66">
        <f>SUM('1 '!T31:V31,'1 '!AF31:AI31)</f>
        <v>87</v>
      </c>
      <c r="D27" s="70"/>
      <c r="E27" s="61">
        <f>'1 '!A64</f>
        <v>270038</v>
      </c>
      <c r="F27" s="61" t="str">
        <f>'1 '!B64</f>
        <v>sp.scm/do</v>
      </c>
      <c r="G27" s="66">
        <f>SUM('1 '!T64:V64,'1 '!AF64:AI64)</f>
        <v>3</v>
      </c>
      <c r="I27" s="61"/>
      <c r="J27" s="61"/>
      <c r="K27" s="61"/>
      <c r="M27" s="61">
        <v>270006</v>
      </c>
      <c r="N27" s="61" t="s">
        <v>63</v>
      </c>
      <c r="O27" s="61">
        <v>20</v>
      </c>
    </row>
    <row r="28" spans="1:15" ht="27.95" customHeight="1">
      <c r="A28" s="61">
        <f>'1 '!A32</f>
        <v>270478</v>
      </c>
      <c r="B28" s="61" t="str">
        <f>'1 '!B32</f>
        <v>DES702</v>
      </c>
      <c r="C28" s="66">
        <f>SUM('1 '!T32:V32,'1 '!AF32:AI32)</f>
        <v>0</v>
      </c>
      <c r="D28" s="70"/>
      <c r="E28" s="61">
        <f>'1 '!A65</f>
        <v>270037</v>
      </c>
      <c r="F28" s="61" t="str">
        <f>'1 '!B65</f>
        <v>sp.scm/ts</v>
      </c>
      <c r="G28" s="66">
        <f>SUM('1 '!T65:V65,'1 '!AF65:AI65)</f>
        <v>36</v>
      </c>
      <c r="I28" s="61"/>
      <c r="J28" s="61"/>
      <c r="K28" s="61"/>
      <c r="M28" s="61">
        <v>270312</v>
      </c>
      <c r="N28" s="61" t="s">
        <v>41</v>
      </c>
      <c r="O28" s="61"/>
    </row>
    <row r="29" spans="1:15" ht="27.95" customHeight="1">
      <c r="A29" s="61">
        <f>'1 '!A33</f>
        <v>270314</v>
      </c>
      <c r="B29" s="61" t="str">
        <f>'1 '!B33</f>
        <v>EMT65</v>
      </c>
      <c r="C29" s="66">
        <f>SUM('1 '!T33:V33,'1 '!AF33:AI33)</f>
        <v>0</v>
      </c>
      <c r="D29" s="70"/>
      <c r="E29" s="61">
        <f>'1 '!A66</f>
        <v>270033</v>
      </c>
      <c r="F29" s="61" t="str">
        <f>'1 '!B66</f>
        <v>sp.open</v>
      </c>
      <c r="G29" s="66">
        <f>SUM('1 '!T66:V66,'1 '!AF66:AI66)</f>
        <v>8</v>
      </c>
      <c r="I29" s="61"/>
      <c r="J29" s="61"/>
      <c r="K29" s="61"/>
      <c r="M29" s="61">
        <v>270004</v>
      </c>
      <c r="N29" s="61" t="s">
        <v>40</v>
      </c>
      <c r="O29" s="61">
        <v>60</v>
      </c>
    </row>
    <row r="30" spans="1:15" ht="27.95" customHeight="1">
      <c r="A30" s="61">
        <f>'1 '!A34</f>
        <v>270293</v>
      </c>
      <c r="B30" s="61" t="str">
        <f>'1 '!B34</f>
        <v>DES604</v>
      </c>
      <c r="C30" s="66">
        <f>SUM('1 '!T34:V34,'1 '!AF34:AI34)</f>
        <v>27</v>
      </c>
      <c r="D30" s="70"/>
      <c r="E30" s="61">
        <f>'1 '!A67</f>
        <v>270257</v>
      </c>
      <c r="F30" s="61" t="str">
        <f>'1 '!B67</f>
        <v>SES472</v>
      </c>
      <c r="G30" s="66">
        <f>SUM('1 '!T67:V67,'1 '!AF67:AI67)</f>
        <v>0</v>
      </c>
      <c r="I30" s="61"/>
      <c r="J30" s="61"/>
      <c r="K30" s="61"/>
      <c r="M30" s="61">
        <v>270247</v>
      </c>
      <c r="N30" s="61" t="s">
        <v>64</v>
      </c>
      <c r="O30" s="61">
        <v>50</v>
      </c>
    </row>
    <row r="31" spans="1:15" ht="27.95" customHeight="1">
      <c r="A31" s="61">
        <f>'1 '!A35</f>
        <v>270377</v>
      </c>
      <c r="B31" s="61" t="str">
        <f>'1 '!B35</f>
        <v>DEM601</v>
      </c>
      <c r="C31" s="66">
        <f>SUM('1 '!T35:V35,'1 '!AF35:AI35)</f>
        <v>0</v>
      </c>
      <c r="D31" s="70"/>
      <c r="E31" s="61">
        <f>'1 '!A68</f>
        <v>270035</v>
      </c>
      <c r="F31" s="61" t="str">
        <f>'1 '!B68</f>
        <v>SPT/03</v>
      </c>
      <c r="G31" s="66">
        <f>SUM('1 '!T68:V68,'1 '!AF68:AI68)</f>
        <v>25.5</v>
      </c>
      <c r="I31" s="61"/>
      <c r="J31" s="61"/>
      <c r="K31" s="61"/>
      <c r="M31" s="61"/>
      <c r="N31" s="61"/>
      <c r="O31" s="61"/>
    </row>
    <row r="32" spans="1:15" ht="27.95" customHeight="1">
      <c r="A32" s="61">
        <f>'1 '!A36</f>
        <v>270437</v>
      </c>
      <c r="B32" s="61" t="str">
        <f>'1 '!B36</f>
        <v>DEM651</v>
      </c>
      <c r="C32" s="66">
        <f>SUM('1 '!T36:V36,'1 '!AF36:AI36)</f>
        <v>6</v>
      </c>
      <c r="D32" s="70"/>
      <c r="E32" s="61">
        <f>'1 '!A69</f>
        <v>270034</v>
      </c>
      <c r="F32" s="61" t="str">
        <f>'1 '!B69</f>
        <v>sp.hood</v>
      </c>
      <c r="G32" s="66">
        <f>SUM('1 '!T69:V69,'1 '!AF69:AI69)</f>
        <v>0</v>
      </c>
      <c r="I32" s="61"/>
      <c r="J32" s="61"/>
      <c r="K32" s="61"/>
      <c r="M32" s="61"/>
      <c r="N32" s="61"/>
      <c r="O32" s="61"/>
    </row>
    <row r="33" spans="1:15" ht="27.95" customHeight="1">
      <c r="A33" s="61">
        <f>'1 '!A37</f>
        <v>270018</v>
      </c>
      <c r="B33" s="61" t="str">
        <f>'1 '!B37</f>
        <v>SCM60</v>
      </c>
      <c r="C33" s="66">
        <f>SUM('1 '!T37:V37,'1 '!AF37:AI37)</f>
        <v>199</v>
      </c>
      <c r="D33" s="70"/>
      <c r="E33" s="61">
        <f>'1 '!A70</f>
        <v>270232</v>
      </c>
      <c r="F33" s="61" t="str">
        <f>'1 '!B70</f>
        <v>SES401二段</v>
      </c>
      <c r="G33" s="66">
        <f>SUM('1 '!T70:V70,'1 '!AF70:AI70)</f>
        <v>107</v>
      </c>
      <c r="I33" s="61"/>
      <c r="J33" s="61"/>
      <c r="K33" s="61"/>
      <c r="M33" s="61"/>
      <c r="N33" s="61"/>
      <c r="O33" s="61"/>
    </row>
    <row r="34" spans="1:15" ht="27.95" customHeight="1">
      <c r="A34" s="61">
        <f>'1 '!A38</f>
        <v>0</v>
      </c>
      <c r="B34" s="61" t="str">
        <f>'1 '!B38</f>
        <v>DEC601</v>
      </c>
      <c r="C34" s="66">
        <f>SUM('1 '!T38:V38,'1 '!AF38:AI38)</f>
        <v>0</v>
      </c>
      <c r="D34" s="70"/>
      <c r="E34" s="61">
        <f>'1 '!A71</f>
        <v>270131</v>
      </c>
      <c r="F34" s="61" t="str">
        <f>'1 '!B71</f>
        <v>SES402</v>
      </c>
      <c r="G34" s="66">
        <f>SUM('1 '!T71:V71,'1 '!AF71:AI71)</f>
        <v>51</v>
      </c>
      <c r="I34" s="61"/>
      <c r="J34" s="61"/>
      <c r="K34" s="61"/>
      <c r="M34" s="61"/>
      <c r="N34" s="61"/>
      <c r="O34" s="61"/>
    </row>
    <row r="35" spans="1:15" ht="27.95" customHeight="1">
      <c r="A35" s="61">
        <f>'1 '!A39</f>
        <v>270082</v>
      </c>
      <c r="B35" s="61" t="str">
        <f>'1 '!B39</f>
        <v>ROM60</v>
      </c>
      <c r="C35" s="66">
        <f>SUM('1 '!T39:V39,'1 '!AF39:AI39)</f>
        <v>0</v>
      </c>
      <c r="D35" s="70"/>
      <c r="E35" s="61">
        <f>'1 '!A72</f>
        <v>270168</v>
      </c>
      <c r="F35" s="61" t="str">
        <f>'1 '!B72</f>
        <v>SES403</v>
      </c>
      <c r="G35" s="66">
        <f>SUM('1 '!T72:V72,'1 '!AF72:AI72)</f>
        <v>0</v>
      </c>
      <c r="I35" s="61"/>
      <c r="J35" s="61"/>
      <c r="K35" s="61"/>
      <c r="M35" s="61"/>
      <c r="N35" s="61"/>
      <c r="O35" s="61"/>
    </row>
    <row r="36" spans="1:15" ht="27.95" customHeight="1">
      <c r="A36" s="61">
        <f>'1 '!A40</f>
        <v>270019</v>
      </c>
      <c r="B36" s="61" t="str">
        <f>'1 '!B40</f>
        <v>CIS60B</v>
      </c>
      <c r="C36" s="66">
        <f>SUM('1 '!T40:V40,'1 '!AF40:AI40)</f>
        <v>18</v>
      </c>
      <c r="D36" s="70"/>
      <c r="E36" s="61">
        <f>'1 '!A73</f>
        <v>270296</v>
      </c>
      <c r="F36" s="61" t="str">
        <f>'1 '!B73</f>
        <v>SES404</v>
      </c>
      <c r="G36" s="66">
        <f>SUM('1 '!T73:V73,'1 '!AF73:AI73)</f>
        <v>20</v>
      </c>
      <c r="I36" s="61"/>
      <c r="J36" s="61"/>
      <c r="K36" s="61"/>
      <c r="M36" s="61"/>
      <c r="N36" s="61"/>
      <c r="O36" s="61"/>
    </row>
    <row r="37" spans="1:15" ht="27.95" customHeight="1">
      <c r="A37" s="61">
        <f>'1 '!A41</f>
        <v>270130</v>
      </c>
      <c r="B37" s="61" t="str">
        <f>'1 '!B41</f>
        <v>DES401</v>
      </c>
      <c r="C37" s="66">
        <f>SUM('1 '!T41:V41,'1 '!AF41:AI41)</f>
        <v>0</v>
      </c>
      <c r="D37" s="70"/>
      <c r="E37" s="61">
        <f>'1 '!A74</f>
        <v>270107</v>
      </c>
      <c r="F37" s="61" t="str">
        <f>'1 '!B74</f>
        <v>SES373</v>
      </c>
      <c r="G37" s="66">
        <f>SUM('1 '!T74:V74,'1 '!AF74:AI74)</f>
        <v>0</v>
      </c>
      <c r="I37" s="61"/>
      <c r="J37" s="61"/>
      <c r="K37" s="61"/>
      <c r="M37" s="61"/>
      <c r="N37" s="61"/>
      <c r="O37" s="61"/>
    </row>
    <row r="38" spans="1:15" ht="27.95" customHeight="1">
      <c r="A38" s="61">
        <f>'1 '!A42</f>
        <v>270317</v>
      </c>
      <c r="B38" s="61" t="str">
        <f>'1 '!B42</f>
        <v>DES501</v>
      </c>
      <c r="C38" s="66">
        <f>SUM('1 '!T42:V42,'1 '!AF42:AI42)</f>
        <v>0</v>
      </c>
      <c r="D38" s="70"/>
      <c r="E38" s="61">
        <f>'1 '!A75</f>
        <v>0</v>
      </c>
      <c r="F38" s="61">
        <f>'1 '!B75</f>
        <v>0</v>
      </c>
      <c r="G38" s="66">
        <f>SUM('1 '!T75:V75,'1 '!AF75:AI75)</f>
        <v>340.5</v>
      </c>
      <c r="I38" s="61"/>
      <c r="J38" s="61"/>
      <c r="K38" s="61"/>
      <c r="M38" s="61"/>
      <c r="N38" s="61"/>
      <c r="O38" s="61"/>
    </row>
    <row r="39" spans="1:15" ht="27.95" customHeight="1">
      <c r="D39" s="70"/>
      <c r="E39" s="61">
        <f>'1 '!A76</f>
        <v>0</v>
      </c>
      <c r="F39" s="61">
        <f>'1 '!B76</f>
        <v>0</v>
      </c>
      <c r="G39" s="66">
        <f>SUM('1 '!T76:V76,'1 '!AF76:AI76)</f>
        <v>443</v>
      </c>
    </row>
    <row r="40" spans="1:15" ht="27.95" customHeight="1">
      <c r="D40" s="70"/>
      <c r="E40" s="61">
        <f>'1 '!A77</f>
        <v>0</v>
      </c>
      <c r="F40" s="61">
        <f>'1 '!B77</f>
        <v>0</v>
      </c>
      <c r="G40" s="66">
        <f>SUM('1 '!T77:V77,'1 '!AF77:AI77)</f>
        <v>783.5</v>
      </c>
    </row>
    <row r="41" spans="1:15" ht="27.95" customHeight="1">
      <c r="D41" s="70"/>
    </row>
    <row r="42" spans="1:15" ht="27.95" customHeight="1">
      <c r="D42" s="70"/>
    </row>
    <row r="43" spans="1:15" ht="27.95" customHeight="1">
      <c r="D43" s="70"/>
    </row>
    <row r="44" spans="1:15" ht="27.95" customHeight="1">
      <c r="D44" s="70"/>
    </row>
    <row r="45" spans="1:15" ht="27.95" customHeight="1">
      <c r="D45" s="70"/>
    </row>
    <row r="46" spans="1:15" ht="27.95" customHeight="1">
      <c r="D46" s="70"/>
    </row>
    <row r="47" spans="1:15" ht="27.95" customHeight="1">
      <c r="D47" s="70"/>
    </row>
    <row r="48" spans="1:15" ht="27.95" customHeight="1">
      <c r="D48" s="70"/>
    </row>
    <row r="49" spans="4:4" ht="27.95" customHeight="1">
      <c r="D49" s="70"/>
    </row>
    <row r="50" spans="4:4" ht="27.95" customHeight="1">
      <c r="D50" s="70"/>
    </row>
    <row r="51" spans="4:4" ht="27.95" customHeight="1">
      <c r="D51" s="70"/>
    </row>
    <row r="52" spans="4:4" ht="27.95" customHeight="1">
      <c r="D52" s="70"/>
    </row>
    <row r="53" spans="4:4" ht="27.95" customHeight="1">
      <c r="D53" s="70"/>
    </row>
    <row r="54" spans="4:4" ht="27.95" customHeight="1">
      <c r="D54" s="70"/>
    </row>
    <row r="55" spans="4:4" ht="27.95" customHeight="1">
      <c r="D55" s="70"/>
    </row>
    <row r="56" spans="4:4" ht="27.95" customHeight="1">
      <c r="D56" s="70"/>
    </row>
    <row r="57" spans="4:4" ht="27.95" customHeight="1">
      <c r="D57" s="70"/>
    </row>
    <row r="58" spans="4:4" ht="27.95" customHeight="1">
      <c r="D58" s="70"/>
    </row>
    <row r="59" spans="4:4" ht="27.95" customHeight="1">
      <c r="D59" s="70"/>
    </row>
    <row r="60" spans="4:4" ht="27.95" customHeight="1">
      <c r="D60" s="70"/>
    </row>
    <row r="61" spans="4:4" ht="27.95" customHeight="1"/>
    <row r="62" spans="4:4" ht="27.95" customHeight="1"/>
    <row r="63" spans="4:4" ht="27.95" customHeight="1"/>
    <row r="64" spans="4:4" ht="27.95" customHeight="1"/>
    <row r="65" ht="27.95" customHeight="1"/>
    <row r="66" ht="27.95" customHeight="1"/>
    <row r="67" ht="27.95" customHeight="1"/>
    <row r="68" ht="27.95" customHeight="1"/>
    <row r="69" ht="27.95" customHeight="1"/>
    <row r="70" ht="27.95" customHeight="1"/>
    <row r="71" ht="27.95" customHeight="1"/>
    <row r="72" ht="27.95" customHeight="1"/>
    <row r="73" ht="27.95" customHeight="1"/>
    <row r="74" ht="27.95" customHeight="1"/>
    <row r="75" ht="27.95" customHeight="1"/>
    <row r="76" ht="27.95" customHeight="1"/>
    <row r="77" ht="27.95" customHeight="1"/>
    <row r="78" ht="27.95" customHeight="1"/>
    <row r="79" ht="27.95" customHeight="1"/>
    <row r="80" ht="27.95" customHeight="1"/>
    <row r="81" ht="27.95" customHeight="1"/>
    <row r="82" ht="27.95" customHeight="1"/>
    <row r="83" ht="26.1" customHeight="1"/>
    <row r="84" ht="26.1" customHeight="1"/>
    <row r="85" ht="26.1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</sheetData>
  <mergeCells count="14">
    <mergeCell ref="I4:I5"/>
    <mergeCell ref="J4:J5"/>
    <mergeCell ref="M4:M5"/>
    <mergeCell ref="N4:N5"/>
    <mergeCell ref="F4:F5"/>
    <mergeCell ref="E4:E5"/>
    <mergeCell ref="E1:F1"/>
    <mergeCell ref="E2:F2"/>
    <mergeCell ref="E3:F3"/>
    <mergeCell ref="A1:B1"/>
    <mergeCell ref="A2:B2"/>
    <mergeCell ref="A3:B3"/>
    <mergeCell ref="A4:A5"/>
    <mergeCell ref="B4:B5"/>
  </mergeCells>
  <phoneticPr fontId="1" type="noConversion"/>
  <printOptions horizontalCentered="1"/>
  <pageMargins left="0" right="0" top="0.51181102362204722" bottom="0.51181102362204722" header="0.23622047244094491" footer="0.23622047244094491"/>
  <pageSetup paperSize="9" scale="66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BD348"/>
  <sheetViews>
    <sheetView topLeftCell="A149" workbookViewId="0">
      <selection activeCell="I158" sqref="I158"/>
    </sheetView>
  </sheetViews>
  <sheetFormatPr defaultRowHeight="14.25"/>
  <cols>
    <col min="1" max="1" width="11.25" customWidth="1"/>
    <col min="2" max="3" width="10.625" customWidth="1"/>
    <col min="4" max="4" width="10.125" customWidth="1"/>
    <col min="5" max="5" width="8.875" customWidth="1"/>
    <col min="6" max="57" width="8.625" customWidth="1"/>
  </cols>
  <sheetData>
    <row r="1" spans="1:56" s="101" customFormat="1" ht="15" thickBot="1">
      <c r="F1" s="131">
        <v>41981</v>
      </c>
      <c r="G1" s="130"/>
      <c r="H1" s="130"/>
      <c r="I1" s="131">
        <v>41982</v>
      </c>
      <c r="J1" s="130"/>
      <c r="K1" s="130"/>
      <c r="L1" s="131">
        <v>41983</v>
      </c>
      <c r="M1" s="130"/>
      <c r="N1" s="130"/>
      <c r="O1" s="131">
        <v>41984</v>
      </c>
      <c r="P1" s="130"/>
      <c r="Q1" s="130"/>
      <c r="R1" s="131">
        <v>41985</v>
      </c>
      <c r="S1" s="130"/>
      <c r="T1" s="130"/>
      <c r="U1" s="131">
        <v>41986</v>
      </c>
      <c r="V1" s="130"/>
      <c r="W1" s="130"/>
      <c r="X1" s="131">
        <v>41987</v>
      </c>
      <c r="Y1" s="130"/>
      <c r="Z1" s="130"/>
      <c r="AA1" s="131"/>
      <c r="AB1" s="130"/>
      <c r="AC1" s="130"/>
      <c r="AD1" s="131"/>
      <c r="AE1" s="130"/>
      <c r="AF1" s="130"/>
      <c r="AG1" s="131"/>
      <c r="AH1" s="130"/>
      <c r="AI1" s="130"/>
      <c r="AJ1" s="131"/>
      <c r="AK1" s="130"/>
      <c r="AL1" s="130"/>
      <c r="AM1" s="131"/>
      <c r="AN1" s="130"/>
      <c r="AO1" s="130"/>
      <c r="AP1" s="131"/>
      <c r="AQ1" s="130"/>
      <c r="AR1" s="130"/>
      <c r="AS1" s="131"/>
      <c r="AT1" s="130"/>
      <c r="AU1" s="130"/>
      <c r="AV1" s="131"/>
      <c r="AW1" s="130"/>
      <c r="AX1" s="130"/>
      <c r="AY1" s="131"/>
      <c r="AZ1" s="130"/>
      <c r="BA1" s="130"/>
      <c r="BB1" s="130"/>
      <c r="BC1" s="130"/>
      <c r="BD1" s="130"/>
    </row>
    <row r="2" spans="1:56">
      <c r="A2" s="98" t="s">
        <v>232</v>
      </c>
      <c r="B2" s="99" t="s">
        <v>233</v>
      </c>
      <c r="C2" s="99" t="s">
        <v>234</v>
      </c>
      <c r="D2" s="99" t="s">
        <v>235</v>
      </c>
      <c r="E2" s="99" t="s">
        <v>236</v>
      </c>
      <c r="F2" s="99" t="s">
        <v>237</v>
      </c>
      <c r="G2" s="99" t="s">
        <v>238</v>
      </c>
      <c r="H2" s="100" t="s">
        <v>239</v>
      </c>
      <c r="I2" s="99" t="s">
        <v>237</v>
      </c>
      <c r="J2" s="99" t="s">
        <v>238</v>
      </c>
      <c r="K2" s="100" t="s">
        <v>239</v>
      </c>
      <c r="L2" s="99" t="s">
        <v>237</v>
      </c>
      <c r="M2" s="99" t="s">
        <v>238</v>
      </c>
      <c r="N2" s="100" t="s">
        <v>239</v>
      </c>
      <c r="O2" s="99" t="s">
        <v>237</v>
      </c>
      <c r="P2" s="99" t="s">
        <v>238</v>
      </c>
      <c r="Q2" s="100" t="s">
        <v>239</v>
      </c>
      <c r="R2" s="99" t="s">
        <v>237</v>
      </c>
      <c r="S2" s="99" t="s">
        <v>238</v>
      </c>
      <c r="T2" s="100" t="s">
        <v>239</v>
      </c>
      <c r="U2" s="99" t="s">
        <v>237</v>
      </c>
      <c r="V2" s="99" t="s">
        <v>238</v>
      </c>
      <c r="W2" s="100" t="s">
        <v>239</v>
      </c>
      <c r="X2" s="99" t="s">
        <v>237</v>
      </c>
      <c r="Y2" s="99" t="s">
        <v>238</v>
      </c>
      <c r="Z2" s="100" t="s">
        <v>239</v>
      </c>
      <c r="AA2" s="99"/>
      <c r="AB2" s="99"/>
      <c r="AC2" s="100"/>
      <c r="AD2" s="99"/>
      <c r="AE2" s="99"/>
      <c r="AF2" s="100"/>
      <c r="AG2" s="99"/>
    </row>
    <row r="3" spans="1:56">
      <c r="A3">
        <v>270546</v>
      </c>
      <c r="B3" t="s">
        <v>240</v>
      </c>
      <c r="C3" t="s">
        <v>241</v>
      </c>
      <c r="D3">
        <v>290150</v>
      </c>
      <c r="E3" t="s">
        <v>242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0.44999998807907104</v>
      </c>
      <c r="S3">
        <v>8110.33984375</v>
      </c>
      <c r="T3">
        <v>8110.2998046875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56">
      <c r="A4">
        <v>270546</v>
      </c>
      <c r="B4" t="s">
        <v>240</v>
      </c>
      <c r="C4" t="s">
        <v>241</v>
      </c>
      <c r="D4">
        <v>290150</v>
      </c>
      <c r="E4" t="s">
        <v>242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0.75</v>
      </c>
      <c r="V4">
        <v>13424</v>
      </c>
      <c r="W4">
        <v>13424</v>
      </c>
      <c r="X4">
        <v>0.75</v>
      </c>
      <c r="Y4">
        <v>13424</v>
      </c>
      <c r="Z4">
        <v>13424</v>
      </c>
    </row>
    <row r="5" spans="1:56">
      <c r="A5">
        <v>270543</v>
      </c>
      <c r="B5" t="s">
        <v>243</v>
      </c>
      <c r="C5" t="s">
        <v>244</v>
      </c>
      <c r="D5">
        <v>290135</v>
      </c>
      <c r="E5" t="s">
        <v>245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0.62999999523162842</v>
      </c>
      <c r="Y5">
        <v>3576.56005859375</v>
      </c>
      <c r="Z5">
        <v>6.3000001907348633</v>
      </c>
    </row>
    <row r="6" spans="1:56">
      <c r="A6">
        <v>270543</v>
      </c>
      <c r="B6" t="s">
        <v>243</v>
      </c>
      <c r="C6" t="s">
        <v>244</v>
      </c>
      <c r="D6">
        <v>290135</v>
      </c>
      <c r="E6" t="s">
        <v>245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0.79000002145767212</v>
      </c>
      <c r="S6">
        <v>4470.7001953125</v>
      </c>
      <c r="T6">
        <v>7.9000000953674316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56">
      <c r="A7">
        <v>270543</v>
      </c>
      <c r="B7" t="s">
        <v>243</v>
      </c>
      <c r="C7" t="s">
        <v>244</v>
      </c>
      <c r="D7">
        <v>290135</v>
      </c>
      <c r="E7" t="s">
        <v>245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1.5099999904632568</v>
      </c>
      <c r="V7">
        <v>8583.740234375</v>
      </c>
      <c r="W7">
        <v>15.100000381469727</v>
      </c>
      <c r="X7">
        <v>0</v>
      </c>
      <c r="Y7">
        <v>0</v>
      </c>
      <c r="Z7">
        <v>0</v>
      </c>
    </row>
    <row r="8" spans="1:56">
      <c r="A8">
        <v>270543</v>
      </c>
      <c r="B8" t="s">
        <v>243</v>
      </c>
      <c r="C8" t="s">
        <v>244</v>
      </c>
      <c r="D8">
        <v>290136</v>
      </c>
      <c r="E8" t="s">
        <v>246</v>
      </c>
      <c r="F8">
        <v>1.7999999523162842</v>
      </c>
      <c r="G8">
        <v>9507.650390625</v>
      </c>
      <c r="H8">
        <v>16.799999237060547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56">
      <c r="A9">
        <v>270543</v>
      </c>
      <c r="B9" t="s">
        <v>243</v>
      </c>
      <c r="C9" t="s">
        <v>244</v>
      </c>
      <c r="D9">
        <v>290185</v>
      </c>
      <c r="E9" t="s">
        <v>247</v>
      </c>
      <c r="F9">
        <v>0</v>
      </c>
      <c r="G9">
        <v>0</v>
      </c>
      <c r="H9">
        <v>0</v>
      </c>
      <c r="I9">
        <v>0.67000001668930054</v>
      </c>
      <c r="J9">
        <v>4254.169921875</v>
      </c>
      <c r="K9">
        <v>7.5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56">
      <c r="A10">
        <v>270543</v>
      </c>
      <c r="B10" t="s">
        <v>243</v>
      </c>
      <c r="C10" t="s">
        <v>244</v>
      </c>
      <c r="D10">
        <v>290185</v>
      </c>
      <c r="E10" t="s">
        <v>247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0.75999999046325684</v>
      </c>
      <c r="M10">
        <v>4846.52001953125</v>
      </c>
      <c r="N10">
        <v>8.5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56">
      <c r="A11">
        <v>270530</v>
      </c>
      <c r="B11" t="s">
        <v>248</v>
      </c>
      <c r="C11" t="s">
        <v>249</v>
      </c>
      <c r="D11">
        <v>290219</v>
      </c>
      <c r="E11" t="s">
        <v>250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0.10999999940395355</v>
      </c>
      <c r="S11">
        <v>1927.0999755859375</v>
      </c>
      <c r="T11">
        <v>3.4000000953674316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56">
      <c r="A12">
        <v>270530</v>
      </c>
      <c r="B12" t="s">
        <v>248</v>
      </c>
      <c r="C12" t="s">
        <v>249</v>
      </c>
      <c r="D12">
        <v>290219</v>
      </c>
      <c r="E12" t="s">
        <v>250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0.37999999523162842</v>
      </c>
      <c r="V12">
        <v>6768.35986328125</v>
      </c>
      <c r="W12">
        <v>12.100000381469727</v>
      </c>
      <c r="X12">
        <v>0.37999999523162842</v>
      </c>
      <c r="Y12">
        <v>6768.35986328125</v>
      </c>
      <c r="Z12">
        <v>12.100000381469727</v>
      </c>
    </row>
    <row r="13" spans="1:56">
      <c r="A13">
        <v>270530</v>
      </c>
      <c r="B13" t="s">
        <v>248</v>
      </c>
      <c r="C13" t="s">
        <v>241</v>
      </c>
      <c r="D13">
        <v>290262</v>
      </c>
      <c r="E13" t="s">
        <v>251</v>
      </c>
      <c r="F13">
        <v>0.69999998807907104</v>
      </c>
      <c r="G13">
        <v>844.07000732421875</v>
      </c>
      <c r="H13">
        <v>1.5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56">
      <c r="A14">
        <v>270518</v>
      </c>
      <c r="B14" t="s">
        <v>252</v>
      </c>
      <c r="C14" t="s">
        <v>253</v>
      </c>
      <c r="D14">
        <v>290030</v>
      </c>
      <c r="E14" t="s">
        <v>254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0.67000001668930054</v>
      </c>
      <c r="S14">
        <v>2691.7900390625</v>
      </c>
      <c r="T14">
        <v>16.799999237060547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56">
      <c r="A15">
        <v>270518</v>
      </c>
      <c r="B15" t="s">
        <v>252</v>
      </c>
      <c r="C15" t="s">
        <v>253</v>
      </c>
      <c r="D15">
        <v>290030</v>
      </c>
      <c r="E15" t="s">
        <v>254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1.7799999713897705</v>
      </c>
      <c r="V15">
        <v>7138.4599609375</v>
      </c>
      <c r="W15">
        <v>44.599998474121094</v>
      </c>
      <c r="X15">
        <v>1.7799999713897705</v>
      </c>
      <c r="Y15">
        <v>7138.4599609375</v>
      </c>
      <c r="Z15">
        <v>44.599998474121094</v>
      </c>
    </row>
    <row r="16" spans="1:56">
      <c r="A16">
        <v>270478</v>
      </c>
      <c r="B16" t="s">
        <v>255</v>
      </c>
      <c r="C16" t="s">
        <v>256</v>
      </c>
      <c r="D16">
        <v>290098</v>
      </c>
      <c r="E16" t="s">
        <v>257</v>
      </c>
      <c r="F16">
        <v>0</v>
      </c>
      <c r="G16">
        <v>0</v>
      </c>
      <c r="H16">
        <v>0</v>
      </c>
      <c r="I16">
        <v>0.23999999463558197</v>
      </c>
      <c r="J16">
        <v>93.970001220703125</v>
      </c>
      <c r="K16">
        <v>0.60000002384185791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270478</v>
      </c>
      <c r="B17" t="s">
        <v>255</v>
      </c>
      <c r="C17" t="s">
        <v>256</v>
      </c>
      <c r="D17">
        <v>290098</v>
      </c>
      <c r="E17" t="s">
        <v>257</v>
      </c>
      <c r="F17">
        <v>0.87999999523162842</v>
      </c>
      <c r="G17">
        <v>389.39999389648437</v>
      </c>
      <c r="H17">
        <v>2.4000000953674316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270470</v>
      </c>
      <c r="B18" t="s">
        <v>258</v>
      </c>
      <c r="C18" t="s">
        <v>259</v>
      </c>
      <c r="D18">
        <v>290233</v>
      </c>
      <c r="E18" t="s">
        <v>260</v>
      </c>
      <c r="F18">
        <v>0</v>
      </c>
      <c r="G18">
        <v>0</v>
      </c>
      <c r="H18">
        <v>0</v>
      </c>
      <c r="I18">
        <v>1.0199999809265137</v>
      </c>
      <c r="J18">
        <v>3230.090087890625</v>
      </c>
      <c r="K18">
        <v>3230.10009765625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270470</v>
      </c>
      <c r="B19" t="s">
        <v>258</v>
      </c>
      <c r="C19" t="s">
        <v>259</v>
      </c>
      <c r="D19">
        <v>290234</v>
      </c>
      <c r="E19" t="s">
        <v>261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0.69999998807907104</v>
      </c>
      <c r="M19">
        <v>3995.260009765625</v>
      </c>
      <c r="N19">
        <v>3995.300048828125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270467</v>
      </c>
      <c r="B20" t="s">
        <v>262</v>
      </c>
      <c r="C20" t="s">
        <v>263</v>
      </c>
      <c r="D20">
        <v>290206</v>
      </c>
      <c r="E20" t="s">
        <v>264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1.3500000238418579</v>
      </c>
      <c r="Y20">
        <v>949.40997314453125</v>
      </c>
      <c r="Z20">
        <v>2.0999999046325684</v>
      </c>
    </row>
    <row r="21" spans="1:26">
      <c r="A21">
        <v>270467</v>
      </c>
      <c r="B21" t="s">
        <v>262</v>
      </c>
      <c r="C21" t="s">
        <v>253</v>
      </c>
      <c r="D21">
        <v>290237</v>
      </c>
      <c r="E21" t="s">
        <v>265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0.5899999737739563</v>
      </c>
      <c r="P21">
        <v>2005.449951171875</v>
      </c>
      <c r="Q21">
        <v>4.5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270467</v>
      </c>
      <c r="B22" t="s">
        <v>262</v>
      </c>
      <c r="C22" t="s">
        <v>266</v>
      </c>
      <c r="D22">
        <v>290290</v>
      </c>
      <c r="E22" t="s">
        <v>267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0.54000002145767212</v>
      </c>
      <c r="M22">
        <v>10077</v>
      </c>
      <c r="N22">
        <v>22.399999618530273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270467</v>
      </c>
      <c r="B23" t="s">
        <v>262</v>
      </c>
      <c r="C23" t="s">
        <v>266</v>
      </c>
      <c r="D23">
        <v>290290</v>
      </c>
      <c r="E23" t="s">
        <v>267</v>
      </c>
      <c r="F23">
        <v>0.81999999284744263</v>
      </c>
      <c r="G23">
        <v>5374.39990234375</v>
      </c>
      <c r="H23">
        <v>11.899999618530273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270467</v>
      </c>
      <c r="B24" t="s">
        <v>262</v>
      </c>
      <c r="C24" t="s">
        <v>266</v>
      </c>
      <c r="D24">
        <v>290290</v>
      </c>
      <c r="E24" t="s">
        <v>267</v>
      </c>
      <c r="F24">
        <v>0</v>
      </c>
      <c r="G24">
        <v>0</v>
      </c>
      <c r="H24">
        <v>0</v>
      </c>
      <c r="I24">
        <v>0.81999999284744263</v>
      </c>
      <c r="J24">
        <v>10177.7998046875</v>
      </c>
      <c r="K24">
        <v>22.600000381469727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270467</v>
      </c>
      <c r="B25" t="s">
        <v>262</v>
      </c>
      <c r="C25" t="s">
        <v>266</v>
      </c>
      <c r="D25">
        <v>290292</v>
      </c>
      <c r="E25" t="s">
        <v>268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1.559999942779541</v>
      </c>
      <c r="S25">
        <v>4587.93017578125</v>
      </c>
      <c r="T25">
        <v>10.199999809265137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270437</v>
      </c>
      <c r="B26" t="s">
        <v>269</v>
      </c>
      <c r="C26" t="s">
        <v>270</v>
      </c>
      <c r="D26">
        <v>290018</v>
      </c>
      <c r="E26" t="s">
        <v>271</v>
      </c>
      <c r="F26">
        <v>1.6599999666213989</v>
      </c>
      <c r="G26">
        <v>4702.5498046875</v>
      </c>
      <c r="H26">
        <v>29.399999618530273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>
        <v>270437</v>
      </c>
      <c r="B27" t="s">
        <v>269</v>
      </c>
      <c r="C27" t="s">
        <v>272</v>
      </c>
      <c r="D27">
        <v>290036</v>
      </c>
      <c r="E27" t="s">
        <v>273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1.6299999952316284</v>
      </c>
      <c r="P27">
        <v>148.1300048828125</v>
      </c>
      <c r="Q27">
        <v>0.89999997615814209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270399</v>
      </c>
      <c r="B28" t="s">
        <v>274</v>
      </c>
      <c r="C28" t="s">
        <v>256</v>
      </c>
      <c r="D28">
        <v>290103</v>
      </c>
      <c r="E28" t="s">
        <v>275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0.5899999737739563</v>
      </c>
      <c r="M28">
        <v>263.79000854492187</v>
      </c>
      <c r="N28">
        <v>10.600000381469727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270399</v>
      </c>
      <c r="B29" t="s">
        <v>274</v>
      </c>
      <c r="C29" t="s">
        <v>256</v>
      </c>
      <c r="D29">
        <v>290103</v>
      </c>
      <c r="E29" t="s">
        <v>275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0.62999999523162842</v>
      </c>
      <c r="P29">
        <v>281.3699951171875</v>
      </c>
      <c r="Q29">
        <v>11.300000190734863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270399</v>
      </c>
      <c r="B30" t="s">
        <v>274</v>
      </c>
      <c r="C30" t="s">
        <v>249</v>
      </c>
      <c r="D30">
        <v>290103</v>
      </c>
      <c r="E30" t="s">
        <v>275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270399</v>
      </c>
      <c r="B31" t="s">
        <v>274</v>
      </c>
      <c r="C31" t="s">
        <v>249</v>
      </c>
      <c r="D31">
        <v>290103</v>
      </c>
      <c r="E31" t="s">
        <v>275</v>
      </c>
      <c r="F31">
        <v>0</v>
      </c>
      <c r="G31">
        <v>0</v>
      </c>
      <c r="H31">
        <v>0</v>
      </c>
      <c r="I31">
        <v>0.34000000357627869</v>
      </c>
      <c r="J31">
        <v>147.11000061035156</v>
      </c>
      <c r="K31">
        <v>5.9000000953674316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>
        <v>270399</v>
      </c>
      <c r="B32" t="s">
        <v>274</v>
      </c>
      <c r="C32" t="s">
        <v>249</v>
      </c>
      <c r="D32">
        <v>290103</v>
      </c>
      <c r="E32" t="s">
        <v>275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0.62999999523162842</v>
      </c>
      <c r="M32">
        <v>281.3699951171875</v>
      </c>
      <c r="N32">
        <v>11.300000190734863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270399</v>
      </c>
      <c r="B33" t="s">
        <v>274</v>
      </c>
      <c r="C33" t="s">
        <v>249</v>
      </c>
      <c r="D33">
        <v>290219</v>
      </c>
      <c r="E33" t="s">
        <v>250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0.10999999940395355</v>
      </c>
      <c r="S33">
        <v>33.639999389648438</v>
      </c>
      <c r="T33">
        <v>1.2999999523162842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270399</v>
      </c>
      <c r="B34" t="s">
        <v>274</v>
      </c>
      <c r="C34" t="s">
        <v>249</v>
      </c>
      <c r="D34">
        <v>290219</v>
      </c>
      <c r="E34" t="s">
        <v>250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0.37999999523162842</v>
      </c>
      <c r="V34">
        <v>118.13999938964844</v>
      </c>
      <c r="W34">
        <v>4.6999998092651367</v>
      </c>
      <c r="X34">
        <v>0</v>
      </c>
      <c r="Y34">
        <v>0</v>
      </c>
      <c r="Z34">
        <v>0</v>
      </c>
    </row>
    <row r="35" spans="1:26">
      <c r="A35">
        <v>270399</v>
      </c>
      <c r="B35" t="s">
        <v>274</v>
      </c>
      <c r="C35" t="s">
        <v>249</v>
      </c>
      <c r="D35">
        <v>290219</v>
      </c>
      <c r="E35" t="s">
        <v>250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0.37999999523162842</v>
      </c>
      <c r="Y35">
        <v>118.13999938964844</v>
      </c>
      <c r="Z35">
        <v>4.6999998092651367</v>
      </c>
    </row>
    <row r="36" spans="1:26">
      <c r="A36">
        <v>270389</v>
      </c>
      <c r="B36" t="s">
        <v>276</v>
      </c>
      <c r="C36" t="s">
        <v>256</v>
      </c>
      <c r="D36">
        <v>290098</v>
      </c>
      <c r="E36" t="s">
        <v>257</v>
      </c>
      <c r="F36">
        <v>0</v>
      </c>
      <c r="G36">
        <v>0</v>
      </c>
      <c r="H36">
        <v>0</v>
      </c>
      <c r="I36">
        <v>0.23999999463558197</v>
      </c>
      <c r="J36">
        <v>205.28999328613281</v>
      </c>
      <c r="K36">
        <v>6.1999998092651367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270389</v>
      </c>
      <c r="B37" t="s">
        <v>276</v>
      </c>
      <c r="C37" t="s">
        <v>256</v>
      </c>
      <c r="D37">
        <v>290098</v>
      </c>
      <c r="E37" t="s">
        <v>257</v>
      </c>
      <c r="F37">
        <v>0.87999999523162842</v>
      </c>
      <c r="G37">
        <v>850.739990234375</v>
      </c>
      <c r="H37">
        <v>25.799999237060547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270363</v>
      </c>
      <c r="B38" t="s">
        <v>277</v>
      </c>
      <c r="C38" t="s">
        <v>278</v>
      </c>
      <c r="D38">
        <v>290055</v>
      </c>
      <c r="E38" t="s">
        <v>279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1.8500000238418579</v>
      </c>
      <c r="S38">
        <v>857.34002685546875</v>
      </c>
      <c r="T38">
        <v>34.299999237060547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270363</v>
      </c>
      <c r="B39" t="s">
        <v>277</v>
      </c>
      <c r="C39" t="s">
        <v>280</v>
      </c>
      <c r="D39">
        <v>290148</v>
      </c>
      <c r="E39" t="s">
        <v>281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0.85000002384185791</v>
      </c>
      <c r="Y39">
        <v>130.3699951171875</v>
      </c>
      <c r="Z39">
        <v>5.1999998092651367</v>
      </c>
    </row>
    <row r="40" spans="1:26">
      <c r="A40">
        <v>270363</v>
      </c>
      <c r="B40" t="s">
        <v>277</v>
      </c>
      <c r="C40" t="s">
        <v>280</v>
      </c>
      <c r="D40">
        <v>290148</v>
      </c>
      <c r="E40" t="s">
        <v>281</v>
      </c>
      <c r="F40">
        <v>1.3400000333786011</v>
      </c>
      <c r="G40">
        <v>75.639999389648438</v>
      </c>
      <c r="H40">
        <v>3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270363</v>
      </c>
      <c r="B41" t="s">
        <v>277</v>
      </c>
      <c r="C41" t="s">
        <v>280</v>
      </c>
      <c r="D41">
        <v>290347</v>
      </c>
      <c r="E41" t="s">
        <v>376</v>
      </c>
      <c r="F41">
        <v>0</v>
      </c>
      <c r="G41">
        <v>0</v>
      </c>
      <c r="H41">
        <v>0</v>
      </c>
      <c r="I41">
        <v>0.86000001430511475</v>
      </c>
      <c r="J41">
        <v>17.350000381469727</v>
      </c>
      <c r="K41">
        <v>0.69999998807907104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270360</v>
      </c>
      <c r="B42" t="s">
        <v>283</v>
      </c>
      <c r="C42" t="s">
        <v>284</v>
      </c>
      <c r="D42">
        <v>290264</v>
      </c>
      <c r="E42" t="s">
        <v>285</v>
      </c>
      <c r="F42">
        <v>0.51999998092651367</v>
      </c>
      <c r="G42">
        <v>269.260009765625</v>
      </c>
      <c r="H42">
        <v>10.800000190734863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270359</v>
      </c>
      <c r="B43" t="s">
        <v>286</v>
      </c>
      <c r="C43" t="s">
        <v>259</v>
      </c>
      <c r="D43">
        <v>290233</v>
      </c>
      <c r="E43" t="s">
        <v>260</v>
      </c>
      <c r="F43">
        <v>0</v>
      </c>
      <c r="G43">
        <v>0</v>
      </c>
      <c r="H43">
        <v>0</v>
      </c>
      <c r="I43">
        <v>1.0199999809265137</v>
      </c>
      <c r="J43">
        <v>104.91000366210937</v>
      </c>
      <c r="K43">
        <v>4.1999998092651367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270359</v>
      </c>
      <c r="B44" t="s">
        <v>286</v>
      </c>
      <c r="C44" t="s">
        <v>259</v>
      </c>
      <c r="D44">
        <v>290234</v>
      </c>
      <c r="E44" t="s">
        <v>261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0.69999998807907104</v>
      </c>
      <c r="M44">
        <v>110.11000061035156</v>
      </c>
      <c r="N44">
        <v>4.4000000953674316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270337</v>
      </c>
      <c r="B45" t="s">
        <v>287</v>
      </c>
      <c r="C45" t="s">
        <v>272</v>
      </c>
      <c r="D45">
        <v>290346</v>
      </c>
      <c r="E45" t="s">
        <v>288</v>
      </c>
      <c r="F45">
        <v>1.2699999809265137</v>
      </c>
      <c r="G45">
        <v>73.099998474121094</v>
      </c>
      <c r="H45">
        <v>2.9000000953674316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270337</v>
      </c>
      <c r="B46" t="s">
        <v>287</v>
      </c>
      <c r="C46" t="s">
        <v>278</v>
      </c>
      <c r="D46">
        <v>290060</v>
      </c>
      <c r="E46" t="s">
        <v>289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0.46000000834465027</v>
      </c>
      <c r="V46">
        <v>185.07000732421875</v>
      </c>
      <c r="W46">
        <v>7.4000000953674316</v>
      </c>
      <c r="X46">
        <v>0</v>
      </c>
      <c r="Y46">
        <v>0</v>
      </c>
      <c r="Z46">
        <v>0</v>
      </c>
    </row>
    <row r="47" spans="1:26">
      <c r="A47">
        <v>270337</v>
      </c>
      <c r="B47" t="s">
        <v>287</v>
      </c>
      <c r="C47" t="s">
        <v>278</v>
      </c>
      <c r="D47">
        <v>290060</v>
      </c>
      <c r="E47" t="s">
        <v>289</v>
      </c>
      <c r="F47">
        <v>0.97000002861022949</v>
      </c>
      <c r="G47">
        <v>210.32000732421875</v>
      </c>
      <c r="H47">
        <v>8.3999996185302734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270337</v>
      </c>
      <c r="B48" t="s">
        <v>287</v>
      </c>
      <c r="C48" t="s">
        <v>278</v>
      </c>
      <c r="D48">
        <v>290060</v>
      </c>
      <c r="E48" t="s">
        <v>289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1.6200000047683716</v>
      </c>
      <c r="Y48">
        <v>650.02001953125</v>
      </c>
      <c r="Z48">
        <v>26</v>
      </c>
    </row>
    <row r="49" spans="1:26">
      <c r="A49">
        <v>270337</v>
      </c>
      <c r="B49" t="s">
        <v>287</v>
      </c>
      <c r="C49" t="s">
        <v>256</v>
      </c>
      <c r="D49">
        <v>290045</v>
      </c>
      <c r="E49" t="s">
        <v>290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0.72000002861022949</v>
      </c>
      <c r="S49">
        <v>149.91999816894531</v>
      </c>
      <c r="T49">
        <v>6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>
        <v>270337</v>
      </c>
      <c r="B50" t="s">
        <v>287</v>
      </c>
      <c r="C50" t="s">
        <v>256</v>
      </c>
      <c r="D50">
        <v>290045</v>
      </c>
      <c r="E50" t="s">
        <v>290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0.76999998092651367</v>
      </c>
      <c r="V50">
        <v>159.91000366210937</v>
      </c>
      <c r="W50">
        <v>6.4000000953674316</v>
      </c>
      <c r="X50">
        <v>0.76999998092651367</v>
      </c>
      <c r="Y50">
        <v>159.91000366210937</v>
      </c>
      <c r="Z50">
        <v>6.4000000953674316</v>
      </c>
    </row>
    <row r="51" spans="1:26">
      <c r="A51">
        <v>270337</v>
      </c>
      <c r="B51" t="s">
        <v>287</v>
      </c>
      <c r="C51" t="s">
        <v>256</v>
      </c>
      <c r="D51">
        <v>290098</v>
      </c>
      <c r="E51" t="s">
        <v>257</v>
      </c>
      <c r="F51">
        <v>0</v>
      </c>
      <c r="G51">
        <v>0</v>
      </c>
      <c r="H51">
        <v>0</v>
      </c>
      <c r="I51">
        <v>0.23999999463558197</v>
      </c>
      <c r="J51">
        <v>16.139999389648438</v>
      </c>
      <c r="K51">
        <v>0.60000002384185791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270337</v>
      </c>
      <c r="B52" t="s">
        <v>287</v>
      </c>
      <c r="C52" t="s">
        <v>256</v>
      </c>
      <c r="D52">
        <v>290098</v>
      </c>
      <c r="E52" t="s">
        <v>257</v>
      </c>
      <c r="F52">
        <v>0.87999999523162842</v>
      </c>
      <c r="G52">
        <v>66.900001525878906</v>
      </c>
      <c r="H52">
        <v>2.7000000476837158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>
      <c r="A53">
        <v>270337</v>
      </c>
      <c r="B53" t="s">
        <v>287</v>
      </c>
      <c r="C53" t="s">
        <v>256</v>
      </c>
      <c r="D53">
        <v>290101</v>
      </c>
      <c r="E53" t="s">
        <v>291</v>
      </c>
      <c r="F53">
        <v>0</v>
      </c>
      <c r="G53">
        <v>0</v>
      </c>
      <c r="H53">
        <v>0</v>
      </c>
      <c r="I53">
        <v>1.2400000095367432</v>
      </c>
      <c r="J53">
        <v>428.6300048828125</v>
      </c>
      <c r="K53">
        <v>17.100000381469727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270337</v>
      </c>
      <c r="B54" t="s">
        <v>287</v>
      </c>
      <c r="C54" t="s">
        <v>263</v>
      </c>
      <c r="D54">
        <v>290114</v>
      </c>
      <c r="E54" t="s">
        <v>292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0.85000002384185791</v>
      </c>
      <c r="Y54">
        <v>153.99000549316406</v>
      </c>
      <c r="Z54">
        <v>6.1999998092651367</v>
      </c>
    </row>
    <row r="55" spans="1:26">
      <c r="A55">
        <v>270337</v>
      </c>
      <c r="B55" t="s">
        <v>287</v>
      </c>
      <c r="C55" t="s">
        <v>263</v>
      </c>
      <c r="D55">
        <v>290206</v>
      </c>
      <c r="E55" t="s">
        <v>264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1.3500000238418579</v>
      </c>
      <c r="Y55">
        <v>61.110000610351563</v>
      </c>
      <c r="Z55">
        <v>2.4000000953674316</v>
      </c>
    </row>
    <row r="56" spans="1:26">
      <c r="A56">
        <v>270337</v>
      </c>
      <c r="B56" t="s">
        <v>287</v>
      </c>
      <c r="C56" t="s">
        <v>284</v>
      </c>
      <c r="D56">
        <v>290170</v>
      </c>
      <c r="E56" t="s">
        <v>293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0.5</v>
      </c>
      <c r="P56">
        <v>21.319999694824219</v>
      </c>
      <c r="Q56">
        <v>0.89999997615814209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270337</v>
      </c>
      <c r="B57" t="s">
        <v>287</v>
      </c>
      <c r="C57" t="s">
        <v>284</v>
      </c>
      <c r="D57">
        <v>290170</v>
      </c>
      <c r="E57" t="s">
        <v>293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1.8500000238418579</v>
      </c>
      <c r="M57">
        <v>79.069999694824219</v>
      </c>
      <c r="N57">
        <v>3.2000000476837158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270337</v>
      </c>
      <c r="B58" t="s">
        <v>287</v>
      </c>
      <c r="C58" t="s">
        <v>241</v>
      </c>
      <c r="D58">
        <v>290045</v>
      </c>
      <c r="E58" t="s">
        <v>290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0.12999999523162842</v>
      </c>
      <c r="S58">
        <v>26.649999618530273</v>
      </c>
      <c r="T58">
        <v>1.1000000238418579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270337</v>
      </c>
      <c r="B59" t="s">
        <v>287</v>
      </c>
      <c r="C59" t="s">
        <v>241</v>
      </c>
      <c r="D59">
        <v>290045</v>
      </c>
      <c r="E59" t="s">
        <v>290</v>
      </c>
      <c r="F59">
        <v>0.76999998092651367</v>
      </c>
      <c r="G59">
        <v>71.989997863769531</v>
      </c>
      <c r="H59">
        <v>2.9000000953674316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270337</v>
      </c>
      <c r="B60" t="s">
        <v>287</v>
      </c>
      <c r="C60" t="s">
        <v>241</v>
      </c>
      <c r="D60">
        <v>290045</v>
      </c>
      <c r="E60" t="s">
        <v>290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0.76999998092651367</v>
      </c>
      <c r="M60">
        <v>159.91000366210937</v>
      </c>
      <c r="N60">
        <v>6.4000000953674316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270337</v>
      </c>
      <c r="B61" t="s">
        <v>287</v>
      </c>
      <c r="C61" t="s">
        <v>241</v>
      </c>
      <c r="D61">
        <v>290045</v>
      </c>
      <c r="E61" t="s">
        <v>290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0.76999998092651367</v>
      </c>
      <c r="P61">
        <v>159.91000366210937</v>
      </c>
      <c r="Q61">
        <v>6.4000000953674316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270337</v>
      </c>
      <c r="B62" t="s">
        <v>287</v>
      </c>
      <c r="C62" t="s">
        <v>241</v>
      </c>
      <c r="D62">
        <v>290045</v>
      </c>
      <c r="E62" t="s">
        <v>290</v>
      </c>
      <c r="F62">
        <v>0</v>
      </c>
      <c r="G62">
        <v>0</v>
      </c>
      <c r="H62">
        <v>0</v>
      </c>
      <c r="I62">
        <v>0.93999999761581421</v>
      </c>
      <c r="J62">
        <v>161.47000122070312</v>
      </c>
      <c r="K62">
        <v>6.5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>
      <c r="A63">
        <v>270337</v>
      </c>
      <c r="B63" t="s">
        <v>287</v>
      </c>
      <c r="C63" t="s">
        <v>294</v>
      </c>
      <c r="D63">
        <v>290062</v>
      </c>
      <c r="E63" t="s">
        <v>295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0.27000001072883606</v>
      </c>
      <c r="P63">
        <v>94.550003051757813</v>
      </c>
      <c r="Q63">
        <v>3.7999999523162842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>
      <c r="A64">
        <v>270337</v>
      </c>
      <c r="B64" t="s">
        <v>287</v>
      </c>
      <c r="C64" t="s">
        <v>294</v>
      </c>
      <c r="D64">
        <v>290062</v>
      </c>
      <c r="E64" t="s">
        <v>295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0.99000000953674316</v>
      </c>
      <c r="M64">
        <v>350.6199951171875</v>
      </c>
      <c r="N64">
        <v>14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270337</v>
      </c>
      <c r="B65" t="s">
        <v>287</v>
      </c>
      <c r="C65" t="s">
        <v>266</v>
      </c>
      <c r="D65">
        <v>290045</v>
      </c>
      <c r="E65" t="s">
        <v>290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0.4699999988079071</v>
      </c>
      <c r="V65">
        <v>96.610000610351563</v>
      </c>
      <c r="W65">
        <v>3.9000000953674316</v>
      </c>
      <c r="X65">
        <v>0</v>
      </c>
      <c r="Y65">
        <v>0</v>
      </c>
      <c r="Z65">
        <v>0</v>
      </c>
    </row>
    <row r="66" spans="1:26">
      <c r="A66">
        <v>270337</v>
      </c>
      <c r="B66" t="s">
        <v>287</v>
      </c>
      <c r="C66" t="s">
        <v>266</v>
      </c>
      <c r="D66">
        <v>290045</v>
      </c>
      <c r="E66" t="s">
        <v>290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0.76999998092651367</v>
      </c>
      <c r="Y66">
        <v>159.91000366210937</v>
      </c>
      <c r="Z66">
        <v>6.4000000953674316</v>
      </c>
    </row>
    <row r="67" spans="1:26">
      <c r="A67">
        <v>270314</v>
      </c>
      <c r="B67" t="s">
        <v>296</v>
      </c>
      <c r="C67" t="s">
        <v>272</v>
      </c>
      <c r="D67">
        <v>290043</v>
      </c>
      <c r="E67" t="s">
        <v>297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1.1399999856948853</v>
      </c>
      <c r="M67">
        <v>2413.699951171875</v>
      </c>
      <c r="N67">
        <v>15.399999618530273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270298</v>
      </c>
      <c r="B68" t="s">
        <v>298</v>
      </c>
      <c r="C68" t="s">
        <v>263</v>
      </c>
      <c r="D68">
        <v>290220</v>
      </c>
      <c r="E68" t="s">
        <v>299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1.3500000238418579</v>
      </c>
      <c r="M68">
        <v>60.549999237060547</v>
      </c>
      <c r="N68">
        <v>2.4000000953674316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270296</v>
      </c>
      <c r="B69" t="s">
        <v>300</v>
      </c>
      <c r="C69" t="s">
        <v>294</v>
      </c>
      <c r="D69">
        <v>290174</v>
      </c>
      <c r="E69" t="s">
        <v>301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0.37000000476837158</v>
      </c>
      <c r="V69">
        <v>10339.599609375</v>
      </c>
      <c r="W69">
        <v>59.099998474121094</v>
      </c>
      <c r="X69">
        <v>0</v>
      </c>
      <c r="Y69">
        <v>0</v>
      </c>
      <c r="Z69">
        <v>0</v>
      </c>
    </row>
    <row r="70" spans="1:26">
      <c r="A70">
        <v>270296</v>
      </c>
      <c r="B70" t="s">
        <v>300</v>
      </c>
      <c r="C70" t="s">
        <v>294</v>
      </c>
      <c r="D70">
        <v>290174</v>
      </c>
      <c r="E70" t="s">
        <v>301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0.4699999988079071</v>
      </c>
      <c r="Y70">
        <v>13176.099609375</v>
      </c>
      <c r="Z70">
        <v>75.300003051757813</v>
      </c>
    </row>
    <row r="71" spans="1:26">
      <c r="A71">
        <v>270295</v>
      </c>
      <c r="B71" t="s">
        <v>302</v>
      </c>
      <c r="C71" t="s">
        <v>270</v>
      </c>
      <c r="D71">
        <v>290023</v>
      </c>
      <c r="E71" t="s">
        <v>303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0.5</v>
      </c>
      <c r="V71">
        <v>386.25</v>
      </c>
      <c r="W71">
        <v>2.5</v>
      </c>
      <c r="X71">
        <v>0</v>
      </c>
      <c r="Y71">
        <v>0</v>
      </c>
      <c r="Z71">
        <v>0</v>
      </c>
    </row>
    <row r="72" spans="1:26">
      <c r="A72">
        <v>270295</v>
      </c>
      <c r="B72" t="s">
        <v>302</v>
      </c>
      <c r="C72" t="s">
        <v>270</v>
      </c>
      <c r="D72">
        <v>290023</v>
      </c>
      <c r="E72" t="s">
        <v>303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0.79000002145767212</v>
      </c>
      <c r="S72">
        <v>611.57000732421875</v>
      </c>
      <c r="T72">
        <v>3.9000000953674316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270295</v>
      </c>
      <c r="B73" t="s">
        <v>302</v>
      </c>
      <c r="C73" t="s">
        <v>244</v>
      </c>
      <c r="D73">
        <v>290132</v>
      </c>
      <c r="E73" t="s">
        <v>304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1.559999942779541</v>
      </c>
      <c r="Y73">
        <v>2753.75</v>
      </c>
      <c r="Z73">
        <v>17.700000762939453</v>
      </c>
    </row>
    <row r="74" spans="1:26">
      <c r="A74">
        <v>270295</v>
      </c>
      <c r="B74" t="s">
        <v>302</v>
      </c>
      <c r="C74" t="s">
        <v>244</v>
      </c>
      <c r="D74">
        <v>290133</v>
      </c>
      <c r="E74" t="s">
        <v>305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2.809999942779541</v>
      </c>
      <c r="P74">
        <v>4867.7998046875</v>
      </c>
      <c r="Q74">
        <v>31.200000762939453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270295</v>
      </c>
      <c r="B75" t="s">
        <v>302</v>
      </c>
      <c r="C75" t="s">
        <v>244</v>
      </c>
      <c r="D75">
        <v>290134</v>
      </c>
      <c r="E75" t="s">
        <v>306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1.309999942779541</v>
      </c>
      <c r="M75">
        <v>2550.7099609375</v>
      </c>
      <c r="N75">
        <v>16.399999618530273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270294</v>
      </c>
      <c r="B76" t="s">
        <v>307</v>
      </c>
      <c r="C76" t="s">
        <v>270</v>
      </c>
      <c r="D76">
        <v>290023</v>
      </c>
      <c r="E76" t="s">
        <v>303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0.5</v>
      </c>
      <c r="V76">
        <v>1958.8399658203125</v>
      </c>
      <c r="W76">
        <v>12.699999809265137</v>
      </c>
      <c r="X76">
        <v>0</v>
      </c>
      <c r="Y76">
        <v>0</v>
      </c>
      <c r="Z76">
        <v>0</v>
      </c>
    </row>
    <row r="77" spans="1:26">
      <c r="A77">
        <v>270294</v>
      </c>
      <c r="B77" t="s">
        <v>307</v>
      </c>
      <c r="C77" t="s">
        <v>270</v>
      </c>
      <c r="D77">
        <v>290023</v>
      </c>
      <c r="E77" t="s">
        <v>303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0.79000002145767212</v>
      </c>
      <c r="S77">
        <v>3101.489990234375</v>
      </c>
      <c r="T77">
        <v>20.100000381469727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>
        <v>270294</v>
      </c>
      <c r="B78" t="s">
        <v>307</v>
      </c>
      <c r="C78" t="s">
        <v>272</v>
      </c>
      <c r="D78">
        <v>290043</v>
      </c>
      <c r="E78" t="s">
        <v>297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1.1399999856948853</v>
      </c>
      <c r="M78">
        <v>7557.080078125</v>
      </c>
      <c r="N78">
        <v>49.099998474121094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>
      <c r="A79">
        <v>270293</v>
      </c>
      <c r="B79" t="s">
        <v>308</v>
      </c>
      <c r="C79" t="s">
        <v>294</v>
      </c>
      <c r="D79">
        <v>290174</v>
      </c>
      <c r="E79" t="s">
        <v>301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0.37000000476837158</v>
      </c>
      <c r="V79">
        <v>10957</v>
      </c>
      <c r="W79">
        <v>68.5</v>
      </c>
      <c r="X79">
        <v>0</v>
      </c>
      <c r="Y79">
        <v>0</v>
      </c>
      <c r="Z79">
        <v>0</v>
      </c>
    </row>
    <row r="80" spans="1:26">
      <c r="A80">
        <v>270293</v>
      </c>
      <c r="B80" t="s">
        <v>308</v>
      </c>
      <c r="C80" t="s">
        <v>294</v>
      </c>
      <c r="D80">
        <v>290174</v>
      </c>
      <c r="E80" t="s">
        <v>301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0.4699999988079071</v>
      </c>
      <c r="Y80">
        <v>13962.900390625</v>
      </c>
      <c r="Z80">
        <v>87.300003051757813</v>
      </c>
    </row>
    <row r="81" spans="1:26">
      <c r="A81">
        <v>270292</v>
      </c>
      <c r="B81" t="s">
        <v>309</v>
      </c>
      <c r="C81" t="s">
        <v>270</v>
      </c>
      <c r="D81">
        <v>290037</v>
      </c>
      <c r="E81" t="s">
        <v>310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1.6599999666213989</v>
      </c>
      <c r="M81">
        <v>8273.1904296875</v>
      </c>
      <c r="N81">
        <v>53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>
        <v>270292</v>
      </c>
      <c r="B82" t="s">
        <v>309</v>
      </c>
      <c r="C82" t="s">
        <v>256</v>
      </c>
      <c r="D82">
        <v>290098</v>
      </c>
      <c r="E82" t="s">
        <v>257</v>
      </c>
      <c r="F82">
        <v>0</v>
      </c>
      <c r="G82">
        <v>0</v>
      </c>
      <c r="H82">
        <v>0</v>
      </c>
      <c r="I82">
        <v>0.23999999463558197</v>
      </c>
      <c r="J82">
        <v>1491.31005859375</v>
      </c>
      <c r="K82">
        <v>9.6000003814697266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270292</v>
      </c>
      <c r="B83" t="s">
        <v>309</v>
      </c>
      <c r="C83" t="s">
        <v>256</v>
      </c>
      <c r="D83">
        <v>290098</v>
      </c>
      <c r="E83" t="s">
        <v>257</v>
      </c>
      <c r="F83">
        <v>0.87999999523162842</v>
      </c>
      <c r="G83">
        <v>6180.2001953125</v>
      </c>
      <c r="H83">
        <v>39.599998474121094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>
      <c r="A84">
        <v>270292</v>
      </c>
      <c r="B84" t="s">
        <v>309</v>
      </c>
      <c r="C84" t="s">
        <v>259</v>
      </c>
      <c r="D84">
        <v>290017</v>
      </c>
      <c r="E84" t="s">
        <v>311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1.7899999618530273</v>
      </c>
      <c r="V84">
        <v>2374.159912109375</v>
      </c>
      <c r="W84">
        <v>15.199999809265137</v>
      </c>
      <c r="X84">
        <v>0</v>
      </c>
      <c r="Y84">
        <v>0</v>
      </c>
      <c r="Z84">
        <v>0</v>
      </c>
    </row>
    <row r="85" spans="1:26">
      <c r="A85">
        <v>270292</v>
      </c>
      <c r="B85" t="s">
        <v>309</v>
      </c>
      <c r="C85" t="s">
        <v>259</v>
      </c>
      <c r="D85">
        <v>290179</v>
      </c>
      <c r="E85" t="s">
        <v>312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0.63999998569488525</v>
      </c>
      <c r="S85">
        <v>2558.8798828125</v>
      </c>
      <c r="T85">
        <v>16.399999618530273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270292</v>
      </c>
      <c r="B86" t="s">
        <v>309</v>
      </c>
      <c r="C86" t="s">
        <v>259</v>
      </c>
      <c r="D86">
        <v>290179</v>
      </c>
      <c r="E86" t="s">
        <v>312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0.6600000262260437</v>
      </c>
      <c r="P86">
        <v>2644.169921875</v>
      </c>
      <c r="Q86">
        <v>16.899999618530273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270292</v>
      </c>
      <c r="B87" t="s">
        <v>309</v>
      </c>
      <c r="C87" t="s">
        <v>259</v>
      </c>
      <c r="D87">
        <v>290180</v>
      </c>
      <c r="E87" t="s">
        <v>313</v>
      </c>
      <c r="F87">
        <v>1.2899999618530273</v>
      </c>
      <c r="G87">
        <v>2000.1199951171875</v>
      </c>
      <c r="H87">
        <v>12.800000190734863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270292</v>
      </c>
      <c r="B88" t="s">
        <v>309</v>
      </c>
      <c r="C88" t="s">
        <v>259</v>
      </c>
      <c r="D88">
        <v>290180</v>
      </c>
      <c r="E88" t="s">
        <v>313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1.5399999618530273</v>
      </c>
      <c r="S88">
        <v>2381.47998046875</v>
      </c>
      <c r="T88">
        <v>15.300000190734863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270232</v>
      </c>
      <c r="B89" t="s">
        <v>314</v>
      </c>
      <c r="C89" t="s">
        <v>272</v>
      </c>
      <c r="D89">
        <v>290346</v>
      </c>
      <c r="E89" t="s">
        <v>288</v>
      </c>
      <c r="F89">
        <v>1.2699999809265137</v>
      </c>
      <c r="G89">
        <v>739.1199951171875</v>
      </c>
      <c r="H89">
        <v>5.0999999046325684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270232</v>
      </c>
      <c r="B90" t="s">
        <v>314</v>
      </c>
      <c r="C90" t="s">
        <v>282</v>
      </c>
      <c r="D90">
        <v>290044</v>
      </c>
      <c r="E90" t="s">
        <v>315</v>
      </c>
      <c r="F90">
        <v>0</v>
      </c>
      <c r="G90">
        <v>0</v>
      </c>
      <c r="H90">
        <v>0</v>
      </c>
      <c r="I90">
        <v>1.6399999856948853</v>
      </c>
      <c r="J90">
        <v>5061.72998046875</v>
      </c>
      <c r="K90">
        <v>34.900001525878906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270232</v>
      </c>
      <c r="B91" t="s">
        <v>314</v>
      </c>
      <c r="C91" t="s">
        <v>282</v>
      </c>
      <c r="D91">
        <v>290049</v>
      </c>
      <c r="E91" t="s">
        <v>316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1.0800000429153442</v>
      </c>
      <c r="Y91">
        <v>1437.030029296875</v>
      </c>
      <c r="Z91">
        <v>9.8999996185302734</v>
      </c>
    </row>
    <row r="92" spans="1:26">
      <c r="A92">
        <v>270232</v>
      </c>
      <c r="B92" t="s">
        <v>314</v>
      </c>
      <c r="C92" t="s">
        <v>282</v>
      </c>
      <c r="D92">
        <v>290049</v>
      </c>
      <c r="E92" t="s">
        <v>316</v>
      </c>
      <c r="F92">
        <v>1.6000000238418579</v>
      </c>
      <c r="G92">
        <v>2025.06005859375</v>
      </c>
      <c r="H92">
        <v>14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270232</v>
      </c>
      <c r="B93" t="s">
        <v>314</v>
      </c>
      <c r="C93" t="s">
        <v>282</v>
      </c>
      <c r="D93">
        <v>290198</v>
      </c>
      <c r="E93" t="s">
        <v>317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2.309999942779541</v>
      </c>
      <c r="S93">
        <v>3871.580078125</v>
      </c>
      <c r="T93">
        <v>26.700000762939453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270232</v>
      </c>
      <c r="B94" t="s">
        <v>314</v>
      </c>
      <c r="C94" t="s">
        <v>282</v>
      </c>
      <c r="D94">
        <v>290198</v>
      </c>
      <c r="E94" t="s">
        <v>317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3</v>
      </c>
      <c r="V94">
        <v>5022.60009765625</v>
      </c>
      <c r="W94">
        <v>34.599998474121094</v>
      </c>
      <c r="X94">
        <v>0</v>
      </c>
      <c r="Y94">
        <v>0</v>
      </c>
      <c r="Z94">
        <v>0</v>
      </c>
    </row>
    <row r="95" spans="1:26">
      <c r="A95">
        <v>270232</v>
      </c>
      <c r="B95" t="s">
        <v>314</v>
      </c>
      <c r="C95" t="s">
        <v>282</v>
      </c>
      <c r="D95">
        <v>290207</v>
      </c>
      <c r="E95" t="s">
        <v>318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2.809999942779541</v>
      </c>
      <c r="M95">
        <v>4321.81982421875</v>
      </c>
      <c r="N95">
        <v>29.799999237060547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270232</v>
      </c>
      <c r="B96" t="s">
        <v>314</v>
      </c>
      <c r="C96" t="s">
        <v>282</v>
      </c>
      <c r="D96">
        <v>290243</v>
      </c>
      <c r="E96" t="s">
        <v>319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0.5</v>
      </c>
      <c r="S96">
        <v>837.0999755859375</v>
      </c>
      <c r="T96">
        <v>5.8000001907348633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270232</v>
      </c>
      <c r="B97" t="s">
        <v>314</v>
      </c>
      <c r="C97" t="s">
        <v>282</v>
      </c>
      <c r="D97">
        <v>290243</v>
      </c>
      <c r="E97" t="s">
        <v>319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1.809999942779541</v>
      </c>
      <c r="P97">
        <v>3034.489990234375</v>
      </c>
      <c r="Q97">
        <v>20.899999618530273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270232</v>
      </c>
      <c r="B98" t="s">
        <v>314</v>
      </c>
      <c r="C98" t="s">
        <v>280</v>
      </c>
      <c r="D98">
        <v>290088</v>
      </c>
      <c r="E98" t="s">
        <v>320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1.4299999475479126</v>
      </c>
      <c r="M98">
        <v>5157.43994140625</v>
      </c>
      <c r="N98">
        <v>35.599998474121094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>
      <c r="A99">
        <v>270232</v>
      </c>
      <c r="B99" t="s">
        <v>314</v>
      </c>
      <c r="C99" t="s">
        <v>280</v>
      </c>
      <c r="D99">
        <v>290088</v>
      </c>
      <c r="E99" t="s">
        <v>320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1.5299999713897705</v>
      </c>
      <c r="P99">
        <v>5501.27001953125</v>
      </c>
      <c r="Q99">
        <v>37.900001525878906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270232</v>
      </c>
      <c r="B100" t="s">
        <v>314</v>
      </c>
      <c r="C100" t="s">
        <v>256</v>
      </c>
      <c r="D100">
        <v>290103</v>
      </c>
      <c r="E100" t="s">
        <v>275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0.5899999737739563</v>
      </c>
      <c r="M100">
        <v>3479.830078125</v>
      </c>
      <c r="N100">
        <v>24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270232</v>
      </c>
      <c r="B101" t="s">
        <v>314</v>
      </c>
      <c r="C101" t="s">
        <v>256</v>
      </c>
      <c r="D101">
        <v>290103</v>
      </c>
      <c r="E101" t="s">
        <v>275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0.62999999523162842</v>
      </c>
      <c r="P101">
        <v>3711.820068359375</v>
      </c>
      <c r="Q101">
        <v>25.600000381469727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>
      <c r="A102">
        <v>270232</v>
      </c>
      <c r="B102" t="s">
        <v>314</v>
      </c>
      <c r="C102" t="s">
        <v>263</v>
      </c>
      <c r="D102">
        <v>290114</v>
      </c>
      <c r="E102" t="s">
        <v>292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0.85000002384185791</v>
      </c>
      <c r="Y102">
        <v>1357.4100341796875</v>
      </c>
      <c r="Z102">
        <v>9.3999996185302734</v>
      </c>
    </row>
    <row r="103" spans="1:26">
      <c r="A103">
        <v>270232</v>
      </c>
      <c r="B103" t="s">
        <v>314</v>
      </c>
      <c r="C103" t="s">
        <v>263</v>
      </c>
      <c r="D103">
        <v>290205</v>
      </c>
      <c r="E103" t="s">
        <v>321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0.5</v>
      </c>
      <c r="S103">
        <v>450.01998901367187</v>
      </c>
      <c r="T103">
        <v>3.0999999046325684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>
      <c r="A104">
        <v>270232</v>
      </c>
      <c r="B104" t="s">
        <v>314</v>
      </c>
      <c r="C104" t="s">
        <v>263</v>
      </c>
      <c r="D104">
        <v>290205</v>
      </c>
      <c r="E104" t="s">
        <v>321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1.6000000238418579</v>
      </c>
      <c r="P104">
        <v>1443.8299560546875</v>
      </c>
      <c r="Q104">
        <v>10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>
      <c r="A105">
        <v>270232</v>
      </c>
      <c r="B105" t="s">
        <v>314</v>
      </c>
      <c r="C105" t="s">
        <v>263</v>
      </c>
      <c r="D105">
        <v>290220</v>
      </c>
      <c r="E105" t="s">
        <v>299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1.3500000238418579</v>
      </c>
      <c r="M105">
        <v>2038.4000244140625</v>
      </c>
      <c r="N105">
        <v>14.100000381469727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270232</v>
      </c>
      <c r="B106" t="s">
        <v>314</v>
      </c>
      <c r="C106" t="s">
        <v>249</v>
      </c>
      <c r="D106">
        <v>290103</v>
      </c>
      <c r="E106" t="s">
        <v>275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270232</v>
      </c>
      <c r="B107" t="s">
        <v>314</v>
      </c>
      <c r="C107" t="s">
        <v>249</v>
      </c>
      <c r="D107">
        <v>290103</v>
      </c>
      <c r="E107" t="s">
        <v>275</v>
      </c>
      <c r="F107">
        <v>0</v>
      </c>
      <c r="G107">
        <v>0</v>
      </c>
      <c r="H107">
        <v>0</v>
      </c>
      <c r="I107">
        <v>0.34000000357627869</v>
      </c>
      <c r="J107">
        <v>1940.5999755859375</v>
      </c>
      <c r="K107">
        <v>13.399999618530273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270232</v>
      </c>
      <c r="B108" t="s">
        <v>314</v>
      </c>
      <c r="C108" t="s">
        <v>249</v>
      </c>
      <c r="D108">
        <v>290103</v>
      </c>
      <c r="E108" t="s">
        <v>275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0.62999999523162842</v>
      </c>
      <c r="M108">
        <v>3711.820068359375</v>
      </c>
      <c r="N108">
        <v>25.600000381469727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270232</v>
      </c>
      <c r="B109" t="s">
        <v>314</v>
      </c>
      <c r="C109" t="s">
        <v>249</v>
      </c>
      <c r="D109">
        <v>290207</v>
      </c>
      <c r="E109" t="s">
        <v>318</v>
      </c>
      <c r="F109">
        <v>0</v>
      </c>
      <c r="G109">
        <v>0</v>
      </c>
      <c r="H109">
        <v>0</v>
      </c>
      <c r="I109">
        <v>0.5</v>
      </c>
      <c r="J109">
        <v>768.32000732421875</v>
      </c>
      <c r="K109">
        <v>5.3000001907348633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0.5</v>
      </c>
      <c r="S109">
        <v>768.32000732421875</v>
      </c>
      <c r="T109">
        <v>5.3000001907348633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>
      <c r="A110">
        <v>270232</v>
      </c>
      <c r="B110" t="s">
        <v>314</v>
      </c>
      <c r="C110" t="s">
        <v>249</v>
      </c>
      <c r="D110">
        <v>290207</v>
      </c>
      <c r="E110" t="s">
        <v>318</v>
      </c>
      <c r="F110">
        <v>2.8499999046325684</v>
      </c>
      <c r="G110">
        <v>4375.18017578125</v>
      </c>
      <c r="H110">
        <v>30.200000762939453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270232</v>
      </c>
      <c r="B111" t="s">
        <v>314</v>
      </c>
      <c r="C111" t="s">
        <v>249</v>
      </c>
      <c r="D111">
        <v>290207</v>
      </c>
      <c r="E111" t="s">
        <v>318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3</v>
      </c>
      <c r="P111">
        <v>4609.93994140625</v>
      </c>
      <c r="Q111">
        <v>31.799999237060547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>
      <c r="A112">
        <v>270232</v>
      </c>
      <c r="B112" t="s">
        <v>314</v>
      </c>
      <c r="C112" t="s">
        <v>249</v>
      </c>
      <c r="D112">
        <v>290219</v>
      </c>
      <c r="E112" t="s">
        <v>250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0.10999999940395355</v>
      </c>
      <c r="S112">
        <v>851.70001220703125</v>
      </c>
      <c r="T112">
        <v>5.9000000953674316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270232</v>
      </c>
      <c r="B113" t="s">
        <v>314</v>
      </c>
      <c r="C113" t="s">
        <v>249</v>
      </c>
      <c r="D113">
        <v>290219</v>
      </c>
      <c r="E113" t="s">
        <v>250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0.37999999523162842</v>
      </c>
      <c r="V113">
        <v>2991.320068359375</v>
      </c>
      <c r="W113">
        <v>20.600000381469727</v>
      </c>
      <c r="X113">
        <v>0</v>
      </c>
      <c r="Y113">
        <v>0</v>
      </c>
      <c r="Z113">
        <v>0</v>
      </c>
    </row>
    <row r="114" spans="1:26">
      <c r="A114">
        <v>270232</v>
      </c>
      <c r="B114" t="s">
        <v>314</v>
      </c>
      <c r="C114" t="s">
        <v>249</v>
      </c>
      <c r="D114">
        <v>290219</v>
      </c>
      <c r="E114" t="s">
        <v>250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0.37999999523162842</v>
      </c>
      <c r="Y114">
        <v>2991.320068359375</v>
      </c>
      <c r="Z114">
        <v>20.600000381469727</v>
      </c>
    </row>
    <row r="115" spans="1:26">
      <c r="A115">
        <v>270232</v>
      </c>
      <c r="B115" t="s">
        <v>314</v>
      </c>
      <c r="C115" t="s">
        <v>284</v>
      </c>
      <c r="D115">
        <v>290161</v>
      </c>
      <c r="E115" t="s">
        <v>322</v>
      </c>
      <c r="F115">
        <v>0</v>
      </c>
      <c r="G115">
        <v>0</v>
      </c>
      <c r="H115">
        <v>0</v>
      </c>
      <c r="I115">
        <v>1.8999999761581421</v>
      </c>
      <c r="J115">
        <v>2490.590087890625</v>
      </c>
      <c r="K115">
        <v>17.200000762939453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270232</v>
      </c>
      <c r="B116" t="s">
        <v>314</v>
      </c>
      <c r="C116" t="s">
        <v>284</v>
      </c>
      <c r="D116">
        <v>290169</v>
      </c>
      <c r="E116" t="s">
        <v>323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0.5899999737739563</v>
      </c>
      <c r="S116">
        <v>8183.509765625</v>
      </c>
      <c r="T116">
        <v>56.400001525878906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>
      <c r="A117">
        <v>270232</v>
      </c>
      <c r="B117" t="s">
        <v>314</v>
      </c>
      <c r="C117" t="s">
        <v>284</v>
      </c>
      <c r="D117">
        <v>290173</v>
      </c>
      <c r="E117" t="s">
        <v>324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1.1799999475479126</v>
      </c>
      <c r="P117">
        <v>6059.35986328125</v>
      </c>
      <c r="Q117">
        <v>41.799999237060547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270232</v>
      </c>
      <c r="B118" t="s">
        <v>314</v>
      </c>
      <c r="C118" t="s">
        <v>284</v>
      </c>
      <c r="D118">
        <v>290264</v>
      </c>
      <c r="E118" t="s">
        <v>285</v>
      </c>
      <c r="F118">
        <v>0.51999998092651367</v>
      </c>
      <c r="G118">
        <v>4817.5400390625</v>
      </c>
      <c r="H118">
        <v>33.200000762939453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270232</v>
      </c>
      <c r="B119" t="s">
        <v>314</v>
      </c>
      <c r="C119" t="s">
        <v>253</v>
      </c>
      <c r="D119">
        <v>290030</v>
      </c>
      <c r="E119" t="s">
        <v>254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0.67000001668930054</v>
      </c>
      <c r="S119">
        <v>567.82000732421875</v>
      </c>
      <c r="T119">
        <v>3.9000000953674316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>
      <c r="A120">
        <v>270232</v>
      </c>
      <c r="B120" t="s">
        <v>314</v>
      </c>
      <c r="C120" t="s">
        <v>253</v>
      </c>
      <c r="D120">
        <v>290030</v>
      </c>
      <c r="E120" t="s">
        <v>254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1.7799999713897705</v>
      </c>
      <c r="V120">
        <v>1505.81005859375</v>
      </c>
      <c r="W120">
        <v>10.399999618530273</v>
      </c>
      <c r="X120">
        <v>1.7799999713897705</v>
      </c>
      <c r="Y120">
        <v>1505.81005859375</v>
      </c>
      <c r="Z120">
        <v>10.399999618530273</v>
      </c>
    </row>
    <row r="121" spans="1:26">
      <c r="A121">
        <v>270232</v>
      </c>
      <c r="B121" t="s">
        <v>314</v>
      </c>
      <c r="C121" t="s">
        <v>253</v>
      </c>
      <c r="D121">
        <v>290237</v>
      </c>
      <c r="E121" t="s">
        <v>265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0.5899999737739563</v>
      </c>
      <c r="P121">
        <v>461.67001342773437</v>
      </c>
      <c r="Q121">
        <v>3.2000000476837158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270131</v>
      </c>
      <c r="B122" t="s">
        <v>325</v>
      </c>
      <c r="C122" t="s">
        <v>284</v>
      </c>
      <c r="D122">
        <v>290124</v>
      </c>
      <c r="E122" t="s">
        <v>326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0.34999999403953552</v>
      </c>
      <c r="S122">
        <v>3136.31005859375</v>
      </c>
      <c r="T122">
        <v>17.899999618530273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270131</v>
      </c>
      <c r="B123" t="s">
        <v>325</v>
      </c>
      <c r="C123" t="s">
        <v>284</v>
      </c>
      <c r="D123">
        <v>290124</v>
      </c>
      <c r="E123" t="s">
        <v>326</v>
      </c>
      <c r="F123">
        <v>1.25</v>
      </c>
      <c r="G123">
        <v>11069.2998046875</v>
      </c>
      <c r="H123">
        <v>63.299999237060547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>
      <c r="A124">
        <v>270131</v>
      </c>
      <c r="B124" t="s">
        <v>325</v>
      </c>
      <c r="C124" t="s">
        <v>284</v>
      </c>
      <c r="D124">
        <v>290124</v>
      </c>
      <c r="E124" t="s">
        <v>326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3</v>
      </c>
      <c r="V124">
        <v>26566.400390625</v>
      </c>
      <c r="W124">
        <v>151.80000305175781</v>
      </c>
      <c r="X124">
        <v>3</v>
      </c>
      <c r="Y124">
        <v>26566.400390625</v>
      </c>
      <c r="Z124">
        <v>151.80000305175781</v>
      </c>
    </row>
    <row r="125" spans="1:26">
      <c r="A125">
        <v>270082</v>
      </c>
      <c r="B125" t="s">
        <v>327</v>
      </c>
      <c r="C125" t="s">
        <v>280</v>
      </c>
      <c r="D125">
        <v>290091</v>
      </c>
      <c r="E125" t="s">
        <v>328</v>
      </c>
      <c r="F125">
        <v>1.6599999666213989</v>
      </c>
      <c r="G125">
        <v>1931.199951171875</v>
      </c>
      <c r="H125">
        <v>12.100000381469727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270082</v>
      </c>
      <c r="B126" t="s">
        <v>327</v>
      </c>
      <c r="C126" t="s">
        <v>263</v>
      </c>
      <c r="D126">
        <v>290289</v>
      </c>
      <c r="E126" t="s">
        <v>329</v>
      </c>
      <c r="F126">
        <v>1.8600000143051147</v>
      </c>
      <c r="G126">
        <v>12741.400390625</v>
      </c>
      <c r="H126">
        <v>80.099998474121094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270082</v>
      </c>
      <c r="B127" t="s">
        <v>327</v>
      </c>
      <c r="C127" t="s">
        <v>263</v>
      </c>
      <c r="D127">
        <v>290289</v>
      </c>
      <c r="E127" t="s">
        <v>329</v>
      </c>
      <c r="F127">
        <v>0</v>
      </c>
      <c r="G127">
        <v>0</v>
      </c>
      <c r="H127">
        <v>0</v>
      </c>
      <c r="I127">
        <v>3</v>
      </c>
      <c r="J127">
        <v>20550.599609375</v>
      </c>
      <c r="K127">
        <v>129.19999694824219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>
      <c r="A128">
        <v>270076</v>
      </c>
      <c r="B128" t="s">
        <v>330</v>
      </c>
      <c r="C128" t="s">
        <v>278</v>
      </c>
      <c r="D128">
        <v>290071</v>
      </c>
      <c r="E128" t="s">
        <v>331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0.85000002384185791</v>
      </c>
      <c r="S128">
        <v>273.55999755859375</v>
      </c>
      <c r="T128">
        <v>10.899999618530273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>
      <c r="A129">
        <v>270076</v>
      </c>
      <c r="B129" t="s">
        <v>330</v>
      </c>
      <c r="C129" t="s">
        <v>278</v>
      </c>
      <c r="D129">
        <v>290071</v>
      </c>
      <c r="E129" t="s">
        <v>331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2</v>
      </c>
      <c r="V129">
        <v>640.530029296875</v>
      </c>
      <c r="W129">
        <v>25.600000381469727</v>
      </c>
      <c r="X129">
        <v>0</v>
      </c>
      <c r="Y129">
        <v>0</v>
      </c>
      <c r="Z129">
        <v>0</v>
      </c>
    </row>
    <row r="130" spans="1:26">
      <c r="A130">
        <v>270076</v>
      </c>
      <c r="B130" t="s">
        <v>330</v>
      </c>
      <c r="C130" t="s">
        <v>280</v>
      </c>
      <c r="D130">
        <v>290094</v>
      </c>
      <c r="E130" t="s">
        <v>332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0.18999999761581421</v>
      </c>
      <c r="Y130">
        <v>21.959999084472656</v>
      </c>
      <c r="Z130">
        <v>0.89999997615814209</v>
      </c>
    </row>
    <row r="131" spans="1:26">
      <c r="A131">
        <v>270076</v>
      </c>
      <c r="B131" t="s">
        <v>330</v>
      </c>
      <c r="C131" t="s">
        <v>280</v>
      </c>
      <c r="D131">
        <v>290094</v>
      </c>
      <c r="E131" t="s">
        <v>332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0.60000002384185791</v>
      </c>
      <c r="S131">
        <v>70.459999084472656</v>
      </c>
      <c r="T131">
        <v>2.7999999523162842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270076</v>
      </c>
      <c r="B132" t="s">
        <v>330</v>
      </c>
      <c r="C132" t="s">
        <v>280</v>
      </c>
      <c r="D132">
        <v>290094</v>
      </c>
      <c r="E132" t="s">
        <v>332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1.1200000047683716</v>
      </c>
      <c r="V132">
        <v>131.77999877929687</v>
      </c>
      <c r="W132">
        <v>5.3000001907348633</v>
      </c>
      <c r="X132">
        <v>0</v>
      </c>
      <c r="Y132">
        <v>0</v>
      </c>
      <c r="Z132">
        <v>0</v>
      </c>
    </row>
    <row r="133" spans="1:26">
      <c r="A133">
        <v>270076</v>
      </c>
      <c r="B133" t="s">
        <v>330</v>
      </c>
      <c r="C133" t="s">
        <v>280</v>
      </c>
      <c r="D133">
        <v>290095</v>
      </c>
      <c r="E133" t="s">
        <v>333</v>
      </c>
      <c r="F133">
        <v>0</v>
      </c>
      <c r="G133">
        <v>0</v>
      </c>
      <c r="H133">
        <v>0</v>
      </c>
      <c r="I133">
        <v>1.2000000476837158</v>
      </c>
      <c r="J133">
        <v>234.36000061035156</v>
      </c>
      <c r="K133">
        <v>9.3999996185302734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270076</v>
      </c>
      <c r="B134" t="s">
        <v>330</v>
      </c>
      <c r="C134" t="s">
        <v>263</v>
      </c>
      <c r="D134">
        <v>290093</v>
      </c>
      <c r="E134" t="s">
        <v>334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0.18000000715255737</v>
      </c>
      <c r="Y134">
        <v>49.909999847412109</v>
      </c>
      <c r="Z134">
        <v>2</v>
      </c>
    </row>
    <row r="135" spans="1:26">
      <c r="A135">
        <v>270076</v>
      </c>
      <c r="B135" t="s">
        <v>330</v>
      </c>
      <c r="C135" t="s">
        <v>263</v>
      </c>
      <c r="D135">
        <v>290093</v>
      </c>
      <c r="E135" t="s">
        <v>334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0.56000000238418579</v>
      </c>
      <c r="S135">
        <v>155.97000122070312</v>
      </c>
      <c r="T135">
        <v>6.1999998092651367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270076</v>
      </c>
      <c r="B136" t="s">
        <v>330</v>
      </c>
      <c r="C136" t="s">
        <v>263</v>
      </c>
      <c r="D136">
        <v>290093</v>
      </c>
      <c r="E136" t="s">
        <v>334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1.0800000429153442</v>
      </c>
      <c r="V136">
        <v>299.45999145507812</v>
      </c>
      <c r="W136">
        <v>12</v>
      </c>
      <c r="X136">
        <v>0</v>
      </c>
      <c r="Y136">
        <v>0</v>
      </c>
      <c r="Z136">
        <v>0</v>
      </c>
    </row>
    <row r="137" spans="1:26">
      <c r="A137">
        <v>270076</v>
      </c>
      <c r="B137" t="s">
        <v>330</v>
      </c>
      <c r="C137" t="s">
        <v>263</v>
      </c>
      <c r="D137">
        <v>290126</v>
      </c>
      <c r="E137" t="s">
        <v>335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0.34999999403953552</v>
      </c>
      <c r="M137">
        <v>64.650001525878906</v>
      </c>
      <c r="N137">
        <v>2.5999999046325684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270076</v>
      </c>
      <c r="B138" t="s">
        <v>330</v>
      </c>
      <c r="C138" t="s">
        <v>284</v>
      </c>
      <c r="D138">
        <v>290124</v>
      </c>
      <c r="E138" t="s">
        <v>326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0.34999999403953552</v>
      </c>
      <c r="S138">
        <v>96.589996337890625</v>
      </c>
      <c r="T138">
        <v>3.9000000953674316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270076</v>
      </c>
      <c r="B139" t="s">
        <v>330</v>
      </c>
      <c r="C139" t="s">
        <v>284</v>
      </c>
      <c r="D139">
        <v>290124</v>
      </c>
      <c r="E139" t="s">
        <v>326</v>
      </c>
      <c r="F139">
        <v>1.25</v>
      </c>
      <c r="G139">
        <v>340.91000366210937</v>
      </c>
      <c r="H139">
        <v>13.600000381469727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270076</v>
      </c>
      <c r="B140" t="s">
        <v>330</v>
      </c>
      <c r="C140" t="s">
        <v>284</v>
      </c>
      <c r="D140">
        <v>290124</v>
      </c>
      <c r="E140" t="s">
        <v>326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3</v>
      </c>
      <c r="V140">
        <v>818.17999267578125</v>
      </c>
      <c r="W140">
        <v>32.700000762939453</v>
      </c>
      <c r="X140">
        <v>3</v>
      </c>
      <c r="Y140">
        <v>818.17999267578125</v>
      </c>
      <c r="Z140">
        <v>32.700000762939453</v>
      </c>
    </row>
    <row r="141" spans="1:26">
      <c r="A141">
        <v>270076</v>
      </c>
      <c r="B141" t="s">
        <v>330</v>
      </c>
      <c r="C141" t="s">
        <v>294</v>
      </c>
      <c r="D141">
        <v>290069</v>
      </c>
      <c r="E141" t="s">
        <v>336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0.25999999046325684</v>
      </c>
      <c r="V141">
        <v>52.229999542236328</v>
      </c>
      <c r="W141">
        <v>2.0999999046325684</v>
      </c>
      <c r="X141">
        <v>0</v>
      </c>
      <c r="Y141">
        <v>0</v>
      </c>
      <c r="Z141">
        <v>0</v>
      </c>
    </row>
    <row r="142" spans="1:26">
      <c r="A142">
        <v>270076</v>
      </c>
      <c r="B142" t="s">
        <v>330</v>
      </c>
      <c r="C142" t="s">
        <v>294</v>
      </c>
      <c r="D142">
        <v>290069</v>
      </c>
      <c r="E142" t="s">
        <v>336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1.5</v>
      </c>
      <c r="S142">
        <v>298.14999389648437</v>
      </c>
      <c r="T142">
        <v>11.899999618530273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270072</v>
      </c>
      <c r="B143" t="s">
        <v>337</v>
      </c>
      <c r="C143" t="s">
        <v>282</v>
      </c>
      <c r="D143">
        <v>290049</v>
      </c>
      <c r="E143" t="s">
        <v>316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1.0800000429153442</v>
      </c>
      <c r="Y143">
        <v>127.12999725341797</v>
      </c>
      <c r="Z143">
        <v>5.0999999046325684</v>
      </c>
    </row>
    <row r="144" spans="1:26">
      <c r="A144">
        <v>270072</v>
      </c>
      <c r="B144" t="s">
        <v>337</v>
      </c>
      <c r="C144" t="s">
        <v>282</v>
      </c>
      <c r="D144">
        <v>290049</v>
      </c>
      <c r="E144" t="s">
        <v>316</v>
      </c>
      <c r="F144">
        <v>1.6000000238418579</v>
      </c>
      <c r="G144">
        <v>179.14999389648437</v>
      </c>
      <c r="H144">
        <v>7.1999998092651367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270072</v>
      </c>
      <c r="B145" t="s">
        <v>337</v>
      </c>
      <c r="C145" t="s">
        <v>278</v>
      </c>
      <c r="D145">
        <v>290064</v>
      </c>
      <c r="E145" t="s">
        <v>338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1.8500000238418579</v>
      </c>
      <c r="M145">
        <v>580.46002197265625</v>
      </c>
      <c r="N145">
        <v>23.200000762939453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270072</v>
      </c>
      <c r="B146" t="s">
        <v>337</v>
      </c>
      <c r="C146" t="s">
        <v>278</v>
      </c>
      <c r="D146">
        <v>290065</v>
      </c>
      <c r="E146" t="s">
        <v>339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0.5</v>
      </c>
      <c r="P146">
        <v>128.58999633789062</v>
      </c>
      <c r="Q146">
        <v>5.0999999046325684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270072</v>
      </c>
      <c r="B147" t="s">
        <v>337</v>
      </c>
      <c r="C147" t="s">
        <v>278</v>
      </c>
      <c r="D147">
        <v>290065</v>
      </c>
      <c r="E147" t="s">
        <v>339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0.85000002384185791</v>
      </c>
      <c r="M147">
        <v>219.67999267578125</v>
      </c>
      <c r="N147">
        <v>8.8000001907348633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270072</v>
      </c>
      <c r="B148" t="s">
        <v>337</v>
      </c>
      <c r="C148" t="s">
        <v>280</v>
      </c>
      <c r="D148">
        <v>290091</v>
      </c>
      <c r="E148" t="s">
        <v>328</v>
      </c>
      <c r="F148">
        <v>1.6599999666213989</v>
      </c>
      <c r="G148">
        <v>178.24000549316406</v>
      </c>
      <c r="H148">
        <v>7.0999999046325684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270072</v>
      </c>
      <c r="B149" t="s">
        <v>337</v>
      </c>
      <c r="C149" t="s">
        <v>284</v>
      </c>
      <c r="D149">
        <v>290173</v>
      </c>
      <c r="E149" t="s">
        <v>324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1.1799999475479126</v>
      </c>
      <c r="P149">
        <v>150.66999816894531</v>
      </c>
      <c r="Q149">
        <v>6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>
      <c r="A150">
        <v>270072</v>
      </c>
      <c r="B150" t="s">
        <v>337</v>
      </c>
      <c r="C150" t="s">
        <v>241</v>
      </c>
      <c r="D150">
        <v>290150</v>
      </c>
      <c r="E150" t="s">
        <v>242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0.44999998807907104</v>
      </c>
      <c r="S150">
        <v>87.389999389648438</v>
      </c>
      <c r="T150">
        <v>3.5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270072</v>
      </c>
      <c r="B151" t="s">
        <v>337</v>
      </c>
      <c r="C151" t="s">
        <v>241</v>
      </c>
      <c r="D151">
        <v>290150</v>
      </c>
      <c r="E151" t="s">
        <v>242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0.75</v>
      </c>
      <c r="V151">
        <v>144.63999938964844</v>
      </c>
      <c r="W151">
        <v>5.8000001907348633</v>
      </c>
      <c r="X151">
        <v>0.75</v>
      </c>
      <c r="Y151">
        <v>144.63999938964844</v>
      </c>
      <c r="Z151">
        <v>5.8000001907348633</v>
      </c>
    </row>
    <row r="152" spans="1:26">
      <c r="A152">
        <v>270072</v>
      </c>
      <c r="B152" t="s">
        <v>337</v>
      </c>
      <c r="C152" t="s">
        <v>294</v>
      </c>
      <c r="D152">
        <v>290063</v>
      </c>
      <c r="E152" t="s">
        <v>340</v>
      </c>
      <c r="F152">
        <v>1.8899999856948853</v>
      </c>
      <c r="G152">
        <v>611.02001953125</v>
      </c>
      <c r="H152">
        <v>24.399999618530273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270057</v>
      </c>
      <c r="B153" t="s">
        <v>341</v>
      </c>
      <c r="C153" t="s">
        <v>282</v>
      </c>
      <c r="D153">
        <v>290049</v>
      </c>
      <c r="E153" t="s">
        <v>316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1.0800000429153442</v>
      </c>
      <c r="Y153">
        <v>781.95001220703125</v>
      </c>
      <c r="Z153">
        <v>23.700000762939453</v>
      </c>
    </row>
    <row r="154" spans="1:26">
      <c r="A154">
        <v>270057</v>
      </c>
      <c r="B154" t="s">
        <v>341</v>
      </c>
      <c r="C154" t="s">
        <v>282</v>
      </c>
      <c r="D154">
        <v>290049</v>
      </c>
      <c r="E154" t="s">
        <v>316</v>
      </c>
      <c r="F154">
        <v>1.6000000238418579</v>
      </c>
      <c r="G154">
        <v>1101.9200439453125</v>
      </c>
      <c r="H154">
        <v>33.400001525878906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270039</v>
      </c>
      <c r="B155" t="s">
        <v>342</v>
      </c>
      <c r="C155" t="s">
        <v>244</v>
      </c>
      <c r="D155">
        <v>290214</v>
      </c>
      <c r="E155" t="s">
        <v>343</v>
      </c>
      <c r="F155">
        <v>0</v>
      </c>
      <c r="G155">
        <v>0</v>
      </c>
      <c r="H155">
        <v>0</v>
      </c>
      <c r="I155">
        <v>1.4199999570846558</v>
      </c>
      <c r="J155">
        <v>840.84002685546875</v>
      </c>
      <c r="K155">
        <v>4.9000000953674316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270039</v>
      </c>
      <c r="B156" t="s">
        <v>342</v>
      </c>
      <c r="C156" t="s">
        <v>241</v>
      </c>
      <c r="D156">
        <v>290262</v>
      </c>
      <c r="E156" t="s">
        <v>251</v>
      </c>
      <c r="F156">
        <v>0.69999998807907104</v>
      </c>
      <c r="G156">
        <v>1396.780029296875</v>
      </c>
      <c r="H156">
        <v>8.1999998092651367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>
      <c r="A157">
        <v>270038</v>
      </c>
      <c r="B157" t="s">
        <v>344</v>
      </c>
      <c r="C157" t="s">
        <v>278</v>
      </c>
      <c r="D157">
        <v>290071</v>
      </c>
      <c r="E157" t="s">
        <v>331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0.85000002384185791</v>
      </c>
      <c r="S157">
        <v>6776.52978515625</v>
      </c>
      <c r="T157">
        <v>40.099998474121094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270038</v>
      </c>
      <c r="B158" t="s">
        <v>344</v>
      </c>
      <c r="C158" t="s">
        <v>278</v>
      </c>
      <c r="D158">
        <v>290071</v>
      </c>
      <c r="E158" t="s">
        <v>331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2</v>
      </c>
      <c r="V158">
        <v>15867</v>
      </c>
      <c r="W158">
        <v>93.900001525878906</v>
      </c>
      <c r="X158">
        <v>0</v>
      </c>
      <c r="Y158">
        <v>0</v>
      </c>
      <c r="Z158">
        <v>0</v>
      </c>
    </row>
    <row r="159" spans="1:26">
      <c r="A159">
        <v>270037</v>
      </c>
      <c r="B159" t="s">
        <v>345</v>
      </c>
      <c r="C159" t="s">
        <v>256</v>
      </c>
      <c r="D159">
        <v>290098</v>
      </c>
      <c r="E159" t="s">
        <v>257</v>
      </c>
      <c r="F159">
        <v>0</v>
      </c>
      <c r="G159">
        <v>0</v>
      </c>
      <c r="H159">
        <v>0</v>
      </c>
      <c r="I159">
        <v>0.23999999463558197</v>
      </c>
      <c r="J159">
        <v>263.64999389648437</v>
      </c>
      <c r="K159">
        <v>1.5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>
      <c r="A160">
        <v>270037</v>
      </c>
      <c r="B160" t="s">
        <v>345</v>
      </c>
      <c r="C160" t="s">
        <v>256</v>
      </c>
      <c r="D160">
        <v>290098</v>
      </c>
      <c r="E160" t="s">
        <v>257</v>
      </c>
      <c r="F160">
        <v>0.87999999523162842</v>
      </c>
      <c r="G160">
        <v>1092.6099853515625</v>
      </c>
      <c r="H160">
        <v>6.1999998092651367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>
      <c r="A161">
        <v>270037</v>
      </c>
      <c r="B161" t="s">
        <v>345</v>
      </c>
      <c r="C161" t="s">
        <v>263</v>
      </c>
      <c r="D161">
        <v>290289</v>
      </c>
      <c r="E161" t="s">
        <v>329</v>
      </c>
      <c r="F161">
        <v>1.8600000143051147</v>
      </c>
      <c r="G161">
        <v>7707.56005859375</v>
      </c>
      <c r="H161">
        <v>44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270037</v>
      </c>
      <c r="B162" t="s">
        <v>345</v>
      </c>
      <c r="C162" t="s">
        <v>263</v>
      </c>
      <c r="D162">
        <v>290289</v>
      </c>
      <c r="E162" t="s">
        <v>329</v>
      </c>
      <c r="F162">
        <v>0</v>
      </c>
      <c r="G162">
        <v>0</v>
      </c>
      <c r="H162">
        <v>0</v>
      </c>
      <c r="I162">
        <v>3</v>
      </c>
      <c r="J162">
        <v>12431.5</v>
      </c>
      <c r="K162">
        <v>71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270037</v>
      </c>
      <c r="B163" t="s">
        <v>345</v>
      </c>
      <c r="C163" t="s">
        <v>241</v>
      </c>
      <c r="D163">
        <v>290150</v>
      </c>
      <c r="E163" t="s">
        <v>242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0.44999998807907104</v>
      </c>
      <c r="S163">
        <v>1199.6400146484375</v>
      </c>
      <c r="T163">
        <v>6.9000000953674316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270037</v>
      </c>
      <c r="B164" t="s">
        <v>345</v>
      </c>
      <c r="C164" t="s">
        <v>241</v>
      </c>
      <c r="D164">
        <v>290150</v>
      </c>
      <c r="E164" t="s">
        <v>242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0.75</v>
      </c>
      <c r="V164">
        <v>1985.5999755859375</v>
      </c>
      <c r="W164">
        <v>11.300000190734863</v>
      </c>
      <c r="X164">
        <v>0.75</v>
      </c>
      <c r="Y164">
        <v>1985.5999755859375</v>
      </c>
      <c r="Z164">
        <v>11.300000190734863</v>
      </c>
    </row>
    <row r="165" spans="1:26">
      <c r="A165">
        <v>270037</v>
      </c>
      <c r="B165" t="s">
        <v>345</v>
      </c>
      <c r="C165" t="s">
        <v>294</v>
      </c>
      <c r="D165">
        <v>290294</v>
      </c>
      <c r="E165" t="s">
        <v>346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1.2699999809265137</v>
      </c>
      <c r="P165">
        <v>10433.400390625</v>
      </c>
      <c r="Q165">
        <v>59.599998474121094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270037</v>
      </c>
      <c r="B166" t="s">
        <v>345</v>
      </c>
      <c r="C166" t="s">
        <v>294</v>
      </c>
      <c r="D166">
        <v>290295</v>
      </c>
      <c r="E166" t="s">
        <v>347</v>
      </c>
      <c r="F166">
        <v>0</v>
      </c>
      <c r="G166">
        <v>0</v>
      </c>
      <c r="H166">
        <v>0</v>
      </c>
      <c r="I166">
        <v>0.70999997854232788</v>
      </c>
      <c r="J166">
        <v>4577.77001953125</v>
      </c>
      <c r="K166">
        <v>26.200000762939453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270037</v>
      </c>
      <c r="B167" t="s">
        <v>345</v>
      </c>
      <c r="C167" t="s">
        <v>294</v>
      </c>
      <c r="D167">
        <v>290298</v>
      </c>
      <c r="E167" t="s">
        <v>348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0.85000002384185791</v>
      </c>
      <c r="M167">
        <v>771.94000244140625</v>
      </c>
      <c r="N167">
        <v>4.4000000953674316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>
      <c r="A168">
        <v>270037</v>
      </c>
      <c r="B168" t="s">
        <v>345</v>
      </c>
      <c r="C168" t="s">
        <v>266</v>
      </c>
      <c r="D168">
        <v>290290</v>
      </c>
      <c r="E168" t="s">
        <v>267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0.54000002145767212</v>
      </c>
      <c r="M168">
        <v>2767.35009765625</v>
      </c>
      <c r="N168">
        <v>15.800000190734863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>
      <c r="A169">
        <v>270037</v>
      </c>
      <c r="B169" t="s">
        <v>345</v>
      </c>
      <c r="C169" t="s">
        <v>266</v>
      </c>
      <c r="D169">
        <v>290290</v>
      </c>
      <c r="E169" t="s">
        <v>267</v>
      </c>
      <c r="F169">
        <v>0.81999999284744263</v>
      </c>
      <c r="G169">
        <v>1475.9200439453125</v>
      </c>
      <c r="H169">
        <v>8.3999996185302734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270037</v>
      </c>
      <c r="B170" t="s">
        <v>345</v>
      </c>
      <c r="C170" t="s">
        <v>266</v>
      </c>
      <c r="D170">
        <v>290290</v>
      </c>
      <c r="E170" t="s">
        <v>267</v>
      </c>
      <c r="F170">
        <v>0</v>
      </c>
      <c r="G170">
        <v>0</v>
      </c>
      <c r="H170">
        <v>0</v>
      </c>
      <c r="I170">
        <v>0.81999999284744263</v>
      </c>
      <c r="J170">
        <v>2795.02001953125</v>
      </c>
      <c r="K170">
        <v>16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270037</v>
      </c>
      <c r="B171" t="s">
        <v>345</v>
      </c>
      <c r="C171" t="s">
        <v>266</v>
      </c>
      <c r="D171">
        <v>290292</v>
      </c>
      <c r="E171" t="s">
        <v>268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1.559999942779541</v>
      </c>
      <c r="S171">
        <v>1752.530029296875</v>
      </c>
      <c r="T171">
        <v>10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270036</v>
      </c>
      <c r="B172" t="s">
        <v>349</v>
      </c>
      <c r="C172" t="s">
        <v>256</v>
      </c>
      <c r="D172">
        <v>290045</v>
      </c>
      <c r="E172" t="s">
        <v>290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0.72000002861022949</v>
      </c>
      <c r="S172">
        <v>4198.490234375</v>
      </c>
      <c r="T172">
        <v>23.899999618530273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270036</v>
      </c>
      <c r="B173" t="s">
        <v>349</v>
      </c>
      <c r="C173" t="s">
        <v>256</v>
      </c>
      <c r="D173">
        <v>290045</v>
      </c>
      <c r="E173" t="s">
        <v>290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0.76999998092651367</v>
      </c>
      <c r="V173">
        <v>4478.39013671875</v>
      </c>
      <c r="W173">
        <v>25.399999618530273</v>
      </c>
      <c r="X173">
        <v>0.76999998092651367</v>
      </c>
      <c r="Y173">
        <v>4478.39013671875</v>
      </c>
      <c r="Z173">
        <v>25.399999618530273</v>
      </c>
    </row>
    <row r="174" spans="1:26">
      <c r="A174">
        <v>270036</v>
      </c>
      <c r="B174" t="s">
        <v>349</v>
      </c>
      <c r="C174" t="s">
        <v>256</v>
      </c>
      <c r="D174">
        <v>290101</v>
      </c>
      <c r="E174" t="s">
        <v>291</v>
      </c>
      <c r="F174">
        <v>0</v>
      </c>
      <c r="G174">
        <v>0</v>
      </c>
      <c r="H174">
        <v>0</v>
      </c>
      <c r="I174">
        <v>1.2400000095367432</v>
      </c>
      <c r="J174">
        <v>3959.1201171875</v>
      </c>
      <c r="K174">
        <v>22.5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270036</v>
      </c>
      <c r="B175" t="s">
        <v>349</v>
      </c>
      <c r="C175" t="s">
        <v>241</v>
      </c>
      <c r="D175">
        <v>290045</v>
      </c>
      <c r="E175" t="s">
        <v>290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0.12999999523162842</v>
      </c>
      <c r="S175">
        <v>746.4000244140625</v>
      </c>
      <c r="T175">
        <v>4.1999998092651367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270036</v>
      </c>
      <c r="B176" t="s">
        <v>349</v>
      </c>
      <c r="C176" t="s">
        <v>241</v>
      </c>
      <c r="D176">
        <v>290045</v>
      </c>
      <c r="E176" t="s">
        <v>290</v>
      </c>
      <c r="F176">
        <v>0.76999998092651367</v>
      </c>
      <c r="G176">
        <v>2016.1099853515625</v>
      </c>
      <c r="H176">
        <v>11.5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270036</v>
      </c>
      <c r="B177" t="s">
        <v>349</v>
      </c>
      <c r="C177" t="s">
        <v>241</v>
      </c>
      <c r="D177">
        <v>290045</v>
      </c>
      <c r="E177" t="s">
        <v>290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0.76999998092651367</v>
      </c>
      <c r="M177">
        <v>4478.39013671875</v>
      </c>
      <c r="N177">
        <v>25.399999618530273</v>
      </c>
      <c r="O177">
        <v>0.76999998092651367</v>
      </c>
      <c r="P177">
        <v>4478.39013671875</v>
      </c>
      <c r="Q177">
        <v>25.399999618530273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>
      <c r="A178">
        <v>270036</v>
      </c>
      <c r="B178" t="s">
        <v>349</v>
      </c>
      <c r="C178" t="s">
        <v>241</v>
      </c>
      <c r="D178">
        <v>290045</v>
      </c>
      <c r="E178" t="s">
        <v>290</v>
      </c>
      <c r="F178">
        <v>0</v>
      </c>
      <c r="G178">
        <v>0</v>
      </c>
      <c r="H178">
        <v>0</v>
      </c>
      <c r="I178">
        <v>0.93999999761581421</v>
      </c>
      <c r="J178">
        <v>4522.080078125</v>
      </c>
      <c r="K178">
        <v>25.700000762939453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>
      <c r="A179">
        <v>270036</v>
      </c>
      <c r="B179" t="s">
        <v>349</v>
      </c>
      <c r="C179" t="s">
        <v>266</v>
      </c>
      <c r="D179">
        <v>290045</v>
      </c>
      <c r="E179" t="s">
        <v>290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0.4699999988079071</v>
      </c>
      <c r="V179">
        <v>2705.699951171875</v>
      </c>
      <c r="W179">
        <v>15.399999618530273</v>
      </c>
      <c r="X179">
        <v>0</v>
      </c>
      <c r="Y179">
        <v>0</v>
      </c>
      <c r="Z179">
        <v>0</v>
      </c>
    </row>
    <row r="180" spans="1:26">
      <c r="A180">
        <v>270036</v>
      </c>
      <c r="B180" t="s">
        <v>349</v>
      </c>
      <c r="C180" t="s">
        <v>266</v>
      </c>
      <c r="D180">
        <v>290045</v>
      </c>
      <c r="E180" t="s">
        <v>290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0.76999998092651367</v>
      </c>
      <c r="Y180">
        <v>4478.39013671875</v>
      </c>
      <c r="Z180">
        <v>25.399999618530273</v>
      </c>
    </row>
    <row r="181" spans="1:26">
      <c r="A181">
        <v>270035</v>
      </c>
      <c r="B181" t="s">
        <v>350</v>
      </c>
      <c r="C181" t="s">
        <v>278</v>
      </c>
      <c r="D181">
        <v>290055</v>
      </c>
      <c r="E181" t="s">
        <v>279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1.8500000238418579</v>
      </c>
      <c r="S181">
        <v>3761.27001953125</v>
      </c>
      <c r="T181">
        <v>22.100000381469727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>
      <c r="A182">
        <v>270035</v>
      </c>
      <c r="B182" t="s">
        <v>350</v>
      </c>
      <c r="C182" t="s">
        <v>278</v>
      </c>
      <c r="D182">
        <v>290060</v>
      </c>
      <c r="E182" t="s">
        <v>289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0.46000000834465027</v>
      </c>
      <c r="V182">
        <v>2362.580078125</v>
      </c>
      <c r="W182">
        <v>13.899999618530273</v>
      </c>
      <c r="X182">
        <v>0</v>
      </c>
      <c r="Y182">
        <v>0</v>
      </c>
      <c r="Z182">
        <v>0</v>
      </c>
    </row>
    <row r="183" spans="1:26">
      <c r="A183">
        <v>270035</v>
      </c>
      <c r="B183" t="s">
        <v>350</v>
      </c>
      <c r="C183" t="s">
        <v>278</v>
      </c>
      <c r="D183">
        <v>290060</v>
      </c>
      <c r="E183" t="s">
        <v>289</v>
      </c>
      <c r="F183">
        <v>0.97000002861022949</v>
      </c>
      <c r="G183">
        <v>2684.820068359375</v>
      </c>
      <c r="H183">
        <v>15.800000190734863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270035</v>
      </c>
      <c r="B184" t="s">
        <v>350</v>
      </c>
      <c r="C184" t="s">
        <v>278</v>
      </c>
      <c r="D184">
        <v>290060</v>
      </c>
      <c r="E184" t="s">
        <v>289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1.6200000047683716</v>
      </c>
      <c r="Y184">
        <v>8297.849609375</v>
      </c>
      <c r="Z184">
        <v>48.799999237060547</v>
      </c>
    </row>
    <row r="185" spans="1:26">
      <c r="A185">
        <v>270035</v>
      </c>
      <c r="B185" t="s">
        <v>350</v>
      </c>
      <c r="C185" t="s">
        <v>280</v>
      </c>
      <c r="D185">
        <v>290094</v>
      </c>
      <c r="E185" t="s">
        <v>332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0.18999999761581421</v>
      </c>
      <c r="Y185">
        <v>426.1099853515625</v>
      </c>
      <c r="Z185">
        <v>2.5</v>
      </c>
    </row>
    <row r="186" spans="1:26">
      <c r="A186">
        <v>270035</v>
      </c>
      <c r="B186" t="s">
        <v>350</v>
      </c>
      <c r="C186" t="s">
        <v>280</v>
      </c>
      <c r="D186">
        <v>290094</v>
      </c>
      <c r="E186" t="s">
        <v>332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0.60000002384185791</v>
      </c>
      <c r="S186">
        <v>1367.1099853515625</v>
      </c>
      <c r="T186">
        <v>8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>
      <c r="A187">
        <v>270035</v>
      </c>
      <c r="B187" t="s">
        <v>350</v>
      </c>
      <c r="C187" t="s">
        <v>280</v>
      </c>
      <c r="D187">
        <v>290094</v>
      </c>
      <c r="E187" t="s">
        <v>332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1.1200000047683716</v>
      </c>
      <c r="V187">
        <v>2556.679931640625</v>
      </c>
      <c r="W187">
        <v>15</v>
      </c>
      <c r="X187">
        <v>0</v>
      </c>
      <c r="Y187">
        <v>0</v>
      </c>
      <c r="Z187">
        <v>0</v>
      </c>
    </row>
    <row r="188" spans="1:26">
      <c r="A188">
        <v>270035</v>
      </c>
      <c r="B188" t="s">
        <v>350</v>
      </c>
      <c r="C188" t="s">
        <v>253</v>
      </c>
      <c r="D188">
        <v>290259</v>
      </c>
      <c r="E188" t="s">
        <v>351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1.3600000143051147</v>
      </c>
      <c r="M188">
        <v>945.77001953125</v>
      </c>
      <c r="N188">
        <v>5.5999999046325684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270035</v>
      </c>
      <c r="B189" t="s">
        <v>350</v>
      </c>
      <c r="C189" t="s">
        <v>294</v>
      </c>
      <c r="D189">
        <v>290062</v>
      </c>
      <c r="E189" t="s">
        <v>295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0.27000001072883606</v>
      </c>
      <c r="P189">
        <v>1762.8499755859375</v>
      </c>
      <c r="Q189">
        <v>10.399999618530273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270035</v>
      </c>
      <c r="B190" t="s">
        <v>350</v>
      </c>
      <c r="C190" t="s">
        <v>294</v>
      </c>
      <c r="D190">
        <v>290062</v>
      </c>
      <c r="E190" t="s">
        <v>295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0.99000000953674316</v>
      </c>
      <c r="M190">
        <v>6537.240234375</v>
      </c>
      <c r="N190">
        <v>38.5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270035</v>
      </c>
      <c r="B191" t="s">
        <v>350</v>
      </c>
      <c r="C191" t="s">
        <v>294</v>
      </c>
      <c r="D191">
        <v>290069</v>
      </c>
      <c r="E191" t="s">
        <v>336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0.25999999046325684</v>
      </c>
      <c r="V191">
        <v>174.83999633789063</v>
      </c>
      <c r="W191">
        <v>1</v>
      </c>
      <c r="X191">
        <v>0</v>
      </c>
      <c r="Y191">
        <v>0</v>
      </c>
      <c r="Z191">
        <v>0</v>
      </c>
    </row>
    <row r="192" spans="1:26">
      <c r="A192">
        <v>270035</v>
      </c>
      <c r="B192" t="s">
        <v>350</v>
      </c>
      <c r="C192" t="s">
        <v>294</v>
      </c>
      <c r="D192">
        <v>290069</v>
      </c>
      <c r="E192" t="s">
        <v>336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1.5</v>
      </c>
      <c r="S192">
        <v>998.05999755859375</v>
      </c>
      <c r="T192">
        <v>5.9000000953674316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270035</v>
      </c>
      <c r="B193" t="s">
        <v>350</v>
      </c>
      <c r="C193" t="s">
        <v>266</v>
      </c>
      <c r="D193">
        <v>290290</v>
      </c>
      <c r="E193" t="s">
        <v>267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0.54000002145767212</v>
      </c>
      <c r="M193">
        <v>2855.300048828125</v>
      </c>
      <c r="N193">
        <v>16.799999237060547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270035</v>
      </c>
      <c r="B194" t="s">
        <v>350</v>
      </c>
      <c r="C194" t="s">
        <v>266</v>
      </c>
      <c r="D194">
        <v>290290</v>
      </c>
      <c r="E194" t="s">
        <v>267</v>
      </c>
      <c r="F194">
        <v>0.81999999284744263</v>
      </c>
      <c r="G194">
        <v>1522.8299560546875</v>
      </c>
      <c r="H194">
        <v>9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270035</v>
      </c>
      <c r="B195" t="s">
        <v>350</v>
      </c>
      <c r="C195" t="s">
        <v>266</v>
      </c>
      <c r="D195">
        <v>290290</v>
      </c>
      <c r="E195" t="s">
        <v>267</v>
      </c>
      <c r="F195">
        <v>0</v>
      </c>
      <c r="G195">
        <v>0</v>
      </c>
      <c r="H195">
        <v>0</v>
      </c>
      <c r="I195">
        <v>0.81999999284744263</v>
      </c>
      <c r="J195">
        <v>2883.85009765625</v>
      </c>
      <c r="K195">
        <v>17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>
      <c r="A196">
        <v>270035</v>
      </c>
      <c r="B196" t="s">
        <v>350</v>
      </c>
      <c r="C196" t="s">
        <v>266</v>
      </c>
      <c r="D196">
        <v>290292</v>
      </c>
      <c r="E196" t="s">
        <v>268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1.559999942779541</v>
      </c>
      <c r="S196">
        <v>992.94000244140625</v>
      </c>
      <c r="T196">
        <v>5.8000001907348633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>
      <c r="A197">
        <v>270033</v>
      </c>
      <c r="B197" t="s">
        <v>352</v>
      </c>
      <c r="C197" t="s">
        <v>278</v>
      </c>
      <c r="D197">
        <v>290064</v>
      </c>
      <c r="E197" t="s">
        <v>338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1.8500000238418579</v>
      </c>
      <c r="M197">
        <v>12890.7998046875</v>
      </c>
      <c r="N197">
        <v>76.300003051757813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>
      <c r="A198">
        <v>270033</v>
      </c>
      <c r="B198" t="s">
        <v>352</v>
      </c>
      <c r="C198" t="s">
        <v>278</v>
      </c>
      <c r="D198">
        <v>290065</v>
      </c>
      <c r="E198" t="s">
        <v>339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0.5</v>
      </c>
      <c r="P198">
        <v>4581.64990234375</v>
      </c>
      <c r="Q198">
        <v>27.100000381469727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>
      <c r="A199">
        <v>270033</v>
      </c>
      <c r="B199" t="s">
        <v>352</v>
      </c>
      <c r="C199" t="s">
        <v>278</v>
      </c>
      <c r="D199">
        <v>290065</v>
      </c>
      <c r="E199" t="s">
        <v>339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0.85000002384185791</v>
      </c>
      <c r="M199">
        <v>7826.97998046875</v>
      </c>
      <c r="N199">
        <v>46.299999237060547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>
      <c r="A200">
        <v>270033</v>
      </c>
      <c r="B200" t="s">
        <v>352</v>
      </c>
      <c r="C200" t="s">
        <v>280</v>
      </c>
      <c r="D200">
        <v>290148</v>
      </c>
      <c r="E200" t="s">
        <v>281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0.85000002384185791</v>
      </c>
      <c r="Y200">
        <v>1397.6300048828125</v>
      </c>
      <c r="Z200">
        <v>8.3000001907348633</v>
      </c>
    </row>
    <row r="201" spans="1:26">
      <c r="A201">
        <v>270033</v>
      </c>
      <c r="B201" t="s">
        <v>352</v>
      </c>
      <c r="C201" t="s">
        <v>280</v>
      </c>
      <c r="D201">
        <v>290148</v>
      </c>
      <c r="E201" t="s">
        <v>281</v>
      </c>
      <c r="F201">
        <v>1.3400000333786011</v>
      </c>
      <c r="G201">
        <v>810.8800048828125</v>
      </c>
      <c r="H201">
        <v>4.8000001907348633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270033</v>
      </c>
      <c r="B202" t="s">
        <v>352</v>
      </c>
      <c r="C202" t="s">
        <v>263</v>
      </c>
      <c r="D202">
        <v>290206</v>
      </c>
      <c r="E202" t="s">
        <v>264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1.3500000238418579</v>
      </c>
      <c r="Y202">
        <v>789.780029296875</v>
      </c>
      <c r="Z202">
        <v>4.6999998092651367</v>
      </c>
    </row>
    <row r="203" spans="1:26">
      <c r="A203">
        <v>270033</v>
      </c>
      <c r="B203" t="s">
        <v>352</v>
      </c>
      <c r="C203" t="s">
        <v>294</v>
      </c>
      <c r="D203">
        <v>290063</v>
      </c>
      <c r="E203" t="s">
        <v>340</v>
      </c>
      <c r="F203">
        <v>1.8899999856948853</v>
      </c>
      <c r="G203">
        <v>23833</v>
      </c>
      <c r="H203">
        <v>141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>
      <c r="A204">
        <v>270030</v>
      </c>
      <c r="B204" t="s">
        <v>353</v>
      </c>
      <c r="C204" t="s">
        <v>278</v>
      </c>
      <c r="D204">
        <v>290055</v>
      </c>
      <c r="E204" t="s">
        <v>279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1.8500000238418579</v>
      </c>
      <c r="S204">
        <v>5951.64990234375</v>
      </c>
      <c r="T204">
        <v>45.799999237060547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>
      <c r="A205">
        <v>270030</v>
      </c>
      <c r="B205" t="s">
        <v>353</v>
      </c>
      <c r="C205" t="s">
        <v>263</v>
      </c>
      <c r="D205">
        <v>290205</v>
      </c>
      <c r="E205" t="s">
        <v>321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0.5</v>
      </c>
      <c r="S205">
        <v>1343.800048828125</v>
      </c>
      <c r="T205">
        <v>10.300000190734863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270030</v>
      </c>
      <c r="B206" t="s">
        <v>353</v>
      </c>
      <c r="C206" t="s">
        <v>263</v>
      </c>
      <c r="D206">
        <v>290205</v>
      </c>
      <c r="E206" t="s">
        <v>321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1.6000000238418579</v>
      </c>
      <c r="P206">
        <v>4311.3701171875</v>
      </c>
      <c r="Q206">
        <v>33.200000762939453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>
      <c r="A207">
        <v>270028</v>
      </c>
      <c r="B207" t="s">
        <v>354</v>
      </c>
      <c r="C207" t="s">
        <v>270</v>
      </c>
      <c r="D207">
        <v>290009</v>
      </c>
      <c r="E207" t="s">
        <v>355</v>
      </c>
      <c r="F207">
        <v>1.1399999856948853</v>
      </c>
      <c r="G207">
        <v>3073.6298828125</v>
      </c>
      <c r="H207">
        <v>19.799999237060547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>
      <c r="A208">
        <v>270028</v>
      </c>
      <c r="B208" t="s">
        <v>354</v>
      </c>
      <c r="C208" t="s">
        <v>270</v>
      </c>
      <c r="D208">
        <v>290009</v>
      </c>
      <c r="E208" t="s">
        <v>355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1.1399999856948853</v>
      </c>
      <c r="V208">
        <v>3375.550048828125</v>
      </c>
      <c r="W208">
        <v>21.799999237060547</v>
      </c>
      <c r="X208">
        <v>0</v>
      </c>
      <c r="Y208">
        <v>0</v>
      </c>
      <c r="Z208">
        <v>0</v>
      </c>
    </row>
    <row r="209" spans="1:26">
      <c r="A209">
        <v>270028</v>
      </c>
      <c r="B209" t="s">
        <v>354</v>
      </c>
      <c r="C209" t="s">
        <v>270</v>
      </c>
      <c r="D209">
        <v>290009</v>
      </c>
      <c r="E209" t="s">
        <v>355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1.6000000238418579</v>
      </c>
      <c r="Y209">
        <v>4751.5</v>
      </c>
      <c r="Z209">
        <v>30.700000762939453</v>
      </c>
    </row>
    <row r="210" spans="1:26">
      <c r="A210">
        <v>270028</v>
      </c>
      <c r="B210" t="s">
        <v>354</v>
      </c>
      <c r="C210" t="s">
        <v>270</v>
      </c>
      <c r="D210">
        <v>290018</v>
      </c>
      <c r="E210" t="s">
        <v>271</v>
      </c>
      <c r="F210">
        <v>1.6599999666213989</v>
      </c>
      <c r="G210">
        <v>1549.8399658203125</v>
      </c>
      <c r="H210">
        <v>10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>
      <c r="A211">
        <v>270028</v>
      </c>
      <c r="B211" t="s">
        <v>354</v>
      </c>
      <c r="C211" t="s">
        <v>272</v>
      </c>
      <c r="D211">
        <v>290013</v>
      </c>
      <c r="E211" t="s">
        <v>356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0.31000000238418579</v>
      </c>
      <c r="M211">
        <v>111.23000335693359</v>
      </c>
      <c r="N211">
        <v>0.69999998807907104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270028</v>
      </c>
      <c r="B212" t="s">
        <v>354</v>
      </c>
      <c r="C212" t="s">
        <v>272</v>
      </c>
      <c r="D212">
        <v>290013</v>
      </c>
      <c r="E212" t="s">
        <v>356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0.93999999761581421</v>
      </c>
      <c r="V212">
        <v>333.67999267578125</v>
      </c>
      <c r="W212">
        <v>2.2000000476837158</v>
      </c>
      <c r="X212">
        <v>0.93999999761581421</v>
      </c>
      <c r="Y212">
        <v>333.67999267578125</v>
      </c>
      <c r="Z212">
        <v>2.2000000476837158</v>
      </c>
    </row>
    <row r="213" spans="1:26">
      <c r="A213">
        <v>270028</v>
      </c>
      <c r="B213" t="s">
        <v>354</v>
      </c>
      <c r="C213" t="s">
        <v>272</v>
      </c>
      <c r="D213">
        <v>290013</v>
      </c>
      <c r="E213" t="s">
        <v>356</v>
      </c>
      <c r="F213">
        <v>0</v>
      </c>
      <c r="G213">
        <v>0</v>
      </c>
      <c r="H213">
        <v>0</v>
      </c>
      <c r="I213">
        <v>1.2999999523162842</v>
      </c>
      <c r="J213">
        <v>464.01998901367187</v>
      </c>
      <c r="K213">
        <v>3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>
      <c r="A214">
        <v>270028</v>
      </c>
      <c r="B214" t="s">
        <v>354</v>
      </c>
      <c r="C214" t="s">
        <v>272</v>
      </c>
      <c r="D214">
        <v>290033</v>
      </c>
      <c r="E214" t="s">
        <v>357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1.7599999904632568</v>
      </c>
      <c r="S214">
        <v>432.6099853515625</v>
      </c>
      <c r="T214">
        <v>2.7999999523162842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>
      <c r="A215">
        <v>270028</v>
      </c>
      <c r="B215" t="s">
        <v>354</v>
      </c>
      <c r="C215" t="s">
        <v>272</v>
      </c>
      <c r="D215">
        <v>290034</v>
      </c>
      <c r="E215" t="s">
        <v>358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1.2599999904632568</v>
      </c>
      <c r="V215">
        <v>239.69999694824219</v>
      </c>
      <c r="W215">
        <v>1.5</v>
      </c>
      <c r="X215">
        <v>0</v>
      </c>
      <c r="Y215">
        <v>0</v>
      </c>
      <c r="Z215">
        <v>0</v>
      </c>
    </row>
    <row r="216" spans="1:26">
      <c r="A216">
        <v>270028</v>
      </c>
      <c r="B216" t="s">
        <v>354</v>
      </c>
      <c r="C216" t="s">
        <v>272</v>
      </c>
      <c r="D216">
        <v>290036</v>
      </c>
      <c r="E216" t="s">
        <v>273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1.6299999952316284</v>
      </c>
      <c r="P216">
        <v>6025.3701171875</v>
      </c>
      <c r="Q216">
        <v>38.900001525878906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>
      <c r="A217">
        <v>270028</v>
      </c>
      <c r="B217" t="s">
        <v>354</v>
      </c>
      <c r="C217" t="s">
        <v>244</v>
      </c>
      <c r="D217">
        <v>290132</v>
      </c>
      <c r="E217" t="s">
        <v>304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1.559999942779541</v>
      </c>
      <c r="Y217">
        <v>5248.52978515625</v>
      </c>
      <c r="Z217">
        <v>33.900001525878906</v>
      </c>
    </row>
    <row r="218" spans="1:26">
      <c r="A218">
        <v>270028</v>
      </c>
      <c r="B218" t="s">
        <v>354</v>
      </c>
      <c r="C218" t="s">
        <v>244</v>
      </c>
      <c r="D218">
        <v>290133</v>
      </c>
      <c r="E218" t="s">
        <v>305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2.809999942779541</v>
      </c>
      <c r="P218">
        <v>9259.4404296875</v>
      </c>
      <c r="Q218">
        <v>59.700000762939453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270028</v>
      </c>
      <c r="B219" t="s">
        <v>354</v>
      </c>
      <c r="C219" t="s">
        <v>244</v>
      </c>
      <c r="D219">
        <v>290134</v>
      </c>
      <c r="E219" t="s">
        <v>306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1.309999942779541</v>
      </c>
      <c r="M219">
        <v>4399.9501953125</v>
      </c>
      <c r="N219">
        <v>28.399999618530273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>
      <c r="A220">
        <v>270026</v>
      </c>
      <c r="B220" t="s">
        <v>359</v>
      </c>
      <c r="C220" t="s">
        <v>294</v>
      </c>
      <c r="D220">
        <v>290069</v>
      </c>
      <c r="E220" t="s">
        <v>336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0.25999999046325684</v>
      </c>
      <c r="V220">
        <v>4583.31982421875</v>
      </c>
      <c r="W220">
        <v>29.600000381469727</v>
      </c>
      <c r="X220">
        <v>0</v>
      </c>
      <c r="Y220">
        <v>0</v>
      </c>
      <c r="Z220">
        <v>0</v>
      </c>
    </row>
    <row r="221" spans="1:26">
      <c r="A221">
        <v>270026</v>
      </c>
      <c r="B221" t="s">
        <v>359</v>
      </c>
      <c r="C221" t="s">
        <v>294</v>
      </c>
      <c r="D221">
        <v>290069</v>
      </c>
      <c r="E221" t="s">
        <v>336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1.5</v>
      </c>
      <c r="S221">
        <v>26163.099609375</v>
      </c>
      <c r="T221">
        <v>168.80000305175781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>
      <c r="A222">
        <v>270024</v>
      </c>
      <c r="B222" t="s">
        <v>360</v>
      </c>
      <c r="C222" t="s">
        <v>270</v>
      </c>
      <c r="D222">
        <v>290011</v>
      </c>
      <c r="E222" t="s">
        <v>361</v>
      </c>
      <c r="F222">
        <v>0</v>
      </c>
      <c r="G222">
        <v>0</v>
      </c>
      <c r="H222">
        <v>0</v>
      </c>
      <c r="I222">
        <v>1.2200000286102295</v>
      </c>
      <c r="J222">
        <v>3640.6298828125</v>
      </c>
      <c r="K222">
        <v>23.299999237060547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270024</v>
      </c>
      <c r="B223" t="s">
        <v>360</v>
      </c>
      <c r="C223" t="s">
        <v>270</v>
      </c>
      <c r="D223">
        <v>290021</v>
      </c>
      <c r="E223" t="s">
        <v>362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2.25</v>
      </c>
      <c r="P223">
        <v>7466.3798828125</v>
      </c>
      <c r="Q223">
        <v>47.900001525878906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>
      <c r="A224">
        <v>270024</v>
      </c>
      <c r="B224" t="s">
        <v>360</v>
      </c>
      <c r="C224" t="s">
        <v>272</v>
      </c>
      <c r="D224">
        <v>290011</v>
      </c>
      <c r="E224" t="s">
        <v>361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0.64999997615814209</v>
      </c>
      <c r="Y224">
        <v>2435.330078125</v>
      </c>
      <c r="Z224">
        <v>15.600000381469727</v>
      </c>
    </row>
    <row r="225" spans="1:26">
      <c r="A225">
        <v>270024</v>
      </c>
      <c r="B225" t="s">
        <v>360</v>
      </c>
      <c r="C225" t="s">
        <v>272</v>
      </c>
      <c r="D225">
        <v>290013</v>
      </c>
      <c r="E225" t="s">
        <v>356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0.31000000238418579</v>
      </c>
      <c r="M225">
        <v>760.03997802734375</v>
      </c>
      <c r="N225">
        <v>4.9000000953674316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>
      <c r="A226">
        <v>270024</v>
      </c>
      <c r="B226" t="s">
        <v>360</v>
      </c>
      <c r="C226" t="s">
        <v>272</v>
      </c>
      <c r="D226">
        <v>290013</v>
      </c>
      <c r="E226" t="s">
        <v>356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0.93999999761581421</v>
      </c>
      <c r="V226">
        <v>2280.1201171875</v>
      </c>
      <c r="W226">
        <v>14.600000381469727</v>
      </c>
      <c r="X226">
        <v>0.93999999761581421</v>
      </c>
      <c r="Y226">
        <v>2280.1201171875</v>
      </c>
      <c r="Z226">
        <v>14.600000381469727</v>
      </c>
    </row>
    <row r="227" spans="1:26">
      <c r="A227">
        <v>270024</v>
      </c>
      <c r="B227" t="s">
        <v>360</v>
      </c>
      <c r="C227" t="s">
        <v>272</v>
      </c>
      <c r="D227">
        <v>290013</v>
      </c>
      <c r="E227" t="s">
        <v>356</v>
      </c>
      <c r="F227">
        <v>0</v>
      </c>
      <c r="G227">
        <v>0</v>
      </c>
      <c r="H227">
        <v>0</v>
      </c>
      <c r="I227">
        <v>1.2999999523162842</v>
      </c>
      <c r="J227">
        <v>3170.77001953125</v>
      </c>
      <c r="K227">
        <v>20.299999237060547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>
      <c r="A228">
        <v>270024</v>
      </c>
      <c r="B228" t="s">
        <v>360</v>
      </c>
      <c r="C228" t="s">
        <v>272</v>
      </c>
      <c r="D228">
        <v>290033</v>
      </c>
      <c r="E228" t="s">
        <v>357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1.7599999904632568</v>
      </c>
      <c r="S228">
        <v>3008.02001953125</v>
      </c>
      <c r="T228">
        <v>19.299999237060547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>
      <c r="A229">
        <v>270024</v>
      </c>
      <c r="B229" t="s">
        <v>360</v>
      </c>
      <c r="C229" t="s">
        <v>272</v>
      </c>
      <c r="D229">
        <v>290034</v>
      </c>
      <c r="E229" t="s">
        <v>358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1.2599999904632568</v>
      </c>
      <c r="V229">
        <v>2160.10009765625</v>
      </c>
      <c r="W229">
        <v>13.800000190734863</v>
      </c>
      <c r="X229">
        <v>0</v>
      </c>
      <c r="Y229">
        <v>0</v>
      </c>
      <c r="Z229">
        <v>0</v>
      </c>
    </row>
    <row r="230" spans="1:26">
      <c r="A230">
        <v>270024</v>
      </c>
      <c r="B230" t="s">
        <v>360</v>
      </c>
      <c r="C230" t="s">
        <v>272</v>
      </c>
      <c r="D230">
        <v>290346</v>
      </c>
      <c r="E230" t="s">
        <v>288</v>
      </c>
      <c r="F230">
        <v>1.2699999809265137</v>
      </c>
      <c r="G230">
        <v>4426.56982421875</v>
      </c>
      <c r="H230">
        <v>28.399999618530273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>
      <c r="A231">
        <v>270024</v>
      </c>
      <c r="B231" t="s">
        <v>360</v>
      </c>
      <c r="C231" t="s">
        <v>278</v>
      </c>
      <c r="D231">
        <v>290054</v>
      </c>
      <c r="E231" t="s">
        <v>363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1.2000000476837158</v>
      </c>
      <c r="P231">
        <v>11214.900390625</v>
      </c>
      <c r="Q231">
        <v>71.900001525878906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270024</v>
      </c>
      <c r="B232" t="s">
        <v>360</v>
      </c>
      <c r="C232" t="s">
        <v>280</v>
      </c>
      <c r="D232">
        <v>290094</v>
      </c>
      <c r="E232" t="s">
        <v>332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0.18999999761581421</v>
      </c>
      <c r="Y232">
        <v>2195.699951171875</v>
      </c>
      <c r="Z232">
        <v>14.100000381469727</v>
      </c>
    </row>
    <row r="233" spans="1:26">
      <c r="A233">
        <v>270024</v>
      </c>
      <c r="B233" t="s">
        <v>360</v>
      </c>
      <c r="C233" t="s">
        <v>280</v>
      </c>
      <c r="D233">
        <v>290094</v>
      </c>
      <c r="E233" t="s">
        <v>332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0.60000002384185791</v>
      </c>
      <c r="S233">
        <v>7044.5498046875</v>
      </c>
      <c r="T233">
        <v>45.200000762939453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>
      <c r="A234">
        <v>270024</v>
      </c>
      <c r="B234" t="s">
        <v>360</v>
      </c>
      <c r="C234" t="s">
        <v>280</v>
      </c>
      <c r="D234">
        <v>290094</v>
      </c>
      <c r="E234" t="s">
        <v>332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1.1200000047683716</v>
      </c>
      <c r="V234">
        <v>13174.2001953125</v>
      </c>
      <c r="W234">
        <v>84.5</v>
      </c>
      <c r="X234">
        <v>0</v>
      </c>
      <c r="Y234">
        <v>0</v>
      </c>
      <c r="Z234">
        <v>0</v>
      </c>
    </row>
    <row r="235" spans="1:26">
      <c r="A235">
        <v>270024</v>
      </c>
      <c r="B235" t="s">
        <v>360</v>
      </c>
      <c r="C235" t="s">
        <v>280</v>
      </c>
      <c r="D235">
        <v>290095</v>
      </c>
      <c r="E235" t="s">
        <v>333</v>
      </c>
      <c r="F235">
        <v>0</v>
      </c>
      <c r="G235">
        <v>0</v>
      </c>
      <c r="H235">
        <v>0</v>
      </c>
      <c r="I235">
        <v>1.2000000476837158</v>
      </c>
      <c r="J235">
        <v>11892.2998046875</v>
      </c>
      <c r="K235">
        <v>76.199996948242188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>
      <c r="A236">
        <v>270024</v>
      </c>
      <c r="B236" t="s">
        <v>360</v>
      </c>
      <c r="C236" t="s">
        <v>280</v>
      </c>
      <c r="D236">
        <v>290148</v>
      </c>
      <c r="E236" t="s">
        <v>281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0.85000002384185791</v>
      </c>
      <c r="Y236">
        <v>6933.08984375</v>
      </c>
      <c r="Z236">
        <v>44.400001525878906</v>
      </c>
    </row>
    <row r="237" spans="1:26">
      <c r="A237">
        <v>270024</v>
      </c>
      <c r="B237" t="s">
        <v>360</v>
      </c>
      <c r="C237" t="s">
        <v>280</v>
      </c>
      <c r="D237">
        <v>290148</v>
      </c>
      <c r="E237" t="s">
        <v>281</v>
      </c>
      <c r="F237">
        <v>1.3400000333786011</v>
      </c>
      <c r="G237">
        <v>4022.43994140625</v>
      </c>
      <c r="H237">
        <v>25.799999237060547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270024</v>
      </c>
      <c r="B238" t="s">
        <v>360</v>
      </c>
      <c r="C238" t="s">
        <v>280</v>
      </c>
      <c r="D238">
        <v>290347</v>
      </c>
      <c r="E238" t="s">
        <v>376</v>
      </c>
      <c r="F238">
        <v>0</v>
      </c>
      <c r="G238">
        <v>0</v>
      </c>
      <c r="H238">
        <v>0</v>
      </c>
      <c r="I238">
        <v>0.86000001430511475</v>
      </c>
      <c r="J238">
        <v>630.04998779296875</v>
      </c>
      <c r="K238">
        <v>4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270024</v>
      </c>
      <c r="B239" t="s">
        <v>360</v>
      </c>
      <c r="C239" t="s">
        <v>263</v>
      </c>
      <c r="D239">
        <v>290093</v>
      </c>
      <c r="E239" t="s">
        <v>334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0.18000000715255737</v>
      </c>
      <c r="Y239">
        <v>3568.39990234375</v>
      </c>
      <c r="Z239">
        <v>22.899999618530273</v>
      </c>
    </row>
    <row r="240" spans="1:26">
      <c r="A240">
        <v>270024</v>
      </c>
      <c r="B240" t="s">
        <v>360</v>
      </c>
      <c r="C240" t="s">
        <v>263</v>
      </c>
      <c r="D240">
        <v>290093</v>
      </c>
      <c r="E240" t="s">
        <v>334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0.56000000238418579</v>
      </c>
      <c r="S240">
        <v>11151.2001953125</v>
      </c>
      <c r="T240">
        <v>71.5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>
      <c r="A241">
        <v>270024</v>
      </c>
      <c r="B241" t="s">
        <v>360</v>
      </c>
      <c r="C241" t="s">
        <v>263</v>
      </c>
      <c r="D241">
        <v>290093</v>
      </c>
      <c r="E241" t="s">
        <v>334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1.0800000429153442</v>
      </c>
      <c r="V241">
        <v>21410.400390625</v>
      </c>
      <c r="W241">
        <v>137.19999694824219</v>
      </c>
      <c r="X241">
        <v>0</v>
      </c>
      <c r="Y241">
        <v>0</v>
      </c>
      <c r="Z241">
        <v>0</v>
      </c>
    </row>
    <row r="242" spans="1:26">
      <c r="A242">
        <v>270024</v>
      </c>
      <c r="B242" t="s">
        <v>360</v>
      </c>
      <c r="C242" t="s">
        <v>263</v>
      </c>
      <c r="D242">
        <v>290126</v>
      </c>
      <c r="E242" t="s">
        <v>335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0.34999999403953552</v>
      </c>
      <c r="M242">
        <v>2552.969970703125</v>
      </c>
      <c r="N242">
        <v>16.399999618530273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>
      <c r="A243">
        <v>270024</v>
      </c>
      <c r="B243" t="s">
        <v>360</v>
      </c>
      <c r="C243" t="s">
        <v>263</v>
      </c>
      <c r="D243">
        <v>290220</v>
      </c>
      <c r="E243" t="s">
        <v>299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1.3500000238418579</v>
      </c>
      <c r="M243">
        <v>1887.3299560546875</v>
      </c>
      <c r="N243">
        <v>12.100000381469727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>
      <c r="A244">
        <v>270024</v>
      </c>
      <c r="B244" t="s">
        <v>360</v>
      </c>
      <c r="C244" t="s">
        <v>244</v>
      </c>
      <c r="D244">
        <v>290135</v>
      </c>
      <c r="E244" t="s">
        <v>245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0.62999999523162842</v>
      </c>
      <c r="Y244">
        <v>3306.389892578125</v>
      </c>
      <c r="Z244">
        <v>21.200000762939453</v>
      </c>
    </row>
    <row r="245" spans="1:26">
      <c r="A245">
        <v>270024</v>
      </c>
      <c r="B245" t="s">
        <v>360</v>
      </c>
      <c r="C245" t="s">
        <v>244</v>
      </c>
      <c r="D245">
        <v>290135</v>
      </c>
      <c r="E245" t="s">
        <v>245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0.79000002145767212</v>
      </c>
      <c r="S245">
        <v>4132.97998046875</v>
      </c>
      <c r="T245">
        <v>26.5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>
      <c r="A246">
        <v>270024</v>
      </c>
      <c r="B246" t="s">
        <v>360</v>
      </c>
      <c r="C246" t="s">
        <v>244</v>
      </c>
      <c r="D246">
        <v>290135</v>
      </c>
      <c r="E246" t="s">
        <v>245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1.5099999904632568</v>
      </c>
      <c r="V246">
        <v>7935.330078125</v>
      </c>
      <c r="W246">
        <v>50.900001525878906</v>
      </c>
      <c r="X246">
        <v>0</v>
      </c>
      <c r="Y246">
        <v>0</v>
      </c>
      <c r="Z246">
        <v>0</v>
      </c>
    </row>
    <row r="247" spans="1:26">
      <c r="A247">
        <v>270024</v>
      </c>
      <c r="B247" t="s">
        <v>360</v>
      </c>
      <c r="C247" t="s">
        <v>244</v>
      </c>
      <c r="D247">
        <v>290136</v>
      </c>
      <c r="E247" t="s">
        <v>246</v>
      </c>
      <c r="F247">
        <v>1.7999999523162842</v>
      </c>
      <c r="G247">
        <v>8637</v>
      </c>
      <c r="H247">
        <v>55.400001525878906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>
      <c r="A248">
        <v>270024</v>
      </c>
      <c r="B248" t="s">
        <v>360</v>
      </c>
      <c r="C248" t="s">
        <v>244</v>
      </c>
      <c r="D248">
        <v>290185</v>
      </c>
      <c r="E248" t="s">
        <v>247</v>
      </c>
      <c r="F248">
        <v>0</v>
      </c>
      <c r="G248">
        <v>0</v>
      </c>
      <c r="H248">
        <v>0</v>
      </c>
      <c r="I248">
        <v>0.67000001668930054</v>
      </c>
      <c r="J248">
        <v>1673.68994140625</v>
      </c>
      <c r="K248">
        <v>10.699999809265137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>
      <c r="A249">
        <v>270024</v>
      </c>
      <c r="B249" t="s">
        <v>360</v>
      </c>
      <c r="C249" t="s">
        <v>244</v>
      </c>
      <c r="D249">
        <v>290185</v>
      </c>
      <c r="E249" t="s">
        <v>247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0.75999999046325684</v>
      </c>
      <c r="M249">
        <v>1906.72998046875</v>
      </c>
      <c r="N249">
        <v>12.199999809265137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270024</v>
      </c>
      <c r="B250" t="s">
        <v>360</v>
      </c>
      <c r="C250" t="s">
        <v>259</v>
      </c>
      <c r="D250">
        <v>290182</v>
      </c>
      <c r="E250" t="s">
        <v>364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0.28999999165534973</v>
      </c>
      <c r="Y250">
        <v>1093.989990234375</v>
      </c>
      <c r="Z250">
        <v>7</v>
      </c>
    </row>
    <row r="251" spans="1:26">
      <c r="A251">
        <v>270024</v>
      </c>
      <c r="B251" t="s">
        <v>360</v>
      </c>
      <c r="C251" t="s">
        <v>259</v>
      </c>
      <c r="D251">
        <v>290183</v>
      </c>
      <c r="E251" t="s">
        <v>365</v>
      </c>
      <c r="F251">
        <v>0</v>
      </c>
      <c r="G251">
        <v>0</v>
      </c>
      <c r="H251">
        <v>0</v>
      </c>
      <c r="I251">
        <v>0.99000000953674316</v>
      </c>
      <c r="J251">
        <v>3898.22998046875</v>
      </c>
      <c r="K251">
        <v>25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270024</v>
      </c>
      <c r="B252" t="s">
        <v>360</v>
      </c>
      <c r="C252" t="s">
        <v>259</v>
      </c>
      <c r="D252">
        <v>290184</v>
      </c>
      <c r="E252" t="s">
        <v>366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1.2899999618530273</v>
      </c>
      <c r="M252">
        <v>3781.0400390625</v>
      </c>
      <c r="N252">
        <v>24.200000762939453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270024</v>
      </c>
      <c r="B253" t="s">
        <v>360</v>
      </c>
      <c r="C253" t="s">
        <v>259</v>
      </c>
      <c r="D253">
        <v>290342</v>
      </c>
      <c r="E253" t="s">
        <v>367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1.2899999618530273</v>
      </c>
      <c r="P253">
        <v>4849.85986328125</v>
      </c>
      <c r="Q253">
        <v>31.100000381469727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270024</v>
      </c>
      <c r="B254" t="s">
        <v>360</v>
      </c>
      <c r="C254" t="s">
        <v>259</v>
      </c>
      <c r="D254">
        <v>290344</v>
      </c>
      <c r="E254" t="s">
        <v>368</v>
      </c>
      <c r="F254">
        <v>1.309999942779541</v>
      </c>
      <c r="G254">
        <v>3583.39990234375</v>
      </c>
      <c r="H254">
        <v>23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270024</v>
      </c>
      <c r="B255" t="s">
        <v>360</v>
      </c>
      <c r="C255" t="s">
        <v>253</v>
      </c>
      <c r="D255">
        <v>290040</v>
      </c>
      <c r="E255" t="s">
        <v>369</v>
      </c>
      <c r="F255">
        <v>0.88999998569488525</v>
      </c>
      <c r="G255">
        <v>2357.050048828125</v>
      </c>
      <c r="H255">
        <v>15.100000381469727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270024</v>
      </c>
      <c r="B256" t="s">
        <v>360</v>
      </c>
      <c r="C256" t="s">
        <v>253</v>
      </c>
      <c r="D256">
        <v>290040</v>
      </c>
      <c r="E256" t="s">
        <v>369</v>
      </c>
      <c r="F256">
        <v>0</v>
      </c>
      <c r="G256">
        <v>0</v>
      </c>
      <c r="H256">
        <v>0</v>
      </c>
      <c r="I256">
        <v>1.7699999809265137</v>
      </c>
      <c r="J256">
        <v>5011.490234375</v>
      </c>
      <c r="K256">
        <v>32.099998474121094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270023</v>
      </c>
      <c r="B257" t="s">
        <v>370</v>
      </c>
      <c r="C257" t="s">
        <v>259</v>
      </c>
      <c r="D257">
        <v>290187</v>
      </c>
      <c r="E257" t="s">
        <v>371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1.2899999618530273</v>
      </c>
      <c r="Y257">
        <v>7670.10009765625</v>
      </c>
      <c r="Z257">
        <v>47.900001525878906</v>
      </c>
    </row>
    <row r="258" spans="1:26">
      <c r="A258">
        <v>270020</v>
      </c>
      <c r="B258" t="s">
        <v>372</v>
      </c>
      <c r="C258" t="s">
        <v>270</v>
      </c>
      <c r="D258">
        <v>290009</v>
      </c>
      <c r="E258" t="s">
        <v>355</v>
      </c>
      <c r="F258">
        <v>1.1399999856948853</v>
      </c>
      <c r="G258">
        <v>3440.639892578125</v>
      </c>
      <c r="H258">
        <v>21.5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>
      <c r="A259">
        <v>270020</v>
      </c>
      <c r="B259" t="s">
        <v>372</v>
      </c>
      <c r="C259" t="s">
        <v>270</v>
      </c>
      <c r="D259">
        <v>290009</v>
      </c>
      <c r="E259" t="s">
        <v>355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1.1399999856948853</v>
      </c>
      <c r="V259">
        <v>3778.610107421875</v>
      </c>
      <c r="W259">
        <v>23.600000381469727</v>
      </c>
      <c r="X259">
        <v>0</v>
      </c>
      <c r="Y259">
        <v>0</v>
      </c>
      <c r="Z259">
        <v>0</v>
      </c>
    </row>
    <row r="260" spans="1:26">
      <c r="A260">
        <v>270020</v>
      </c>
      <c r="B260" t="s">
        <v>372</v>
      </c>
      <c r="C260" t="s">
        <v>270</v>
      </c>
      <c r="D260">
        <v>290009</v>
      </c>
      <c r="E260" t="s">
        <v>355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1.6000000238418579</v>
      </c>
      <c r="Y260">
        <v>5318.85986328125</v>
      </c>
      <c r="Z260">
        <v>33.200000762939453</v>
      </c>
    </row>
    <row r="261" spans="1:26">
      <c r="A261">
        <v>270020</v>
      </c>
      <c r="B261" t="s">
        <v>372</v>
      </c>
      <c r="C261" t="s">
        <v>270</v>
      </c>
      <c r="D261">
        <v>290037</v>
      </c>
      <c r="E261" t="s">
        <v>310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1.6599999666213989</v>
      </c>
      <c r="M261">
        <v>1933.6600341796875</v>
      </c>
      <c r="N261">
        <v>12.100000381469727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>
      <c r="A262">
        <v>270020</v>
      </c>
      <c r="B262" t="s">
        <v>372</v>
      </c>
      <c r="C262" t="s">
        <v>270</v>
      </c>
      <c r="D262">
        <v>290249</v>
      </c>
      <c r="E262" t="s">
        <v>373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0.87000000476837158</v>
      </c>
      <c r="S262">
        <v>5013.10986328125</v>
      </c>
      <c r="T262">
        <v>31.299999237060547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>
      <c r="A263">
        <v>270020</v>
      </c>
      <c r="B263" t="s">
        <v>372</v>
      </c>
      <c r="C263" t="s">
        <v>282</v>
      </c>
      <c r="D263">
        <v>290198</v>
      </c>
      <c r="E263" t="s">
        <v>317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2.309999942779541</v>
      </c>
      <c r="S263">
        <v>5604.2900390625</v>
      </c>
      <c r="T263">
        <v>35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>
      <c r="A264">
        <v>270020</v>
      </c>
      <c r="B264" t="s">
        <v>372</v>
      </c>
      <c r="C264" t="s">
        <v>282</v>
      </c>
      <c r="D264">
        <v>290198</v>
      </c>
      <c r="E264" t="s">
        <v>317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3</v>
      </c>
      <c r="V264">
        <v>7270.43017578125</v>
      </c>
      <c r="W264">
        <v>45.400001525878906</v>
      </c>
      <c r="X264">
        <v>0</v>
      </c>
      <c r="Y264">
        <v>0</v>
      </c>
      <c r="Z264">
        <v>0</v>
      </c>
    </row>
    <row r="265" spans="1:26">
      <c r="A265">
        <v>270020</v>
      </c>
      <c r="B265" t="s">
        <v>372</v>
      </c>
      <c r="C265" t="s">
        <v>282</v>
      </c>
      <c r="D265">
        <v>290207</v>
      </c>
      <c r="E265" t="s">
        <v>318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2.809999942779541</v>
      </c>
      <c r="M265">
        <v>6201.35009765625</v>
      </c>
      <c r="N265">
        <v>38.799999237060547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>
      <c r="A266">
        <v>270020</v>
      </c>
      <c r="B266" t="s">
        <v>372</v>
      </c>
      <c r="C266" t="s">
        <v>282</v>
      </c>
      <c r="D266">
        <v>290243</v>
      </c>
      <c r="E266" t="s">
        <v>319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0.5</v>
      </c>
      <c r="S266">
        <v>1211.739990234375</v>
      </c>
      <c r="T266">
        <v>7.5999999046325684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>
      <c r="A267">
        <v>270020</v>
      </c>
      <c r="B267" t="s">
        <v>372</v>
      </c>
      <c r="C267" t="s">
        <v>282</v>
      </c>
      <c r="D267">
        <v>290243</v>
      </c>
      <c r="E267" t="s">
        <v>319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1.809999942779541</v>
      </c>
      <c r="P267">
        <v>4392.5498046875</v>
      </c>
      <c r="Q267">
        <v>27.5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>
      <c r="A268">
        <v>270020</v>
      </c>
      <c r="B268" t="s">
        <v>372</v>
      </c>
      <c r="C268" t="s">
        <v>278</v>
      </c>
      <c r="D268">
        <v>290060</v>
      </c>
      <c r="E268" t="s">
        <v>289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0.46000000834465027</v>
      </c>
      <c r="V268">
        <v>2965.4599609375</v>
      </c>
      <c r="W268">
        <v>18.5</v>
      </c>
      <c r="X268">
        <v>0</v>
      </c>
      <c r="Y268">
        <v>0</v>
      </c>
      <c r="Z268">
        <v>0</v>
      </c>
    </row>
    <row r="269" spans="1:26">
      <c r="A269">
        <v>270020</v>
      </c>
      <c r="B269" t="s">
        <v>372</v>
      </c>
      <c r="C269" t="s">
        <v>278</v>
      </c>
      <c r="D269">
        <v>290060</v>
      </c>
      <c r="E269" t="s">
        <v>289</v>
      </c>
      <c r="F269">
        <v>0.97000002861022949</v>
      </c>
      <c r="G269">
        <v>3369.919921875</v>
      </c>
      <c r="H269">
        <v>21.100000381469727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>
      <c r="A270">
        <v>270020</v>
      </c>
      <c r="B270" t="s">
        <v>372</v>
      </c>
      <c r="C270" t="s">
        <v>278</v>
      </c>
      <c r="D270">
        <v>290060</v>
      </c>
      <c r="E270" t="s">
        <v>289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1.6200000047683716</v>
      </c>
      <c r="Y270">
        <v>10415.2998046875</v>
      </c>
      <c r="Z270">
        <v>65.099998474121094</v>
      </c>
    </row>
    <row r="271" spans="1:26">
      <c r="A271">
        <v>270020</v>
      </c>
      <c r="B271" t="s">
        <v>372</v>
      </c>
      <c r="C271" t="s">
        <v>278</v>
      </c>
      <c r="D271">
        <v>290064</v>
      </c>
      <c r="E271" t="s">
        <v>338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1.8500000238418579</v>
      </c>
      <c r="M271">
        <v>11764.2998046875</v>
      </c>
      <c r="N271">
        <v>73.5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>
      <c r="A272">
        <v>270020</v>
      </c>
      <c r="B272" t="s">
        <v>372</v>
      </c>
      <c r="C272" t="s">
        <v>278</v>
      </c>
      <c r="D272">
        <v>290065</v>
      </c>
      <c r="E272" t="s">
        <v>339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0.5</v>
      </c>
      <c r="P272">
        <v>1878.6600341796875</v>
      </c>
      <c r="Q272">
        <v>11.699999809265137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>
      <c r="A273">
        <v>270020</v>
      </c>
      <c r="B273" t="s">
        <v>372</v>
      </c>
      <c r="C273" t="s">
        <v>278</v>
      </c>
      <c r="D273">
        <v>290065</v>
      </c>
      <c r="E273" t="s">
        <v>339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0.85000002384185791</v>
      </c>
      <c r="M273">
        <v>3209.3798828125</v>
      </c>
      <c r="N273">
        <v>20.100000381469727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>
      <c r="A274">
        <v>270020</v>
      </c>
      <c r="B274" t="s">
        <v>372</v>
      </c>
      <c r="C274" t="s">
        <v>280</v>
      </c>
      <c r="D274">
        <v>290088</v>
      </c>
      <c r="E274" t="s">
        <v>320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1.4299999475479126</v>
      </c>
      <c r="M274">
        <v>7219.33984375</v>
      </c>
      <c r="N274">
        <v>45.099998474121094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270020</v>
      </c>
      <c r="B275" t="s">
        <v>372</v>
      </c>
      <c r="C275" t="s">
        <v>280</v>
      </c>
      <c r="D275">
        <v>290088</v>
      </c>
      <c r="E275" t="s">
        <v>320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1.5299999713897705</v>
      </c>
      <c r="P275">
        <v>7700.6298828125</v>
      </c>
      <c r="Q275">
        <v>48.099998474121094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270020</v>
      </c>
      <c r="B276" t="s">
        <v>372</v>
      </c>
      <c r="C276" t="s">
        <v>280</v>
      </c>
      <c r="D276">
        <v>290091</v>
      </c>
      <c r="E276" t="s">
        <v>328</v>
      </c>
      <c r="F276">
        <v>1.6599999666213989</v>
      </c>
      <c r="G276">
        <v>6973.85009765625</v>
      </c>
      <c r="H276">
        <v>43.599998474121094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>
      <c r="A277">
        <v>270020</v>
      </c>
      <c r="B277" t="s">
        <v>372</v>
      </c>
      <c r="C277" t="s">
        <v>256</v>
      </c>
      <c r="D277">
        <v>290045</v>
      </c>
      <c r="E277" t="s">
        <v>290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0.72000002861022949</v>
      </c>
      <c r="S277">
        <v>10510.099609375</v>
      </c>
      <c r="T277">
        <v>65.699996948242188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>
      <c r="A278">
        <v>270020</v>
      </c>
      <c r="B278" t="s">
        <v>372</v>
      </c>
      <c r="C278" t="s">
        <v>256</v>
      </c>
      <c r="D278">
        <v>290045</v>
      </c>
      <c r="E278" t="s">
        <v>290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0.76999998092651367</v>
      </c>
      <c r="Y278">
        <v>11210.7001953125</v>
      </c>
      <c r="Z278">
        <v>70.099998474121094</v>
      </c>
    </row>
    <row r="279" spans="1:26">
      <c r="A279">
        <v>270020</v>
      </c>
      <c r="B279" t="s">
        <v>372</v>
      </c>
      <c r="C279" t="s">
        <v>256</v>
      </c>
      <c r="D279">
        <v>290045</v>
      </c>
      <c r="E279" t="s">
        <v>290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0.76999998092651367</v>
      </c>
      <c r="V279">
        <v>11210.7001953125</v>
      </c>
      <c r="W279">
        <v>70.099998474121094</v>
      </c>
      <c r="X279">
        <v>0</v>
      </c>
      <c r="Y279">
        <v>0</v>
      </c>
      <c r="Z279">
        <v>0</v>
      </c>
    </row>
    <row r="280" spans="1:26">
      <c r="A280">
        <v>270020</v>
      </c>
      <c r="B280" t="s">
        <v>372</v>
      </c>
      <c r="C280" t="s">
        <v>263</v>
      </c>
      <c r="D280">
        <v>290114</v>
      </c>
      <c r="E280" t="s">
        <v>292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0.85000002384185791</v>
      </c>
      <c r="Y280">
        <v>3081.93994140625</v>
      </c>
      <c r="Z280">
        <v>19.299999237060547</v>
      </c>
    </row>
    <row r="281" spans="1:26">
      <c r="A281">
        <v>270020</v>
      </c>
      <c r="B281" t="s">
        <v>372</v>
      </c>
      <c r="C281" t="s">
        <v>244</v>
      </c>
      <c r="D281">
        <v>290214</v>
      </c>
      <c r="E281" t="s">
        <v>343</v>
      </c>
      <c r="F281">
        <v>0</v>
      </c>
      <c r="G281">
        <v>0</v>
      </c>
      <c r="H281">
        <v>0</v>
      </c>
      <c r="I281">
        <v>1.4199999570846558</v>
      </c>
      <c r="J281">
        <v>2297.340087890625</v>
      </c>
      <c r="K281">
        <v>14.399999618530273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>
      <c r="A282">
        <v>270020</v>
      </c>
      <c r="B282" t="s">
        <v>372</v>
      </c>
      <c r="C282" t="s">
        <v>249</v>
      </c>
      <c r="D282">
        <v>290207</v>
      </c>
      <c r="E282" t="s">
        <v>318</v>
      </c>
      <c r="F282">
        <v>0</v>
      </c>
      <c r="G282">
        <v>0</v>
      </c>
      <c r="H282">
        <v>0</v>
      </c>
      <c r="I282">
        <v>0.5</v>
      </c>
      <c r="J282">
        <v>1102.4599609375</v>
      </c>
      <c r="K282">
        <v>6.9000000953674316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0.5</v>
      </c>
      <c r="S282">
        <v>1102.4599609375</v>
      </c>
      <c r="T282">
        <v>6.9000000953674316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270020</v>
      </c>
      <c r="B283" t="s">
        <v>372</v>
      </c>
      <c r="C283" t="s">
        <v>249</v>
      </c>
      <c r="D283">
        <v>290207</v>
      </c>
      <c r="E283" t="s">
        <v>318</v>
      </c>
      <c r="F283">
        <v>2.8499999046325684</v>
      </c>
      <c r="G283">
        <v>6277.91015625</v>
      </c>
      <c r="H283">
        <v>39.200000762939453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270020</v>
      </c>
      <c r="B284" t="s">
        <v>372</v>
      </c>
      <c r="C284" t="s">
        <v>249</v>
      </c>
      <c r="D284">
        <v>290207</v>
      </c>
      <c r="E284" t="s">
        <v>318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3</v>
      </c>
      <c r="P284">
        <v>6614.77001953125</v>
      </c>
      <c r="Q284">
        <v>41.299999237060547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>
      <c r="A285">
        <v>270020</v>
      </c>
      <c r="B285" t="s">
        <v>372</v>
      </c>
      <c r="C285" t="s">
        <v>284</v>
      </c>
      <c r="D285">
        <v>290161</v>
      </c>
      <c r="E285" t="s">
        <v>322</v>
      </c>
      <c r="F285">
        <v>0</v>
      </c>
      <c r="G285">
        <v>0</v>
      </c>
      <c r="H285">
        <v>0</v>
      </c>
      <c r="I285">
        <v>1.8999999761581421</v>
      </c>
      <c r="J285">
        <v>2842.3701171875</v>
      </c>
      <c r="K285">
        <v>17.799999237060547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>
      <c r="A286">
        <v>270020</v>
      </c>
      <c r="B286" t="s">
        <v>372</v>
      </c>
      <c r="C286" t="s">
        <v>284</v>
      </c>
      <c r="D286">
        <v>290169</v>
      </c>
      <c r="E286" t="s">
        <v>323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0.5899999737739563</v>
      </c>
      <c r="S286">
        <v>5896.60009765625</v>
      </c>
      <c r="T286">
        <v>36.900001525878906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>
      <c r="A287">
        <v>270020</v>
      </c>
      <c r="B287" t="s">
        <v>372</v>
      </c>
      <c r="C287" t="s">
        <v>284</v>
      </c>
      <c r="D287">
        <v>290170</v>
      </c>
      <c r="E287" t="s">
        <v>293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0.5</v>
      </c>
      <c r="P287">
        <v>1749.8699951171875</v>
      </c>
      <c r="Q287">
        <v>10.899999618530273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270020</v>
      </c>
      <c r="B288" t="s">
        <v>372</v>
      </c>
      <c r="C288" t="s">
        <v>284</v>
      </c>
      <c r="D288">
        <v>290170</v>
      </c>
      <c r="E288" t="s">
        <v>293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1.8500000238418579</v>
      </c>
      <c r="M288">
        <v>6489.08984375</v>
      </c>
      <c r="N288">
        <v>40.599998474121094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270020</v>
      </c>
      <c r="B289" t="s">
        <v>372</v>
      </c>
      <c r="C289" t="s">
        <v>284</v>
      </c>
      <c r="D289">
        <v>290264</v>
      </c>
      <c r="E289" t="s">
        <v>285</v>
      </c>
      <c r="F289">
        <v>0.51999998092651367</v>
      </c>
      <c r="G289">
        <v>3671.260009765625</v>
      </c>
      <c r="H289">
        <v>22.899999618530273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>
      <c r="A290">
        <v>270020</v>
      </c>
      <c r="B290" t="s">
        <v>372</v>
      </c>
      <c r="C290" t="s">
        <v>259</v>
      </c>
      <c r="D290">
        <v>290017</v>
      </c>
      <c r="E290" t="s">
        <v>311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1.7899999618530273</v>
      </c>
      <c r="V290">
        <v>5534.490234375</v>
      </c>
      <c r="W290">
        <v>34.599998474121094</v>
      </c>
      <c r="X290">
        <v>0</v>
      </c>
      <c r="Y290">
        <v>0</v>
      </c>
      <c r="Z290">
        <v>0</v>
      </c>
    </row>
    <row r="291" spans="1:26">
      <c r="A291">
        <v>270020</v>
      </c>
      <c r="B291" t="s">
        <v>372</v>
      </c>
      <c r="C291" t="s">
        <v>259</v>
      </c>
      <c r="D291">
        <v>290179</v>
      </c>
      <c r="E291" t="s">
        <v>312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0.63999998569488525</v>
      </c>
      <c r="S291">
        <v>4041.1201171875</v>
      </c>
      <c r="T291">
        <v>25.299999237060547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>
      <c r="A292">
        <v>270020</v>
      </c>
      <c r="B292" t="s">
        <v>372</v>
      </c>
      <c r="C292" t="s">
        <v>259</v>
      </c>
      <c r="D292">
        <v>290179</v>
      </c>
      <c r="E292" t="s">
        <v>312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0.6600000262260437</v>
      </c>
      <c r="P292">
        <v>4175.830078125</v>
      </c>
      <c r="Q292">
        <v>26.100000381469727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>
      <c r="A293">
        <v>270020</v>
      </c>
      <c r="B293" t="s">
        <v>372</v>
      </c>
      <c r="C293" t="s">
        <v>259</v>
      </c>
      <c r="D293">
        <v>290180</v>
      </c>
      <c r="E293" t="s">
        <v>313</v>
      </c>
      <c r="F293">
        <v>1.2899999618530273</v>
      </c>
      <c r="G293">
        <v>4169.830078125</v>
      </c>
      <c r="H293">
        <v>26.100000381469727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>
      <c r="A294">
        <v>270020</v>
      </c>
      <c r="B294" t="s">
        <v>372</v>
      </c>
      <c r="C294" t="s">
        <v>259</v>
      </c>
      <c r="D294">
        <v>290180</v>
      </c>
      <c r="E294" t="s">
        <v>313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1.5399999618530273</v>
      </c>
      <c r="S294">
        <v>4964.8798828125</v>
      </c>
      <c r="T294">
        <v>31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270020</v>
      </c>
      <c r="B295" t="s">
        <v>372</v>
      </c>
      <c r="C295" t="s">
        <v>259</v>
      </c>
      <c r="D295">
        <v>290183</v>
      </c>
      <c r="E295" t="s">
        <v>365</v>
      </c>
      <c r="F295">
        <v>0</v>
      </c>
      <c r="G295">
        <v>0</v>
      </c>
      <c r="H295">
        <v>0</v>
      </c>
      <c r="I295">
        <v>0.99000000953674316</v>
      </c>
      <c r="J295">
        <v>3330</v>
      </c>
      <c r="K295">
        <v>20.799999237060547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>
      <c r="A296">
        <v>270020</v>
      </c>
      <c r="B296" t="s">
        <v>372</v>
      </c>
      <c r="C296" t="s">
        <v>259</v>
      </c>
      <c r="D296">
        <v>290233</v>
      </c>
      <c r="E296" t="s">
        <v>260</v>
      </c>
      <c r="F296">
        <v>0</v>
      </c>
      <c r="G296">
        <v>0</v>
      </c>
      <c r="H296">
        <v>0</v>
      </c>
      <c r="I296">
        <v>1.0199999809265137</v>
      </c>
      <c r="J296">
        <v>2236.949951171875</v>
      </c>
      <c r="K296">
        <v>14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>
      <c r="A297">
        <v>270020</v>
      </c>
      <c r="B297" t="s">
        <v>372</v>
      </c>
      <c r="C297" t="s">
        <v>259</v>
      </c>
      <c r="D297">
        <v>290234</v>
      </c>
      <c r="E297" t="s">
        <v>261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0.69999998807907104</v>
      </c>
      <c r="M297">
        <v>2457.3701171875</v>
      </c>
      <c r="N297">
        <v>15.399999618530273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>
      <c r="A298">
        <v>270020</v>
      </c>
      <c r="B298" t="s">
        <v>372</v>
      </c>
      <c r="C298" t="s">
        <v>241</v>
      </c>
      <c r="D298">
        <v>290045</v>
      </c>
      <c r="E298" t="s">
        <v>290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0.12999999523162842</v>
      </c>
      <c r="S298">
        <v>1868.4599609375</v>
      </c>
      <c r="T298">
        <v>11.699999809265137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270020</v>
      </c>
      <c r="B299" t="s">
        <v>372</v>
      </c>
      <c r="C299" t="s">
        <v>241</v>
      </c>
      <c r="D299">
        <v>290045</v>
      </c>
      <c r="E299" t="s">
        <v>290</v>
      </c>
      <c r="F299">
        <v>0.76999998092651367</v>
      </c>
      <c r="G299">
        <v>5046.91015625</v>
      </c>
      <c r="H299">
        <v>31.5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270020</v>
      </c>
      <c r="B300" t="s">
        <v>372</v>
      </c>
      <c r="C300" t="s">
        <v>241</v>
      </c>
      <c r="D300">
        <v>290045</v>
      </c>
      <c r="E300" t="s">
        <v>290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0.76999998092651367</v>
      </c>
      <c r="M300">
        <v>11210.7001953125</v>
      </c>
      <c r="N300">
        <v>70.099998474121094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270020</v>
      </c>
      <c r="B301" t="s">
        <v>372</v>
      </c>
      <c r="C301" t="s">
        <v>241</v>
      </c>
      <c r="D301">
        <v>290045</v>
      </c>
      <c r="E301" t="s">
        <v>290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0.76999998092651367</v>
      </c>
      <c r="P301">
        <v>11210.7001953125</v>
      </c>
      <c r="Q301">
        <v>70.099998474121094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>
      <c r="A302">
        <v>270020</v>
      </c>
      <c r="B302" t="s">
        <v>372</v>
      </c>
      <c r="C302" t="s">
        <v>241</v>
      </c>
      <c r="D302">
        <v>290045</v>
      </c>
      <c r="E302" t="s">
        <v>290</v>
      </c>
      <c r="F302">
        <v>0</v>
      </c>
      <c r="G302">
        <v>0</v>
      </c>
      <c r="H302">
        <v>0</v>
      </c>
      <c r="I302">
        <v>0.93999999761581421</v>
      </c>
      <c r="J302">
        <v>11320.099609375</v>
      </c>
      <c r="K302">
        <v>70.800003051757813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270020</v>
      </c>
      <c r="B303" t="s">
        <v>372</v>
      </c>
      <c r="C303" t="s">
        <v>241</v>
      </c>
      <c r="D303">
        <v>290150</v>
      </c>
      <c r="E303" t="s">
        <v>242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0.44999998807907104</v>
      </c>
      <c r="S303">
        <v>998.65997314453125</v>
      </c>
      <c r="T303">
        <v>6.1999998092651367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270020</v>
      </c>
      <c r="B304" t="s">
        <v>372</v>
      </c>
      <c r="C304" t="s">
        <v>241</v>
      </c>
      <c r="D304">
        <v>290150</v>
      </c>
      <c r="E304" t="s">
        <v>242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0.75</v>
      </c>
      <c r="V304">
        <v>1652.949951171875</v>
      </c>
      <c r="W304">
        <v>10.300000190734863</v>
      </c>
      <c r="X304">
        <v>0.75</v>
      </c>
      <c r="Y304">
        <v>1652.949951171875</v>
      </c>
      <c r="Z304">
        <v>10.300000190734863</v>
      </c>
    </row>
    <row r="305" spans="1:26">
      <c r="A305">
        <v>270020</v>
      </c>
      <c r="B305" t="s">
        <v>372</v>
      </c>
      <c r="C305" t="s">
        <v>253</v>
      </c>
      <c r="D305">
        <v>290040</v>
      </c>
      <c r="E305" t="s">
        <v>369</v>
      </c>
      <c r="F305">
        <v>0.88999998569488525</v>
      </c>
      <c r="G305">
        <v>3529.659912109375</v>
      </c>
      <c r="H305">
        <v>22.100000381469727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>
      <c r="A306">
        <v>270020</v>
      </c>
      <c r="B306" t="s">
        <v>372</v>
      </c>
      <c r="C306" t="s">
        <v>253</v>
      </c>
      <c r="D306">
        <v>290040</v>
      </c>
      <c r="E306" t="s">
        <v>369</v>
      </c>
      <c r="F306">
        <v>0</v>
      </c>
      <c r="G306">
        <v>0</v>
      </c>
      <c r="H306">
        <v>0</v>
      </c>
      <c r="I306">
        <v>1.7699999809265137</v>
      </c>
      <c r="J306">
        <v>7504.66015625</v>
      </c>
      <c r="K306">
        <v>46.900001525878906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>
      <c r="A307">
        <v>270020</v>
      </c>
      <c r="B307" t="s">
        <v>372</v>
      </c>
      <c r="C307" t="s">
        <v>253</v>
      </c>
      <c r="D307">
        <v>290237</v>
      </c>
      <c r="E307" t="s">
        <v>265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0.5899999737739563</v>
      </c>
      <c r="P307">
        <v>1844.27001953125</v>
      </c>
      <c r="Q307">
        <v>11.5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>
      <c r="A308">
        <v>270020</v>
      </c>
      <c r="B308" t="s">
        <v>372</v>
      </c>
      <c r="C308" t="s">
        <v>294</v>
      </c>
      <c r="D308">
        <v>290062</v>
      </c>
      <c r="E308" t="s">
        <v>295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0.27000001072883606</v>
      </c>
      <c r="P308">
        <v>2175.010009765625</v>
      </c>
      <c r="Q308">
        <v>13.600000381469727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270020</v>
      </c>
      <c r="B309" t="s">
        <v>372</v>
      </c>
      <c r="C309" t="s">
        <v>294</v>
      </c>
      <c r="D309">
        <v>290062</v>
      </c>
      <c r="E309" t="s">
        <v>295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0.99000000953674316</v>
      </c>
      <c r="M309">
        <v>8065.64013671875</v>
      </c>
      <c r="N309">
        <v>50.400001525878906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>
      <c r="A310">
        <v>270020</v>
      </c>
      <c r="B310" t="s">
        <v>372</v>
      </c>
      <c r="C310" t="s">
        <v>294</v>
      </c>
      <c r="D310">
        <v>290063</v>
      </c>
      <c r="E310" t="s">
        <v>340</v>
      </c>
      <c r="F310">
        <v>1.8899999856948853</v>
      </c>
      <c r="G310">
        <v>9766.509765625</v>
      </c>
      <c r="H310">
        <v>61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270020</v>
      </c>
      <c r="B311" t="s">
        <v>372</v>
      </c>
      <c r="C311" t="s">
        <v>294</v>
      </c>
      <c r="D311">
        <v>290294</v>
      </c>
      <c r="E311" t="s">
        <v>346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1.2699999809265137</v>
      </c>
      <c r="P311">
        <v>6520.41015625</v>
      </c>
      <c r="Q311">
        <v>40.799999237060547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>
      <c r="A312">
        <v>270020</v>
      </c>
      <c r="B312" t="s">
        <v>372</v>
      </c>
      <c r="C312" t="s">
        <v>294</v>
      </c>
      <c r="D312">
        <v>290295</v>
      </c>
      <c r="E312" t="s">
        <v>347</v>
      </c>
      <c r="F312">
        <v>0</v>
      </c>
      <c r="G312">
        <v>0</v>
      </c>
      <c r="H312">
        <v>0</v>
      </c>
      <c r="I312">
        <v>0.70999997854232788</v>
      </c>
      <c r="J312">
        <v>8572.3203125</v>
      </c>
      <c r="K312">
        <v>53.599998474121094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270020</v>
      </c>
      <c r="B313" t="s">
        <v>372</v>
      </c>
      <c r="C313" t="s">
        <v>294</v>
      </c>
      <c r="D313">
        <v>290298</v>
      </c>
      <c r="E313" t="s">
        <v>348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0.85000002384185791</v>
      </c>
      <c r="M313">
        <v>7768.8798828125</v>
      </c>
      <c r="N313">
        <v>48.599998474121094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270020</v>
      </c>
      <c r="B314" t="s">
        <v>372</v>
      </c>
      <c r="C314" t="s">
        <v>266</v>
      </c>
      <c r="D314">
        <v>290045</v>
      </c>
      <c r="E314" t="s">
        <v>290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0.4699999988079071</v>
      </c>
      <c r="V314">
        <v>6773.14990234375</v>
      </c>
      <c r="W314">
        <v>42.299999237060547</v>
      </c>
      <c r="X314">
        <v>0</v>
      </c>
      <c r="Y314">
        <v>0</v>
      </c>
      <c r="Z314">
        <v>0</v>
      </c>
    </row>
    <row r="315" spans="1:26">
      <c r="A315">
        <v>270020</v>
      </c>
      <c r="B315" t="s">
        <v>372</v>
      </c>
      <c r="C315" t="s">
        <v>266</v>
      </c>
      <c r="D315">
        <v>290045</v>
      </c>
      <c r="E315" t="s">
        <v>290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0.76999998092651367</v>
      </c>
      <c r="Y315">
        <v>11210.7001953125</v>
      </c>
      <c r="Z315">
        <v>70.099998474121094</v>
      </c>
    </row>
    <row r="316" spans="1:26">
      <c r="A316">
        <v>270020</v>
      </c>
      <c r="B316" t="s">
        <v>372</v>
      </c>
      <c r="C316" t="s">
        <v>266</v>
      </c>
      <c r="D316">
        <v>290290</v>
      </c>
      <c r="E316" t="s">
        <v>267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0.54000002145767212</v>
      </c>
      <c r="M316">
        <v>791.55999755859375</v>
      </c>
      <c r="N316">
        <v>4.9000000953674316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>
      <c r="A317">
        <v>270020</v>
      </c>
      <c r="B317" t="s">
        <v>372</v>
      </c>
      <c r="C317" t="s">
        <v>266</v>
      </c>
      <c r="D317">
        <v>290290</v>
      </c>
      <c r="E317" t="s">
        <v>267</v>
      </c>
      <c r="F317">
        <v>0.81999999284744263</v>
      </c>
      <c r="G317">
        <v>422.17001342773437</v>
      </c>
      <c r="H317">
        <v>2.5999999046325684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>
      <c r="A318">
        <v>270020</v>
      </c>
      <c r="B318" t="s">
        <v>372</v>
      </c>
      <c r="C318" t="s">
        <v>266</v>
      </c>
      <c r="D318">
        <v>290290</v>
      </c>
      <c r="E318" t="s">
        <v>267</v>
      </c>
      <c r="F318">
        <v>0</v>
      </c>
      <c r="G318">
        <v>0</v>
      </c>
      <c r="H318">
        <v>0</v>
      </c>
      <c r="I318">
        <v>0.81999999284744263</v>
      </c>
      <c r="J318">
        <v>799.47998046875</v>
      </c>
      <c r="K318">
        <v>5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>
      <c r="A319">
        <v>270020</v>
      </c>
      <c r="B319" t="s">
        <v>372</v>
      </c>
      <c r="C319" t="s">
        <v>266</v>
      </c>
      <c r="D319">
        <v>290292</v>
      </c>
      <c r="E319" t="s">
        <v>268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1.559999942779541</v>
      </c>
      <c r="S319">
        <v>361.07000732421875</v>
      </c>
      <c r="T319">
        <v>2.2999999523162842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270018</v>
      </c>
      <c r="B320" t="s">
        <v>374</v>
      </c>
      <c r="C320" t="s">
        <v>270</v>
      </c>
      <c r="D320">
        <v>290011</v>
      </c>
      <c r="E320" t="s">
        <v>361</v>
      </c>
      <c r="F320">
        <v>0</v>
      </c>
      <c r="G320">
        <v>0</v>
      </c>
      <c r="H320">
        <v>0</v>
      </c>
      <c r="I320">
        <v>1.2200000286102295</v>
      </c>
      <c r="J320">
        <v>3072.3701171875</v>
      </c>
      <c r="K320">
        <v>18.600000381469727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>
      <c r="A321">
        <v>270018</v>
      </c>
      <c r="B321" t="s">
        <v>374</v>
      </c>
      <c r="C321" t="s">
        <v>270</v>
      </c>
      <c r="D321">
        <v>290249</v>
      </c>
      <c r="E321" t="s">
        <v>373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0.87000000476837158</v>
      </c>
      <c r="S321">
        <v>1748.3800048828125</v>
      </c>
      <c r="T321">
        <v>10.600000381469727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>
      <c r="A322">
        <v>270018</v>
      </c>
      <c r="B322" t="s">
        <v>374</v>
      </c>
      <c r="C322" t="s">
        <v>272</v>
      </c>
      <c r="D322">
        <v>290011</v>
      </c>
      <c r="E322" t="s">
        <v>361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0.64999997615814209</v>
      </c>
      <c r="Y322">
        <v>2055.199951171875</v>
      </c>
      <c r="Z322">
        <v>12.5</v>
      </c>
    </row>
    <row r="323" spans="1:26">
      <c r="A323">
        <v>270018</v>
      </c>
      <c r="B323" t="s">
        <v>374</v>
      </c>
      <c r="C323" t="s">
        <v>272</v>
      </c>
      <c r="D323">
        <v>290036</v>
      </c>
      <c r="E323" t="s">
        <v>273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1.6299999952316284</v>
      </c>
      <c r="P323">
        <v>4192.27978515625</v>
      </c>
      <c r="Q323">
        <v>25.399999618530273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>
      <c r="A324">
        <v>270018</v>
      </c>
      <c r="B324" t="s">
        <v>374</v>
      </c>
      <c r="C324" t="s">
        <v>272</v>
      </c>
      <c r="D324">
        <v>290346</v>
      </c>
      <c r="E324" t="s">
        <v>288</v>
      </c>
      <c r="F324">
        <v>1.2699999809265137</v>
      </c>
      <c r="G324">
        <v>2964.590087890625</v>
      </c>
      <c r="H324">
        <v>18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270018</v>
      </c>
      <c r="B325" t="s">
        <v>374</v>
      </c>
      <c r="C325" t="s">
        <v>282</v>
      </c>
      <c r="D325">
        <v>290044</v>
      </c>
      <c r="E325" t="s">
        <v>315</v>
      </c>
      <c r="F325">
        <v>0</v>
      </c>
      <c r="G325">
        <v>0</v>
      </c>
      <c r="H325">
        <v>0</v>
      </c>
      <c r="I325">
        <v>1.6399999856948853</v>
      </c>
      <c r="J325">
        <v>9514.4404296875</v>
      </c>
      <c r="K325">
        <v>57.700000762939453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270018</v>
      </c>
      <c r="B326" t="s">
        <v>374</v>
      </c>
      <c r="C326" t="s">
        <v>282</v>
      </c>
      <c r="D326">
        <v>290049</v>
      </c>
      <c r="E326" t="s">
        <v>316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1.0800000429153442</v>
      </c>
      <c r="Y326">
        <v>6100.830078125</v>
      </c>
      <c r="Z326">
        <v>37</v>
      </c>
    </row>
    <row r="327" spans="1:26">
      <c r="A327">
        <v>270018</v>
      </c>
      <c r="B327" t="s">
        <v>374</v>
      </c>
      <c r="C327" t="s">
        <v>282</v>
      </c>
      <c r="D327">
        <v>290049</v>
      </c>
      <c r="E327" t="s">
        <v>316</v>
      </c>
      <c r="F327">
        <v>1.6000000238418579</v>
      </c>
      <c r="G327">
        <v>8597.2802734375</v>
      </c>
      <c r="H327">
        <v>52.099998474121094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270018</v>
      </c>
      <c r="B328" t="s">
        <v>374</v>
      </c>
      <c r="C328" t="s">
        <v>280</v>
      </c>
      <c r="D328">
        <v>290347</v>
      </c>
      <c r="E328" t="s">
        <v>376</v>
      </c>
      <c r="F328">
        <v>0</v>
      </c>
      <c r="G328">
        <v>0</v>
      </c>
      <c r="H328">
        <v>0</v>
      </c>
      <c r="I328">
        <v>0.86000001430511475</v>
      </c>
      <c r="J328">
        <v>244.71000671386719</v>
      </c>
      <c r="K328">
        <v>1.5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270018</v>
      </c>
      <c r="B329" t="s">
        <v>374</v>
      </c>
      <c r="C329" t="s">
        <v>256</v>
      </c>
      <c r="D329">
        <v>290101</v>
      </c>
      <c r="E329" t="s">
        <v>291</v>
      </c>
      <c r="F329">
        <v>0</v>
      </c>
      <c r="G329">
        <v>0</v>
      </c>
      <c r="H329">
        <v>0</v>
      </c>
      <c r="I329">
        <v>1.2400000095367432</v>
      </c>
      <c r="J329">
        <v>9533.400390625</v>
      </c>
      <c r="K329">
        <v>57.799999237060547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270018</v>
      </c>
      <c r="B330" t="s">
        <v>374</v>
      </c>
      <c r="C330" t="s">
        <v>256</v>
      </c>
      <c r="D330">
        <v>290103</v>
      </c>
      <c r="E330" t="s">
        <v>275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0.5899999737739563</v>
      </c>
      <c r="M330">
        <v>8165.1201171875</v>
      </c>
      <c r="N330">
        <v>49.5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>
      <c r="A331">
        <v>270018</v>
      </c>
      <c r="B331" t="s">
        <v>374</v>
      </c>
      <c r="C331" t="s">
        <v>256</v>
      </c>
      <c r="D331">
        <v>290103</v>
      </c>
      <c r="E331" t="s">
        <v>275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0.62999999523162842</v>
      </c>
      <c r="P331">
        <v>8709.4599609375</v>
      </c>
      <c r="Q331">
        <v>52.799999237060547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>
      <c r="A332">
        <v>270018</v>
      </c>
      <c r="B332" t="s">
        <v>374</v>
      </c>
      <c r="C332" t="s">
        <v>249</v>
      </c>
      <c r="D332">
        <v>290103</v>
      </c>
      <c r="E332" t="s">
        <v>275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>
      <c r="A333">
        <v>270018</v>
      </c>
      <c r="B333" t="s">
        <v>374</v>
      </c>
      <c r="C333" t="s">
        <v>249</v>
      </c>
      <c r="D333">
        <v>290103</v>
      </c>
      <c r="E333" t="s">
        <v>275</v>
      </c>
      <c r="F333">
        <v>0</v>
      </c>
      <c r="G333">
        <v>0</v>
      </c>
      <c r="H333">
        <v>0</v>
      </c>
      <c r="I333">
        <v>0.34000000357627869</v>
      </c>
      <c r="J333">
        <v>4553.4599609375</v>
      </c>
      <c r="K333">
        <v>27.600000381469727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>
      <c r="A334">
        <v>270018</v>
      </c>
      <c r="B334" t="s">
        <v>374</v>
      </c>
      <c r="C334" t="s">
        <v>249</v>
      </c>
      <c r="D334">
        <v>290103</v>
      </c>
      <c r="E334" t="s">
        <v>275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0.62999999523162842</v>
      </c>
      <c r="M334">
        <v>8709.4599609375</v>
      </c>
      <c r="N334">
        <v>52.799999237060547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270018</v>
      </c>
      <c r="B335" t="s">
        <v>374</v>
      </c>
      <c r="C335" t="s">
        <v>284</v>
      </c>
      <c r="D335">
        <v>290173</v>
      </c>
      <c r="E335" t="s">
        <v>324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1.1799999475479126</v>
      </c>
      <c r="P335">
        <v>14693.900390625</v>
      </c>
      <c r="Q335">
        <v>89.099998474121094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>
      <c r="A336">
        <v>270018</v>
      </c>
      <c r="B336" t="s">
        <v>374</v>
      </c>
      <c r="C336" t="s">
        <v>259</v>
      </c>
      <c r="D336">
        <v>290182</v>
      </c>
      <c r="E336" t="s">
        <v>364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0.28999999165534973</v>
      </c>
      <c r="Y336">
        <v>504.489990234375</v>
      </c>
      <c r="Z336">
        <v>3.0999999046325684</v>
      </c>
    </row>
    <row r="337" spans="1:26">
      <c r="A337">
        <v>270018</v>
      </c>
      <c r="B337" t="s">
        <v>374</v>
      </c>
      <c r="C337" t="s">
        <v>259</v>
      </c>
      <c r="D337">
        <v>290184</v>
      </c>
      <c r="E337" t="s">
        <v>366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1.2899999618530273</v>
      </c>
      <c r="M337">
        <v>3435.47998046875</v>
      </c>
      <c r="N337">
        <v>20.799999237060547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270018</v>
      </c>
      <c r="B338" t="s">
        <v>374</v>
      </c>
      <c r="C338" t="s">
        <v>259</v>
      </c>
      <c r="D338">
        <v>290342</v>
      </c>
      <c r="E338" t="s">
        <v>367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1.2899999618530273</v>
      </c>
      <c r="P338">
        <v>1228.7900390625</v>
      </c>
      <c r="Q338">
        <v>7.4000000953674316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>
      <c r="A339">
        <v>270018</v>
      </c>
      <c r="B339" t="s">
        <v>374</v>
      </c>
      <c r="C339" t="s">
        <v>259</v>
      </c>
      <c r="D339">
        <v>290344</v>
      </c>
      <c r="E339" t="s">
        <v>368</v>
      </c>
      <c r="F339">
        <v>1.309999942779541</v>
      </c>
      <c r="G339">
        <v>2858.72998046875</v>
      </c>
      <c r="H339">
        <v>17.299999237060547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270018</v>
      </c>
      <c r="B340" t="s">
        <v>374</v>
      </c>
      <c r="C340" t="s">
        <v>241</v>
      </c>
      <c r="D340">
        <v>290262</v>
      </c>
      <c r="E340" t="s">
        <v>251</v>
      </c>
      <c r="F340">
        <v>0.69999998807907104</v>
      </c>
      <c r="G340">
        <v>4560.31005859375</v>
      </c>
      <c r="H340">
        <v>27.600000381469727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>
      <c r="A341">
        <v>270018</v>
      </c>
      <c r="B341" t="s">
        <v>374</v>
      </c>
      <c r="C341" t="s">
        <v>253</v>
      </c>
      <c r="D341">
        <v>290259</v>
      </c>
      <c r="E341" t="s">
        <v>351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1.3600000143051147</v>
      </c>
      <c r="M341">
        <v>10202.2001953125</v>
      </c>
      <c r="N341">
        <v>61.799999237060547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>
      <c r="A342">
        <v>270017</v>
      </c>
      <c r="B342" t="s">
        <v>375</v>
      </c>
      <c r="C342" t="s">
        <v>272</v>
      </c>
      <c r="D342">
        <v>290013</v>
      </c>
      <c r="E342" t="s">
        <v>356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0.31000000238418579</v>
      </c>
      <c r="M342">
        <v>991.760009765625</v>
      </c>
      <c r="N342">
        <v>6.1999998092651367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>
      <c r="A343">
        <v>270017</v>
      </c>
      <c r="B343" t="s">
        <v>375</v>
      </c>
      <c r="C343" t="s">
        <v>272</v>
      </c>
      <c r="D343">
        <v>290013</v>
      </c>
      <c r="E343" t="s">
        <v>356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0.93999999761581421</v>
      </c>
      <c r="V343">
        <v>2975.27001953125</v>
      </c>
      <c r="W343">
        <v>18.600000381469727</v>
      </c>
      <c r="X343">
        <v>0.93999999761581421</v>
      </c>
      <c r="Y343">
        <v>2975.27001953125</v>
      </c>
      <c r="Z343">
        <v>18.600000381469727</v>
      </c>
    </row>
    <row r="344" spans="1:26">
      <c r="A344">
        <v>270017</v>
      </c>
      <c r="B344" t="s">
        <v>375</v>
      </c>
      <c r="C344" t="s">
        <v>272</v>
      </c>
      <c r="D344">
        <v>290013</v>
      </c>
      <c r="E344" t="s">
        <v>356</v>
      </c>
      <c r="F344">
        <v>0</v>
      </c>
      <c r="G344">
        <v>0</v>
      </c>
      <c r="H344">
        <v>0</v>
      </c>
      <c r="I344">
        <v>1.2999999523162842</v>
      </c>
      <c r="J344">
        <v>4137.47021484375</v>
      </c>
      <c r="K344">
        <v>25.899999618530273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>
      <c r="A345">
        <v>270017</v>
      </c>
      <c r="B345" t="s">
        <v>375</v>
      </c>
      <c r="C345" t="s">
        <v>272</v>
      </c>
      <c r="D345">
        <v>290033</v>
      </c>
      <c r="E345" t="s">
        <v>357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1.7599999904632568</v>
      </c>
      <c r="S345">
        <v>3068.760009765625</v>
      </c>
      <c r="T345">
        <v>19.200000762939453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270017</v>
      </c>
      <c r="B346" t="s">
        <v>375</v>
      </c>
      <c r="C346" t="s">
        <v>272</v>
      </c>
      <c r="D346">
        <v>290034</v>
      </c>
      <c r="E346" t="s">
        <v>358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1.2599999904632568</v>
      </c>
      <c r="V346">
        <v>2201.909912109375</v>
      </c>
      <c r="W346">
        <v>13.800000190734863</v>
      </c>
      <c r="X346">
        <v>0</v>
      </c>
      <c r="Y346">
        <v>0</v>
      </c>
      <c r="Z346">
        <v>0</v>
      </c>
    </row>
    <row r="347" spans="1:26">
      <c r="A347">
        <v>270017</v>
      </c>
      <c r="B347" t="s">
        <v>375</v>
      </c>
      <c r="C347" t="s">
        <v>253</v>
      </c>
      <c r="D347">
        <v>290030</v>
      </c>
      <c r="E347" t="s">
        <v>254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0.67000001668930054</v>
      </c>
      <c r="S347">
        <v>1187.8199462890625</v>
      </c>
      <c r="T347">
        <v>7.4000000953674316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>
      <c r="A348">
        <v>270017</v>
      </c>
      <c r="B348" t="s">
        <v>375</v>
      </c>
      <c r="C348" t="s">
        <v>253</v>
      </c>
      <c r="D348">
        <v>290030</v>
      </c>
      <c r="E348" t="s">
        <v>254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1.7799999713897705</v>
      </c>
      <c r="V348">
        <v>3150.02001953125</v>
      </c>
      <c r="W348">
        <v>19.700000762939453</v>
      </c>
      <c r="X348">
        <v>1.7799999713897705</v>
      </c>
      <c r="Y348">
        <v>3150.02001953125</v>
      </c>
      <c r="Z348">
        <v>19.700000762939453</v>
      </c>
    </row>
  </sheetData>
  <mergeCells count="17">
    <mergeCell ref="AG1:AI1"/>
    <mergeCell ref="F1:H1"/>
    <mergeCell ref="I1:K1"/>
    <mergeCell ref="L1:N1"/>
    <mergeCell ref="O1:Q1"/>
    <mergeCell ref="R1:T1"/>
    <mergeCell ref="U1:W1"/>
    <mergeCell ref="X1:Z1"/>
    <mergeCell ref="AA1:AC1"/>
    <mergeCell ref="AD1:AF1"/>
    <mergeCell ref="BB1:BD1"/>
    <mergeCell ref="AJ1:AL1"/>
    <mergeCell ref="AM1:AO1"/>
    <mergeCell ref="AP1:AR1"/>
    <mergeCell ref="AS1:AU1"/>
    <mergeCell ref="AV1:AX1"/>
    <mergeCell ref="AY1:BA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测算</vt:lpstr>
      <vt:lpstr>1 </vt:lpstr>
      <vt:lpstr>0</vt:lpstr>
      <vt:lpstr>挤出生产需求明细</vt:lpstr>
    </vt:vector>
  </TitlesOfParts>
  <Company>ssss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soney</dc:creator>
  <cp:lastModifiedBy>wenxiangyong</cp:lastModifiedBy>
  <cp:lastPrinted>2013-08-27T02:45:49Z</cp:lastPrinted>
  <dcterms:created xsi:type="dcterms:W3CDTF">2002-02-28T02:35:45Z</dcterms:created>
  <dcterms:modified xsi:type="dcterms:W3CDTF">2014-12-08T07:02:11Z</dcterms:modified>
</cp:coreProperties>
</file>